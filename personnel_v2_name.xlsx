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機關清冊" sheetId="1" state="visible" r:id="rId1"/>
    <sheet xmlns:r="http://schemas.openxmlformats.org/officeDocument/2006/relationships" name="01_異動主檔" sheetId="2" state="visible" r:id="rId2"/>
    <sheet xmlns:r="http://schemas.openxmlformats.org/officeDocument/2006/relationships" name="02_年初員額設定" sheetId="3" state="visible" r:id="rId3"/>
    <sheet xmlns:r="http://schemas.openxmlformats.org/officeDocument/2006/relationships" name="03_年度彙總" sheetId="4" state="visible" r:id="rId4"/>
    <sheet xmlns:r="http://schemas.openxmlformats.org/officeDocument/2006/relationships" name="04_異動明細" sheetId="5" state="visible" r:id="rId5"/>
    <sheet xmlns:r="http://schemas.openxmlformats.org/officeDocument/2006/relationships" name="05_篾選器" sheetId="6" state="visible" r:id="rId6"/>
    <sheet xmlns:r="http://schemas.openxmlformats.org/officeDocument/2006/relationships" name="06_使用手冊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i val="1"/>
      <color rgb="00666666"/>
      <sz val="9"/>
    </font>
    <font>
      <name val="Microsoft JhengHei"/>
      <b val="1"/>
      <color rgb="00404040"/>
      <sz val="11"/>
    </font>
    <font>
      <name val="Microsoft JhengHei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4" customWidth="1" min="4" max="4"/>
  </cols>
  <sheetData>
    <row r="1">
      <c r="A1" s="1" t="inlineStr">
        <is>
          <t>📌 機關清冊</t>
        </is>
      </c>
    </row>
    <row r="2">
      <c r="A2" s="2" t="inlineStr">
        <is>
          <t>機關代碼</t>
        </is>
      </c>
      <c r="B2" s="2" t="inlineStr">
        <is>
          <t>機關名稱</t>
        </is>
      </c>
      <c r="C2" s="2" t="inlineStr">
        <is>
          <t>備註</t>
        </is>
      </c>
      <c r="D2" s="2" t="inlineStr">
        <is>
          <t>建立日期</t>
        </is>
      </c>
    </row>
    <row r="3">
      <c r="A3" s="3" t="inlineStr">
        <is>
          <t>A001</t>
        </is>
      </c>
      <c r="B3" s="4" t="inlineStr">
        <is>
          <t>人事處</t>
        </is>
      </c>
      <c r="C3" s="4" t="inlineStr"/>
      <c r="D3" s="4" t="inlineStr"/>
    </row>
    <row r="4">
      <c r="A4" s="5" t="inlineStr">
        <is>
          <t>A002</t>
        </is>
      </c>
      <c r="B4" s="6" t="inlineStr">
        <is>
          <t>會計處</t>
        </is>
      </c>
      <c r="C4" s="6" t="inlineStr"/>
      <c r="D4" s="6" t="inlineStr"/>
    </row>
    <row r="5">
      <c r="A5" s="3" t="inlineStr">
        <is>
          <t>A003</t>
        </is>
      </c>
      <c r="B5" s="4" t="inlineStr">
        <is>
          <t>政風處</t>
        </is>
      </c>
      <c r="C5" s="4" t="inlineStr"/>
      <c r="D5" s="4" t="inlineStr"/>
    </row>
    <row r="6">
      <c r="A6" s="5" t="inlineStr">
        <is>
          <t>A004</t>
        </is>
      </c>
      <c r="B6" s="6" t="inlineStr">
        <is>
          <t>總務處</t>
        </is>
      </c>
      <c r="C6" s="6" t="inlineStr"/>
      <c r="D6" s="6" t="inlineStr"/>
    </row>
    <row r="7">
      <c r="A7" s="3" t="inlineStr">
        <is>
          <t>A005</t>
        </is>
      </c>
      <c r="B7" s="4" t="inlineStr">
        <is>
          <t>資訊處</t>
        </is>
      </c>
      <c r="C7" s="4" t="inlineStr"/>
      <c r="D7" s="4" t="inlineStr"/>
    </row>
    <row r="8">
      <c r="A8" s="5" t="inlineStr">
        <is>
          <t>A006</t>
        </is>
      </c>
      <c r="B8" s="6" t="inlineStr">
        <is>
          <t>法制處</t>
        </is>
      </c>
      <c r="C8" s="6" t="inlineStr"/>
      <c r="D8" s="6" t="inlineStr"/>
    </row>
    <row r="9">
      <c r="A9" s="3" t="inlineStr">
        <is>
          <t>A007</t>
        </is>
      </c>
      <c r="B9" s="4" t="inlineStr">
        <is>
          <t>秘書處</t>
        </is>
      </c>
      <c r="C9" s="4" t="inlineStr"/>
      <c r="D9" s="4" t="inlineStr"/>
    </row>
    <row r="10">
      <c r="A10" s="5" t="inlineStr">
        <is>
          <t>A008</t>
        </is>
      </c>
      <c r="B10" s="6" t="inlineStr">
        <is>
          <t>公關室</t>
        </is>
      </c>
      <c r="C10" s="6" t="inlineStr"/>
      <c r="D10" s="6" t="inlineStr"/>
    </row>
    <row r="11">
      <c r="A11" s="3" t="inlineStr">
        <is>
          <t>B001</t>
        </is>
      </c>
      <c r="B11" s="4" t="inlineStr">
        <is>
          <t>第一組</t>
        </is>
      </c>
      <c r="C11" s="4" t="inlineStr"/>
      <c r="D11" s="4" t="inlineStr"/>
    </row>
    <row r="12">
      <c r="A12" s="5" t="inlineStr">
        <is>
          <t>B002</t>
        </is>
      </c>
      <c r="B12" s="6" t="inlineStr">
        <is>
          <t>第二組</t>
        </is>
      </c>
      <c r="C12" s="6" t="inlineStr"/>
      <c r="D12" s="6" t="inlineStr"/>
    </row>
    <row r="13">
      <c r="A13" s="3" t="inlineStr">
        <is>
          <t>B003</t>
        </is>
      </c>
      <c r="B13" s="4" t="inlineStr">
        <is>
          <t>第三組</t>
        </is>
      </c>
      <c r="C13" s="4" t="inlineStr"/>
      <c r="D13" s="4" t="inlineStr"/>
    </row>
    <row r="14">
      <c r="A14" s="5" t="inlineStr">
        <is>
          <t>B004</t>
        </is>
      </c>
      <c r="B14" s="6" t="inlineStr">
        <is>
          <t>第四組</t>
        </is>
      </c>
      <c r="C14" s="6" t="inlineStr"/>
      <c r="D14" s="6" t="inlineStr"/>
    </row>
    <row r="15">
      <c r="A15" s="3" t="inlineStr">
        <is>
          <t>B005</t>
        </is>
      </c>
      <c r="B15" s="4" t="inlineStr">
        <is>
          <t>第五組</t>
        </is>
      </c>
      <c r="C15" s="4" t="inlineStr"/>
      <c r="D15" s="4" t="inlineStr"/>
    </row>
    <row r="16">
      <c r="A16" s="5" t="inlineStr">
        <is>
          <t>B006</t>
        </is>
      </c>
      <c r="B16" s="6" t="inlineStr">
        <is>
          <t>第六組</t>
        </is>
      </c>
      <c r="C16" s="6" t="inlineStr"/>
      <c r="D16" s="6" t="inlineStr"/>
    </row>
    <row r="17">
      <c r="A17" s="3" t="inlineStr">
        <is>
          <t>B007</t>
        </is>
      </c>
      <c r="B17" s="4" t="inlineStr">
        <is>
          <t>第七組</t>
        </is>
      </c>
      <c r="C17" s="4" t="inlineStr"/>
      <c r="D17" s="4" t="inlineStr"/>
    </row>
    <row r="18">
      <c r="A18" s="5" t="inlineStr">
        <is>
          <t>B008</t>
        </is>
      </c>
      <c r="B18" s="6" t="inlineStr">
        <is>
          <t>第八組</t>
        </is>
      </c>
      <c r="C18" s="6" t="inlineStr"/>
      <c r="D18" s="6" t="inlineStr"/>
    </row>
    <row r="19">
      <c r="A19" s="3" t="inlineStr">
        <is>
          <t>C001</t>
        </is>
      </c>
      <c r="B19" s="4" t="inlineStr">
        <is>
          <t>台北分局</t>
        </is>
      </c>
      <c r="C19" s="4" t="inlineStr"/>
      <c r="D19" s="4" t="inlineStr"/>
    </row>
    <row r="20">
      <c r="A20" s="5" t="inlineStr">
        <is>
          <t>C002</t>
        </is>
      </c>
      <c r="B20" s="6" t="inlineStr">
        <is>
          <t>新北分局</t>
        </is>
      </c>
      <c r="C20" s="6" t="inlineStr"/>
      <c r="D20" s="6" t="inlineStr"/>
    </row>
    <row r="21">
      <c r="A21" s="3" t="inlineStr">
        <is>
          <t>C003</t>
        </is>
      </c>
      <c r="B21" s="4" t="inlineStr">
        <is>
          <t>桃園分局</t>
        </is>
      </c>
      <c r="C21" s="4" t="inlineStr"/>
      <c r="D21" s="4" t="inlineStr"/>
    </row>
    <row r="22">
      <c r="A22" s="5" t="inlineStr">
        <is>
          <t>C004</t>
        </is>
      </c>
      <c r="B22" s="6" t="inlineStr">
        <is>
          <t>台中分局</t>
        </is>
      </c>
      <c r="C22" s="6" t="inlineStr"/>
      <c r="D22" s="6" t="inlineStr"/>
    </row>
    <row r="23">
      <c r="A23" s="3" t="inlineStr">
        <is>
          <t>C005</t>
        </is>
      </c>
      <c r="B23" s="4" t="inlineStr">
        <is>
          <t>台南分局</t>
        </is>
      </c>
      <c r="C23" s="4" t="inlineStr"/>
      <c r="D23" s="4" t="inlineStr"/>
    </row>
    <row r="24">
      <c r="A24" s="5" t="inlineStr">
        <is>
          <t>C006</t>
        </is>
      </c>
      <c r="B24" s="6" t="inlineStr">
        <is>
          <t>高雄分局</t>
        </is>
      </c>
      <c r="C24" s="6" t="inlineStr"/>
      <c r="D24" s="6" t="inlineStr"/>
    </row>
    <row r="25">
      <c r="A25" s="3" t="inlineStr">
        <is>
          <t>C007</t>
        </is>
      </c>
      <c r="B25" s="4" t="inlineStr">
        <is>
          <t>基隆分局</t>
        </is>
      </c>
      <c r="C25" s="4" t="inlineStr"/>
      <c r="D25" s="4" t="inlineStr"/>
    </row>
    <row r="26">
      <c r="A26" s="5" t="inlineStr">
        <is>
          <t>C008</t>
        </is>
      </c>
      <c r="B26" s="6" t="inlineStr">
        <is>
          <t>花蓮分局</t>
        </is>
      </c>
      <c r="C26" s="6" t="inlineStr"/>
      <c r="D26" s="6" t="inlineStr"/>
    </row>
    <row r="27">
      <c r="A27" s="3" t="inlineStr">
        <is>
          <t>D001</t>
        </is>
      </c>
      <c r="B27" s="4" t="inlineStr">
        <is>
          <t>綜合規劃科</t>
        </is>
      </c>
      <c r="C27" s="4" t="inlineStr"/>
      <c r="D27" s="4" t="inlineStr"/>
    </row>
    <row r="28">
      <c r="A28" s="5" t="inlineStr">
        <is>
          <t>D002</t>
        </is>
      </c>
      <c r="B28" s="6" t="inlineStr">
        <is>
          <t>歲計科</t>
        </is>
      </c>
      <c r="C28" s="6" t="inlineStr"/>
      <c r="D28" s="6" t="inlineStr"/>
    </row>
    <row r="29">
      <c r="A29" s="3" t="inlineStr">
        <is>
          <t>D003</t>
        </is>
      </c>
      <c r="B29" s="4" t="inlineStr">
        <is>
          <t>統計科</t>
        </is>
      </c>
      <c r="C29" s="4" t="inlineStr"/>
      <c r="D29" s="4" t="inlineStr"/>
    </row>
    <row r="30">
      <c r="A30" s="5" t="inlineStr">
        <is>
          <t>D004</t>
        </is>
      </c>
      <c r="B30" s="6" t="inlineStr">
        <is>
          <t>文書科</t>
        </is>
      </c>
      <c r="C30" s="6" t="inlineStr"/>
      <c r="D30" s="6" t="inlineStr"/>
    </row>
    <row r="31">
      <c r="A31" s="3" t="inlineStr">
        <is>
          <t>D005</t>
        </is>
      </c>
      <c r="B31" s="4" t="inlineStr">
        <is>
          <t>出納科</t>
        </is>
      </c>
      <c r="C31" s="4" t="inlineStr"/>
      <c r="D31" s="4" t="inlineStr"/>
    </row>
    <row r="32">
      <c r="A32" s="5" t="inlineStr">
        <is>
          <t>D006</t>
        </is>
      </c>
      <c r="B32" s="6" t="inlineStr">
        <is>
          <t>採購科</t>
        </is>
      </c>
      <c r="C32" s="6" t="inlineStr"/>
      <c r="D32" s="6" t="inlineStr"/>
    </row>
    <row r="33">
      <c r="A33" s="3" t="inlineStr">
        <is>
          <t>D007</t>
        </is>
      </c>
      <c r="B33" s="4" t="inlineStr">
        <is>
          <t>稽查科</t>
        </is>
      </c>
      <c r="C33" s="4" t="inlineStr"/>
      <c r="D33" s="4" t="inlineStr"/>
    </row>
    <row r="34">
      <c r="A34" s="5" t="inlineStr">
        <is>
          <t>D008</t>
        </is>
      </c>
      <c r="B34" s="6" t="inlineStr">
        <is>
          <t>核稿科</t>
        </is>
      </c>
      <c r="C34" s="6" t="inlineStr"/>
      <c r="D34" s="6" t="inlineStr"/>
    </row>
    <row r="35">
      <c r="A35" s="3" t="inlineStr">
        <is>
          <t>E001</t>
        </is>
      </c>
      <c r="B35" s="4" t="inlineStr">
        <is>
          <t>訓練中心</t>
        </is>
      </c>
      <c r="C35" s="4" t="inlineStr"/>
      <c r="D35" s="4" t="inlineStr"/>
    </row>
    <row r="36">
      <c r="A36" s="5" t="inlineStr">
        <is>
          <t>E002</t>
        </is>
      </c>
      <c r="B36" s="6" t="inlineStr">
        <is>
          <t>研發中心</t>
        </is>
      </c>
      <c r="C36" s="6" t="inlineStr"/>
      <c r="D36" s="6" t="inlineStr"/>
    </row>
    <row r="37">
      <c r="A37" s="3" t="inlineStr">
        <is>
          <t>E003</t>
        </is>
      </c>
      <c r="B37" s="4" t="inlineStr">
        <is>
          <t>服務中心</t>
        </is>
      </c>
      <c r="C37" s="4" t="inlineStr"/>
      <c r="D37" s="4" t="inlineStr"/>
    </row>
    <row r="38">
      <c r="A38" s="5" t="inlineStr">
        <is>
          <t>E004</t>
        </is>
      </c>
      <c r="B38" s="6" t="inlineStr">
        <is>
          <t>管理中心</t>
        </is>
      </c>
      <c r="C38" s="6" t="inlineStr"/>
      <c r="D38" s="6" t="inlineStr"/>
    </row>
    <row r="39">
      <c r="A39" s="3" t="inlineStr">
        <is>
          <t>E005</t>
        </is>
      </c>
      <c r="B39" s="4" t="inlineStr">
        <is>
          <t>審查中心</t>
        </is>
      </c>
      <c r="C39" s="4" t="inlineStr"/>
      <c r="D39" s="4" t="inlineStr"/>
    </row>
    <row r="40">
      <c r="A40" s="5" t="inlineStr">
        <is>
          <t>E006</t>
        </is>
      </c>
      <c r="B40" s="6" t="inlineStr">
        <is>
          <t>監理中心</t>
        </is>
      </c>
      <c r="C40" s="6" t="inlineStr"/>
      <c r="D40" s="6" t="inlineStr"/>
    </row>
    <row r="41">
      <c r="A41" s="3" t="inlineStr">
        <is>
          <t>E007</t>
        </is>
      </c>
      <c r="B41" s="4" t="inlineStr">
        <is>
          <t>稽核中心</t>
        </is>
      </c>
      <c r="C41" s="4" t="inlineStr"/>
      <c r="D41" s="4" t="inlineStr"/>
    </row>
    <row r="42">
      <c r="A42" s="5" t="inlineStr">
        <is>
          <t>E008</t>
        </is>
      </c>
      <c r="B42" s="6" t="inlineStr">
        <is>
          <t>協調中心</t>
        </is>
      </c>
      <c r="C42" s="6" t="inlineStr"/>
      <c r="D42" s="6" t="inlineStr"/>
    </row>
    <row r="43">
      <c r="A43" s="3" t="inlineStr">
        <is>
          <t>F001</t>
        </is>
      </c>
      <c r="B43" s="4" t="inlineStr">
        <is>
          <t>企劃組</t>
        </is>
      </c>
      <c r="C43" s="4" t="inlineStr"/>
      <c r="D43" s="4" t="inlineStr"/>
    </row>
    <row r="44">
      <c r="A44" s="5" t="inlineStr">
        <is>
          <t>F002</t>
        </is>
      </c>
      <c r="B44" s="6" t="inlineStr">
        <is>
          <t>管理組</t>
        </is>
      </c>
      <c r="C44" s="6" t="inlineStr"/>
      <c r="D44" s="6" t="inlineStr"/>
    </row>
    <row r="45">
      <c r="A45" s="3" t="inlineStr">
        <is>
          <t>F003</t>
        </is>
      </c>
      <c r="B45" s="4" t="inlineStr">
        <is>
          <t>業務組</t>
        </is>
      </c>
      <c r="C45" s="4" t="inlineStr"/>
      <c r="D45" s="4" t="inlineStr"/>
    </row>
    <row r="46">
      <c r="A46" s="5" t="inlineStr">
        <is>
          <t>F004</t>
        </is>
      </c>
      <c r="B46" s="6" t="inlineStr">
        <is>
          <t>技術組</t>
        </is>
      </c>
      <c r="C46" s="6" t="inlineStr"/>
      <c r="D46" s="6" t="inlineStr"/>
    </row>
    <row r="47">
      <c r="A47" s="3" t="inlineStr">
        <is>
          <t>F005</t>
        </is>
      </c>
      <c r="B47" s="4" t="inlineStr">
        <is>
          <t>行政組</t>
        </is>
      </c>
      <c r="C47" s="4" t="inlineStr"/>
      <c r="D47" s="4" t="inlineStr"/>
    </row>
    <row r="48">
      <c r="A48" s="5" t="inlineStr">
        <is>
          <t>F006</t>
        </is>
      </c>
      <c r="B48" s="6" t="inlineStr">
        <is>
          <t>財務組</t>
        </is>
      </c>
      <c r="C48" s="6" t="inlineStr"/>
      <c r="D48" s="6" t="inlineStr"/>
    </row>
    <row r="49">
      <c r="A49" s="3" t="inlineStr">
        <is>
          <t>F007</t>
        </is>
      </c>
      <c r="B49" s="4" t="inlineStr">
        <is>
          <t>法規組</t>
        </is>
      </c>
      <c r="C49" s="4" t="inlineStr"/>
      <c r="D49" s="4" t="inlineStr"/>
    </row>
    <row r="50">
      <c r="A50" s="5" t="inlineStr">
        <is>
          <t>F008</t>
        </is>
      </c>
      <c r="B50" s="6" t="inlineStr">
        <is>
          <t>稽核組</t>
        </is>
      </c>
      <c r="C50" s="6" t="inlineStr"/>
      <c r="D50" s="6" t="inlineStr"/>
    </row>
    <row r="51">
      <c r="A51" s="3" t="inlineStr">
        <is>
          <t>G001</t>
        </is>
      </c>
      <c r="B51" s="4" t="inlineStr">
        <is>
          <t>中部辦公室</t>
        </is>
      </c>
      <c r="C51" s="4" t="inlineStr"/>
      <c r="D51" s="4" t="inlineStr"/>
    </row>
    <row r="52">
      <c r="A52" s="5" t="inlineStr">
        <is>
          <t>G002</t>
        </is>
      </c>
      <c r="B52" s="6" t="inlineStr">
        <is>
          <t>南部辦公室</t>
        </is>
      </c>
      <c r="C52" s="6" t="inlineStr"/>
      <c r="D52" s="6" t="inlineStr"/>
    </row>
    <row r="53">
      <c r="A53" s="3" t="inlineStr">
        <is>
          <t>G003</t>
        </is>
      </c>
      <c r="B53" s="4" t="inlineStr">
        <is>
          <t>東部辦公室</t>
        </is>
      </c>
      <c r="C53" s="4" t="inlineStr"/>
      <c r="D53" s="4" t="inlineStr"/>
    </row>
    <row r="54">
      <c r="A54" s="5" t="inlineStr">
        <is>
          <t>G004</t>
        </is>
      </c>
      <c r="B54" s="6" t="inlineStr">
        <is>
          <t>北部辦公室</t>
        </is>
      </c>
      <c r="C54" s="6" t="inlineStr"/>
      <c r="D54" s="6" t="inlineStr"/>
    </row>
    <row r="55">
      <c r="A55" s="3" t="inlineStr">
        <is>
          <t>G005</t>
        </is>
      </c>
      <c r="B55" s="4" t="inlineStr">
        <is>
          <t>離島辦公室</t>
        </is>
      </c>
      <c r="C55" s="4" t="inlineStr"/>
      <c r="D55" s="4" t="inlineStr"/>
    </row>
    <row r="56">
      <c r="A56" s="5" t="inlineStr">
        <is>
          <t>G006</t>
        </is>
      </c>
      <c r="B56" s="6" t="inlineStr">
        <is>
          <t>山區辦公室</t>
        </is>
      </c>
      <c r="C56" s="6" t="inlineStr"/>
      <c r="D56" s="6" t="inlineStr"/>
    </row>
    <row r="57">
      <c r="A57" s="3" t="inlineStr">
        <is>
          <t>G007</t>
        </is>
      </c>
      <c r="B57" s="4" t="inlineStr">
        <is>
          <t>海岸辦公室</t>
        </is>
      </c>
      <c r="C57" s="4" t="inlineStr"/>
      <c r="D57" s="4" t="inlineStr"/>
    </row>
    <row r="58">
      <c r="A58" s="5" t="inlineStr">
        <is>
          <t>G008</t>
        </is>
      </c>
      <c r="B58" s="6" t="inlineStr">
        <is>
          <t>城區辦公室</t>
        </is>
      </c>
      <c r="C58" s="6" t="inlineStr"/>
      <c r="D58" s="6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2" customWidth="1" min="5" max="5"/>
    <col width="8" customWidth="1" min="6" max="6"/>
    <col width="18" customWidth="1" min="7" max="7"/>
    <col width="20" customWidth="1" min="8" max="8"/>
  </cols>
  <sheetData>
    <row r="1">
      <c r="A1" s="1" t="inlineStr">
        <is>
          <t>📝 異動主檔（請在此新增資料）</t>
        </is>
      </c>
    </row>
    <row r="2">
      <c r="A2" s="2" t="inlineStr">
        <is>
          <t>流水號</t>
        </is>
      </c>
      <c r="B2" s="2" t="inlineStr">
        <is>
          <t>年度</t>
        </is>
      </c>
      <c r="C2" s="2" t="inlineStr">
        <is>
          <t>修正日期</t>
        </is>
      </c>
      <c r="D2" s="2" t="inlineStr">
        <is>
          <t>機關名稱</t>
        </is>
      </c>
      <c r="E2" s="2" t="inlineStr">
        <is>
          <t>調整類型</t>
        </is>
      </c>
      <c r="F2" s="2" t="inlineStr">
        <is>
          <t>人數</t>
        </is>
      </c>
      <c r="G2" s="2" t="inlineStr">
        <is>
          <t>事由</t>
        </is>
      </c>
      <c r="H2" s="2" t="inlineStr">
        <is>
          <t>備註</t>
        </is>
      </c>
    </row>
    <row r="3">
      <c r="A3" s="7" t="inlineStr">
        <is>
          <t>💡 提示：「調整類型」請從下拉選單選擇｜「年度」請輸入民國年｜「機關名稱」請從下拉選單選擇</t>
        </is>
      </c>
    </row>
    <row r="4">
      <c r="A4" s="3" t="n">
        <v>1</v>
      </c>
      <c r="B4" s="4" t="n">
        <v>99</v>
      </c>
      <c r="C4" s="4" t="inlineStr">
        <is>
          <t>99/01</t>
        </is>
      </c>
      <c r="D4" s="4" t="inlineStr">
        <is>
          <t>人事處</t>
        </is>
      </c>
      <c r="E4" s="4" t="inlineStr">
        <is>
          <t>移入</t>
        </is>
      </c>
      <c r="F4" s="4" t="n">
        <v>5</v>
      </c>
      <c r="G4" s="4" t="inlineStr">
        <is>
          <t>業務調整</t>
        </is>
      </c>
      <c r="H4" s="4" t="inlineStr"/>
    </row>
    <row r="5">
      <c r="A5" s="5" t="n">
        <v>2</v>
      </c>
      <c r="B5" s="6" t="n">
        <v>99</v>
      </c>
      <c r="C5" s="6" t="inlineStr">
        <is>
          <t>99/03</t>
        </is>
      </c>
      <c r="D5" s="6" t="inlineStr">
        <is>
          <t>人事處</t>
        </is>
      </c>
      <c r="E5" s="6" t="inlineStr">
        <is>
          <t>移出</t>
        </is>
      </c>
      <c r="F5" s="6" t="n">
        <v>2</v>
      </c>
      <c r="G5" s="6" t="inlineStr">
        <is>
          <t>屆齡退休</t>
        </is>
      </c>
      <c r="H5" s="6" t="inlineStr"/>
    </row>
    <row r="6">
      <c r="A6" s="3" t="n">
        <v>3</v>
      </c>
      <c r="B6" s="4" t="n">
        <v>99</v>
      </c>
      <c r="C6" s="4" t="inlineStr">
        <is>
          <t>99/06</t>
        </is>
      </c>
      <c r="D6" s="4" t="inlineStr">
        <is>
          <t>第一組</t>
        </is>
      </c>
      <c r="E6" s="4" t="inlineStr">
        <is>
          <t>新增</t>
        </is>
      </c>
      <c r="F6" s="4" t="n">
        <v>3</v>
      </c>
      <c r="G6" s="4" t="inlineStr">
        <is>
          <t>編制調整</t>
        </is>
      </c>
      <c r="H6" s="4" t="inlineStr">
        <is>
          <t>新增一個科室</t>
        </is>
      </c>
    </row>
    <row r="7">
      <c r="A7" s="5" t="n">
        <v>4</v>
      </c>
      <c r="B7" s="6" t="n">
        <v>99</v>
      </c>
      <c r="C7" s="6" t="inlineStr">
        <is>
          <t>99/09</t>
        </is>
      </c>
      <c r="D7" s="6" t="inlineStr">
        <is>
          <t>台北分局</t>
        </is>
      </c>
      <c r="E7" s="6" t="inlineStr">
        <is>
          <t>移入</t>
        </is>
      </c>
      <c r="F7" s="6" t="n">
        <v>4</v>
      </c>
      <c r="G7" s="6" t="inlineStr">
        <is>
          <t>業務移撥</t>
        </is>
      </c>
      <c r="H7" s="6" t="inlineStr"/>
    </row>
    <row r="8">
      <c r="A8" s="3" t="n">
        <v>5</v>
      </c>
      <c r="B8" s="4" t="n">
        <v>100</v>
      </c>
      <c r="C8" s="4" t="inlineStr">
        <is>
          <t>100/02</t>
        </is>
      </c>
      <c r="D8" s="4" t="inlineStr">
        <is>
          <t>人事處</t>
        </is>
      </c>
      <c r="E8" s="4" t="inlineStr">
        <is>
          <t>移入</t>
        </is>
      </c>
      <c r="F8" s="4" t="n">
        <v>2</v>
      </c>
      <c r="G8" s="4" t="inlineStr">
        <is>
          <t>考試分發</t>
        </is>
      </c>
      <c r="H8" s="4" t="inlineStr"/>
    </row>
    <row r="9">
      <c r="A9" s="5" t="n">
        <v>6</v>
      </c>
      <c r="B9" s="6" t="n">
        <v>100</v>
      </c>
      <c r="C9" s="6" t="inlineStr">
        <is>
          <t>100/05</t>
        </is>
      </c>
      <c r="D9" s="6" t="inlineStr">
        <is>
          <t>會計處</t>
        </is>
      </c>
      <c r="E9" s="6" t="inlineStr">
        <is>
          <t>減列</t>
        </is>
      </c>
      <c r="F9" s="6" t="n">
        <v>1</v>
      </c>
      <c r="G9" s="6" t="inlineStr">
        <is>
          <t>組織精簡</t>
        </is>
      </c>
      <c r="H9" s="6" t="inlineStr"/>
    </row>
    <row r="10">
      <c r="A10" s="3" t="n">
        <v>7</v>
      </c>
      <c r="B10" s="4" t="n">
        <v>100</v>
      </c>
      <c r="C10" s="4" t="inlineStr">
        <is>
          <t>100/08</t>
        </is>
      </c>
      <c r="D10" s="4" t="inlineStr">
        <is>
          <t>第二組</t>
        </is>
      </c>
      <c r="E10" s="4" t="inlineStr">
        <is>
          <t>移出</t>
        </is>
      </c>
      <c r="F10" s="4" t="n">
        <v>3</v>
      </c>
      <c r="G10" s="4" t="inlineStr">
        <is>
          <t>業務移撥</t>
        </is>
      </c>
      <c r="H10" s="4" t="inlineStr">
        <is>
          <t>調至其他單位</t>
        </is>
      </c>
    </row>
    <row r="11">
      <c r="A11" s="5" t="n">
        <v>8</v>
      </c>
      <c r="B11" s="6" t="n">
        <v>101</v>
      </c>
      <c r="C11" s="6" t="inlineStr">
        <is>
          <t>101/03</t>
        </is>
      </c>
      <c r="D11" s="6" t="inlineStr">
        <is>
          <t>人事處</t>
        </is>
      </c>
      <c r="E11" s="6" t="inlineStr">
        <is>
          <t>精簡</t>
        </is>
      </c>
      <c r="F11" s="6" t="n">
        <v>2</v>
      </c>
      <c r="G11" s="6" t="inlineStr">
        <is>
          <t>優退</t>
        </is>
      </c>
      <c r="H11" s="6" t="inlineStr"/>
    </row>
    <row r="12">
      <c r="A12" s="3" t="n">
        <v>9</v>
      </c>
      <c r="B12" s="4" t="n">
        <v>101</v>
      </c>
      <c r="C12" s="4" t="inlineStr">
        <is>
          <t>101/07</t>
        </is>
      </c>
      <c r="D12" s="4" t="inlineStr">
        <is>
          <t>新北分局</t>
        </is>
      </c>
      <c r="E12" s="4" t="inlineStr">
        <is>
          <t>新增</t>
        </is>
      </c>
      <c r="F12" s="4" t="n">
        <v>5</v>
      </c>
      <c r="G12" s="4" t="inlineStr">
        <is>
          <t>新設置</t>
        </is>
      </c>
      <c r="H12" s="4" t="inlineStr">
        <is>
          <t>新增分局</t>
        </is>
      </c>
    </row>
    <row r="13">
      <c r="A13" s="5" t="n">
        <v>10</v>
      </c>
      <c r="B13" s="6" t="n">
        <v>102</v>
      </c>
      <c r="C13" s="6" t="inlineStr">
        <is>
          <t>102/01</t>
        </is>
      </c>
      <c r="D13" s="6" t="inlineStr">
        <is>
          <t>政風處</t>
        </is>
      </c>
      <c r="E13" s="6" t="inlineStr">
        <is>
          <t>移入</t>
        </is>
      </c>
      <c r="F13" s="6" t="n">
        <v>3</v>
      </c>
      <c r="G13" s="6" t="inlineStr">
        <is>
          <t>業務調整</t>
        </is>
      </c>
      <c r="H13" s="6" t="inlineStr"/>
    </row>
    <row r="14">
      <c r="A14" s="3" t="n">
        <v>11</v>
      </c>
      <c r="B14" s="4" t="n">
        <v>103</v>
      </c>
      <c r="C14" s="4" t="inlineStr">
        <is>
          <t>103/04</t>
        </is>
      </c>
      <c r="D14" s="4" t="inlineStr">
        <is>
          <t>第一組</t>
        </is>
      </c>
      <c r="E14" s="4" t="inlineStr">
        <is>
          <t>移出</t>
        </is>
      </c>
      <c r="F14" s="4" t="n">
        <v>1</v>
      </c>
      <c r="G14" s="4" t="inlineStr">
        <is>
          <t>屆齡退休</t>
        </is>
      </c>
      <c r="H14" s="4" t="inlineStr"/>
    </row>
    <row r="15">
      <c r="A15" s="5" t="n">
        <v>12</v>
      </c>
      <c r="B15" s="6" t="n">
        <v>104</v>
      </c>
      <c r="C15" s="6" t="inlineStr">
        <is>
          <t>104/06</t>
        </is>
      </c>
      <c r="D15" s="6" t="inlineStr">
        <is>
          <t>人事處</t>
        </is>
      </c>
      <c r="E15" s="6" t="inlineStr">
        <is>
          <t>新增</t>
        </is>
      </c>
      <c r="F15" s="6" t="n">
        <v>4</v>
      </c>
      <c r="G15" s="6" t="inlineStr">
        <is>
          <t>編制調整</t>
        </is>
      </c>
      <c r="H15" s="6" t="inlineStr">
        <is>
          <t>業務擴張</t>
        </is>
      </c>
    </row>
    <row r="16">
      <c r="A16" s="3" t="n">
        <v>13</v>
      </c>
      <c r="B16" s="4" t="n">
        <v>105</v>
      </c>
      <c r="C16" s="4" t="inlineStr">
        <is>
          <t>105/02</t>
        </is>
      </c>
      <c r="D16" s="4" t="inlineStr">
        <is>
          <t>台北分局</t>
        </is>
      </c>
      <c r="E16" s="4" t="inlineStr">
        <is>
          <t>減列</t>
        </is>
      </c>
      <c r="F16" s="4" t="n">
        <v>2</v>
      </c>
      <c r="G16" s="4" t="inlineStr">
        <is>
          <t>組織整併</t>
        </is>
      </c>
      <c r="H16" s="4" t="inlineStr"/>
    </row>
  </sheetData>
  <mergeCells count="2">
    <mergeCell ref="A3:H3"/>
    <mergeCell ref="A1:H1"/>
  </mergeCells>
  <dataValidations count="3">
    <dataValidation sqref="D4:D1000" showDropDown="0" showInputMessage="0" showErrorMessage="1" allowBlank="1" errorTitle="輸入錯誤" error="請從下拉選單中選擇機關名稱" type="list">
      <formula1>='00_機關清冊'!$B$3:$B$62</formula1>
    </dataValidation>
    <dataValidation sqref="E4:E1000" showDropDown="0" showInputMessage="0" showErrorMessage="1" allowBlank="1" errorTitle="輸入錯誤" error="請從下拉選單中選擇調整類型" type="list">
      <formula1>"移入,移出,新增,減列,精簡"</formula1>
    </dataValidation>
    <dataValidation sqref="B4:B1000" showDropDown="0" showInputMessage="0" showErrorMessage="0" allowBlank="1" type="list">
      <formula1>"99,100,101,102,103,104,105,106,107,108,109,110,111,112,113,114,115,116,117,118,119,120,121,122,123,124,125"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1" t="inlineStr">
        <is>
          <t>📊 年初員額設定（99年度請手動輸入，100年度起自動帶入）</t>
        </is>
      </c>
    </row>
    <row r="2">
      <c r="A2" s="7" t="inlineStr">
        <is>
          <t>※ 黃色格子=需手動輸入｜綠色格子=公式自動計算（請勿修改）｜年份橫排，機關縱排</t>
        </is>
      </c>
    </row>
    <row r="4">
      <c r="A4" s="2" t="inlineStr">
        <is>
          <t>機關代碼</t>
        </is>
      </c>
      <c r="B4" s="2" t="inlineStr">
        <is>
          <t>機關名稱</t>
        </is>
      </c>
      <c r="C4" s="2" t="inlineStr">
        <is>
          <t>99年</t>
        </is>
      </c>
      <c r="D4" s="2" t="inlineStr">
        <is>
          <t>100年</t>
        </is>
      </c>
      <c r="E4" s="2" t="inlineStr">
        <is>
          <t>101年</t>
        </is>
      </c>
      <c r="F4" s="2" t="inlineStr">
        <is>
          <t>102年</t>
        </is>
      </c>
      <c r="G4" s="2" t="inlineStr">
        <is>
          <t>103年</t>
        </is>
      </c>
      <c r="H4" s="2" t="inlineStr">
        <is>
          <t>104年</t>
        </is>
      </c>
      <c r="I4" s="2" t="inlineStr">
        <is>
          <t>105年</t>
        </is>
      </c>
      <c r="J4" s="2" t="inlineStr">
        <is>
          <t>106年</t>
        </is>
      </c>
      <c r="K4" s="2" t="inlineStr">
        <is>
          <t>107年</t>
        </is>
      </c>
      <c r="L4" s="2" t="inlineStr">
        <is>
          <t>108年</t>
        </is>
      </c>
      <c r="M4" s="2" t="inlineStr">
        <is>
          <t>109年</t>
        </is>
      </c>
      <c r="N4" s="2" t="inlineStr">
        <is>
          <t>110年</t>
        </is>
      </c>
      <c r="O4" s="2" t="inlineStr">
        <is>
          <t>111年</t>
        </is>
      </c>
      <c r="P4" s="2" t="inlineStr">
        <is>
          <t>112年</t>
        </is>
      </c>
      <c r="Q4" s="2" t="inlineStr">
        <is>
          <t>113年</t>
        </is>
      </c>
      <c r="R4" s="2" t="inlineStr">
        <is>
          <t>114年</t>
        </is>
      </c>
      <c r="S4" s="2" t="inlineStr">
        <is>
          <t>115年</t>
        </is>
      </c>
      <c r="T4" s="2" t="inlineStr">
        <is>
          <t>116年</t>
        </is>
      </c>
      <c r="U4" s="2" t="inlineStr">
        <is>
          <t>117年</t>
        </is>
      </c>
      <c r="V4" s="2" t="inlineStr">
        <is>
          <t>118年</t>
        </is>
      </c>
      <c r="W4" s="2" t="inlineStr">
        <is>
          <t>119年</t>
        </is>
      </c>
      <c r="X4" s="2" t="inlineStr">
        <is>
          <t>120年</t>
        </is>
      </c>
      <c r="Y4" s="2" t="inlineStr">
        <is>
          <t>121年</t>
        </is>
      </c>
      <c r="Z4" s="2" t="inlineStr">
        <is>
          <t>122年</t>
        </is>
      </c>
      <c r="AA4" s="2" t="inlineStr">
        <is>
          <t>123年</t>
        </is>
      </c>
      <c r="AB4" s="2" t="inlineStr">
        <is>
          <t>124年</t>
        </is>
      </c>
      <c r="AC4" s="2" t="inlineStr">
        <is>
          <t>125年</t>
        </is>
      </c>
    </row>
    <row r="5" ht="22" customHeight="1">
      <c r="A5" s="4" t="inlineStr">
        <is>
          <t>A001</t>
        </is>
      </c>
      <c r="B5" s="3" t="inlineStr">
        <is>
          <t>人事處</t>
        </is>
      </c>
      <c r="C5" s="8" t="n">
        <v>50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</row>
    <row r="6" ht="22" customHeight="1">
      <c r="A6" s="6" t="inlineStr">
        <is>
          <t>A002</t>
        </is>
      </c>
      <c r="B6" s="5" t="inlineStr">
        <is>
          <t>會計處</t>
        </is>
      </c>
      <c r="C6" s="8" t="n">
        <v>53</v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</row>
    <row r="7" ht="22" customHeight="1">
      <c r="A7" s="4" t="inlineStr">
        <is>
          <t>A003</t>
        </is>
      </c>
      <c r="B7" s="3" t="inlineStr">
        <is>
          <t>政風處</t>
        </is>
      </c>
      <c r="C7" s="8" t="n">
        <v>56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</row>
    <row r="8" ht="22" customHeight="1">
      <c r="A8" s="6" t="inlineStr">
        <is>
          <t>A004</t>
        </is>
      </c>
      <c r="B8" s="5" t="inlineStr">
        <is>
          <t>總務處</t>
        </is>
      </c>
      <c r="C8" s="8" t="n">
        <v>59</v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</row>
    <row r="9" ht="22" customHeight="1">
      <c r="A9" s="4" t="inlineStr">
        <is>
          <t>A005</t>
        </is>
      </c>
      <c r="B9" s="3" t="inlineStr">
        <is>
          <t>資訊處</t>
        </is>
      </c>
      <c r="C9" s="8" t="n">
        <v>62</v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</row>
    <row r="10" ht="22" customHeight="1">
      <c r="A10" s="6" t="inlineStr">
        <is>
          <t>A006</t>
        </is>
      </c>
      <c r="B10" s="5" t="inlineStr">
        <is>
          <t>法制處</t>
        </is>
      </c>
      <c r="C10" s="8" t="n">
        <v>65</v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</row>
    <row r="11" ht="22" customHeight="1">
      <c r="A11" s="4" t="inlineStr">
        <is>
          <t>A007</t>
        </is>
      </c>
      <c r="B11" s="3" t="inlineStr">
        <is>
          <t>秘書處</t>
        </is>
      </c>
      <c r="C11" s="8" t="n">
        <v>68</v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</row>
    <row r="12" ht="22" customHeight="1">
      <c r="A12" s="6" t="inlineStr">
        <is>
          <t>A008</t>
        </is>
      </c>
      <c r="B12" s="5" t="inlineStr">
        <is>
          <t>公關室</t>
        </is>
      </c>
      <c r="C12" s="8" t="n">
        <v>71</v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</row>
    <row r="13" ht="22" customHeight="1">
      <c r="A13" s="4" t="inlineStr">
        <is>
          <t>B001</t>
        </is>
      </c>
      <c r="B13" s="3" t="inlineStr">
        <is>
          <t>第一組</t>
        </is>
      </c>
      <c r="C13" s="8" t="n">
        <v>74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</row>
    <row r="14" ht="22" customHeight="1">
      <c r="A14" s="6" t="inlineStr">
        <is>
          <t>B002</t>
        </is>
      </c>
      <c r="B14" s="5" t="inlineStr">
        <is>
          <t>第二組</t>
        </is>
      </c>
      <c r="C14" s="8" t="n">
        <v>77</v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</row>
    <row r="15" ht="22" customHeight="1">
      <c r="A15" s="4" t="inlineStr">
        <is>
          <t>B003</t>
        </is>
      </c>
      <c r="B15" s="3" t="inlineStr">
        <is>
          <t>第三組</t>
        </is>
      </c>
      <c r="C15" s="8" t="n">
        <v>80</v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</row>
    <row r="16" ht="22" customHeight="1">
      <c r="A16" s="6" t="inlineStr">
        <is>
          <t>B004</t>
        </is>
      </c>
      <c r="B16" s="5" t="inlineStr">
        <is>
          <t>第四組</t>
        </is>
      </c>
      <c r="C16" s="8" t="n">
        <v>83</v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</row>
    <row r="17" ht="22" customHeight="1">
      <c r="A17" s="4" t="inlineStr">
        <is>
          <t>B005</t>
        </is>
      </c>
      <c r="B17" s="3" t="inlineStr">
        <is>
          <t>第五組</t>
        </is>
      </c>
      <c r="C17" s="8" t="n">
        <v>86</v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</row>
    <row r="18" ht="22" customHeight="1">
      <c r="A18" s="6" t="inlineStr">
        <is>
          <t>B006</t>
        </is>
      </c>
      <c r="B18" s="5" t="inlineStr">
        <is>
          <t>第六組</t>
        </is>
      </c>
      <c r="C18" s="8" t="n">
        <v>89</v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</row>
    <row r="19" ht="22" customHeight="1">
      <c r="A19" s="4" t="inlineStr">
        <is>
          <t>B007</t>
        </is>
      </c>
      <c r="B19" s="3" t="inlineStr">
        <is>
          <t>第七組</t>
        </is>
      </c>
      <c r="C19" s="8" t="n">
        <v>92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</row>
    <row r="20" ht="22" customHeight="1">
      <c r="A20" s="6" t="inlineStr">
        <is>
          <t>B008</t>
        </is>
      </c>
      <c r="B20" s="5" t="inlineStr">
        <is>
          <t>第八組</t>
        </is>
      </c>
      <c r="C20" s="8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</row>
    <row r="21" ht="22" customHeight="1">
      <c r="A21" s="4" t="inlineStr">
        <is>
          <t>C001</t>
        </is>
      </c>
      <c r="B21" s="3" t="inlineStr">
        <is>
          <t>台北分局</t>
        </is>
      </c>
      <c r="C21" s="8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</row>
    <row r="22" ht="22" customHeight="1">
      <c r="A22" s="6" t="inlineStr">
        <is>
          <t>C002</t>
        </is>
      </c>
      <c r="B22" s="5" t="inlineStr">
        <is>
          <t>新北分局</t>
        </is>
      </c>
      <c r="C22" s="8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</row>
    <row r="23" ht="22" customHeight="1">
      <c r="A23" s="4" t="inlineStr">
        <is>
          <t>C003</t>
        </is>
      </c>
      <c r="B23" s="3" t="inlineStr">
        <is>
          <t>桃園分局</t>
        </is>
      </c>
      <c r="C23" s="8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</row>
    <row r="24" ht="22" customHeight="1">
      <c r="A24" s="6" t="inlineStr">
        <is>
          <t>C004</t>
        </is>
      </c>
      <c r="B24" s="5" t="inlineStr">
        <is>
          <t>台中分局</t>
        </is>
      </c>
      <c r="C24" s="8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</row>
    <row r="25" ht="22" customHeight="1">
      <c r="A25" s="4" t="inlineStr">
        <is>
          <t>C005</t>
        </is>
      </c>
      <c r="B25" s="3" t="inlineStr">
        <is>
          <t>台南分局</t>
        </is>
      </c>
      <c r="C25" s="8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</row>
    <row r="26" ht="22" customHeight="1">
      <c r="A26" s="6" t="inlineStr">
        <is>
          <t>C006</t>
        </is>
      </c>
      <c r="B26" s="5" t="inlineStr">
        <is>
          <t>高雄分局</t>
        </is>
      </c>
      <c r="C26" s="8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</row>
    <row r="27" ht="22" customHeight="1">
      <c r="A27" s="4" t="inlineStr">
        <is>
          <t>C007</t>
        </is>
      </c>
      <c r="B27" s="3" t="inlineStr">
        <is>
          <t>基隆分局</t>
        </is>
      </c>
      <c r="C27" s="8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</row>
    <row r="28" ht="22" customHeight="1">
      <c r="A28" s="6" t="inlineStr">
        <is>
          <t>C008</t>
        </is>
      </c>
      <c r="B28" s="5" t="inlineStr">
        <is>
          <t>花蓮分局</t>
        </is>
      </c>
      <c r="C28" s="8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</row>
    <row r="29" ht="22" customHeight="1">
      <c r="A29" s="4" t="inlineStr">
        <is>
          <t>D001</t>
        </is>
      </c>
      <c r="B29" s="3" t="inlineStr">
        <is>
          <t>綜合規劃科</t>
        </is>
      </c>
      <c r="C29" s="8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</row>
    <row r="30" ht="22" customHeight="1">
      <c r="A30" s="6" t="inlineStr">
        <is>
          <t>D002</t>
        </is>
      </c>
      <c r="B30" s="5" t="inlineStr">
        <is>
          <t>歲計科</t>
        </is>
      </c>
      <c r="C30" s="8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</row>
    <row r="31" ht="22" customHeight="1">
      <c r="A31" s="4" t="inlineStr">
        <is>
          <t>D003</t>
        </is>
      </c>
      <c r="B31" s="3" t="inlineStr">
        <is>
          <t>統計科</t>
        </is>
      </c>
      <c r="C31" s="8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</row>
    <row r="32" ht="22" customHeight="1">
      <c r="A32" s="6" t="inlineStr">
        <is>
          <t>D004</t>
        </is>
      </c>
      <c r="B32" s="5" t="inlineStr">
        <is>
          <t>文書科</t>
        </is>
      </c>
      <c r="C32" s="8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</row>
    <row r="33" ht="22" customHeight="1">
      <c r="A33" s="4" t="inlineStr">
        <is>
          <t>D005</t>
        </is>
      </c>
      <c r="B33" s="3" t="inlineStr">
        <is>
          <t>出納科</t>
        </is>
      </c>
      <c r="C33" s="8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</row>
    <row r="34" ht="22" customHeight="1">
      <c r="A34" s="6" t="inlineStr">
        <is>
          <t>D006</t>
        </is>
      </c>
      <c r="B34" s="5" t="inlineStr">
        <is>
          <t>採購科</t>
        </is>
      </c>
      <c r="C34" s="8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</row>
    <row r="35" ht="22" customHeight="1">
      <c r="A35" s="4" t="inlineStr">
        <is>
          <t>D007</t>
        </is>
      </c>
      <c r="B35" s="3" t="inlineStr">
        <is>
          <t>稽查科</t>
        </is>
      </c>
      <c r="C35" s="8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</row>
    <row r="36" ht="22" customHeight="1">
      <c r="A36" s="6" t="inlineStr">
        <is>
          <t>D008</t>
        </is>
      </c>
      <c r="B36" s="5" t="inlineStr">
        <is>
          <t>核稿科</t>
        </is>
      </c>
      <c r="C36" s="8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</row>
    <row r="37" ht="22" customHeight="1">
      <c r="A37" s="4" t="inlineStr">
        <is>
          <t>E001</t>
        </is>
      </c>
      <c r="B37" s="3" t="inlineStr">
        <is>
          <t>訓練中心</t>
        </is>
      </c>
      <c r="C37" s="8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</row>
    <row r="38" ht="22" customHeight="1">
      <c r="A38" s="6" t="inlineStr">
        <is>
          <t>E002</t>
        </is>
      </c>
      <c r="B38" s="5" t="inlineStr">
        <is>
          <t>研發中心</t>
        </is>
      </c>
      <c r="C38" s="8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</row>
    <row r="39" ht="22" customHeight="1">
      <c r="A39" s="4" t="inlineStr">
        <is>
          <t>E003</t>
        </is>
      </c>
      <c r="B39" s="3" t="inlineStr">
        <is>
          <t>服務中心</t>
        </is>
      </c>
      <c r="C39" s="8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</row>
    <row r="40" ht="22" customHeight="1">
      <c r="A40" s="6" t="inlineStr">
        <is>
          <t>E004</t>
        </is>
      </c>
      <c r="B40" s="5" t="inlineStr">
        <is>
          <t>管理中心</t>
        </is>
      </c>
      <c r="C40" s="8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</row>
    <row r="41" ht="22" customHeight="1">
      <c r="A41" s="4" t="inlineStr">
        <is>
          <t>E005</t>
        </is>
      </c>
      <c r="B41" s="3" t="inlineStr">
        <is>
          <t>審查中心</t>
        </is>
      </c>
      <c r="C41" s="8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</row>
    <row r="42" ht="22" customHeight="1">
      <c r="A42" s="6" t="inlineStr">
        <is>
          <t>E006</t>
        </is>
      </c>
      <c r="B42" s="5" t="inlineStr">
        <is>
          <t>監理中心</t>
        </is>
      </c>
      <c r="C42" s="8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</row>
    <row r="43" ht="22" customHeight="1">
      <c r="A43" s="4" t="inlineStr">
        <is>
          <t>E007</t>
        </is>
      </c>
      <c r="B43" s="3" t="inlineStr">
        <is>
          <t>稽核中心</t>
        </is>
      </c>
      <c r="C43" s="8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</row>
    <row r="44" ht="22" customHeight="1">
      <c r="A44" s="6" t="inlineStr">
        <is>
          <t>E008</t>
        </is>
      </c>
      <c r="B44" s="5" t="inlineStr">
        <is>
          <t>協調中心</t>
        </is>
      </c>
      <c r="C44" s="8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</row>
    <row r="45" ht="22" customHeight="1">
      <c r="A45" s="4" t="inlineStr">
        <is>
          <t>F001</t>
        </is>
      </c>
      <c r="B45" s="3" t="inlineStr">
        <is>
          <t>企劃組</t>
        </is>
      </c>
      <c r="C45" s="8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</row>
    <row r="46" ht="22" customHeight="1">
      <c r="A46" s="6" t="inlineStr">
        <is>
          <t>F002</t>
        </is>
      </c>
      <c r="B46" s="5" t="inlineStr">
        <is>
          <t>管理組</t>
        </is>
      </c>
      <c r="C46" s="8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</row>
    <row r="47" ht="22" customHeight="1">
      <c r="A47" s="4" t="inlineStr">
        <is>
          <t>F003</t>
        </is>
      </c>
      <c r="B47" s="3" t="inlineStr">
        <is>
          <t>業務組</t>
        </is>
      </c>
      <c r="C47" s="8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</row>
    <row r="48" ht="22" customHeight="1">
      <c r="A48" s="6" t="inlineStr">
        <is>
          <t>F004</t>
        </is>
      </c>
      <c r="B48" s="5" t="inlineStr">
        <is>
          <t>技術組</t>
        </is>
      </c>
      <c r="C48" s="8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</row>
    <row r="49" ht="22" customHeight="1">
      <c r="A49" s="4" t="inlineStr">
        <is>
          <t>F005</t>
        </is>
      </c>
      <c r="B49" s="3" t="inlineStr">
        <is>
          <t>行政組</t>
        </is>
      </c>
      <c r="C49" s="8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</row>
    <row r="50" ht="22" customHeight="1">
      <c r="A50" s="6" t="inlineStr">
        <is>
          <t>F006</t>
        </is>
      </c>
      <c r="B50" s="5" t="inlineStr">
        <is>
          <t>財務組</t>
        </is>
      </c>
      <c r="C50" s="8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</row>
    <row r="51" ht="22" customHeight="1">
      <c r="A51" s="4" t="inlineStr">
        <is>
          <t>F007</t>
        </is>
      </c>
      <c r="B51" s="3" t="inlineStr">
        <is>
          <t>法規組</t>
        </is>
      </c>
      <c r="C51" s="8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</row>
    <row r="52" ht="22" customHeight="1">
      <c r="A52" s="6" t="inlineStr">
        <is>
          <t>F008</t>
        </is>
      </c>
      <c r="B52" s="5" t="inlineStr">
        <is>
          <t>稽核組</t>
        </is>
      </c>
      <c r="C52" s="8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</row>
    <row r="53" ht="22" customHeight="1">
      <c r="A53" s="4" t="inlineStr">
        <is>
          <t>G001</t>
        </is>
      </c>
      <c r="B53" s="3" t="inlineStr">
        <is>
          <t>中部辦公室</t>
        </is>
      </c>
      <c r="C53" s="8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</row>
    <row r="54" ht="22" customHeight="1">
      <c r="A54" s="6" t="inlineStr">
        <is>
          <t>G002</t>
        </is>
      </c>
      <c r="B54" s="5" t="inlineStr">
        <is>
          <t>南部辦公室</t>
        </is>
      </c>
      <c r="C54" s="8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</row>
    <row r="55" ht="22" customHeight="1">
      <c r="A55" s="4" t="inlineStr">
        <is>
          <t>G003</t>
        </is>
      </c>
      <c r="B55" s="3" t="inlineStr">
        <is>
          <t>東部辦公室</t>
        </is>
      </c>
      <c r="C55" s="8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</row>
    <row r="56" ht="22" customHeight="1">
      <c r="A56" s="6" t="inlineStr">
        <is>
          <t>G004</t>
        </is>
      </c>
      <c r="B56" s="5" t="inlineStr">
        <is>
          <t>北部辦公室</t>
        </is>
      </c>
      <c r="C56" s="8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</row>
    <row r="57" ht="22" customHeight="1">
      <c r="A57" s="4" t="inlineStr">
        <is>
          <t>G005</t>
        </is>
      </c>
      <c r="B57" s="3" t="inlineStr">
        <is>
          <t>離島辦公室</t>
        </is>
      </c>
      <c r="C57" s="8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</row>
    <row r="58" ht="22" customHeight="1">
      <c r="A58" s="6" t="inlineStr">
        <is>
          <t>G006</t>
        </is>
      </c>
      <c r="B58" s="5" t="inlineStr">
        <is>
          <t>山區辦公室</t>
        </is>
      </c>
      <c r="C58" s="8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</row>
    <row r="59" ht="22" customHeight="1">
      <c r="A59" s="4" t="inlineStr">
        <is>
          <t>G007</t>
        </is>
      </c>
      <c r="B59" s="3" t="inlineStr">
        <is>
          <t>海岸辦公室</t>
        </is>
      </c>
      <c r="C59" s="8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</row>
    <row r="60" ht="22" customHeight="1">
      <c r="A60" s="6" t="inlineStr">
        <is>
          <t>G008</t>
        </is>
      </c>
      <c r="B60" s="5" t="inlineStr">
        <is>
          <t>城區辦公室</t>
        </is>
      </c>
      <c r="C60" s="8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</row>
  </sheetData>
  <mergeCells count="2">
    <mergeCell ref="A1:AD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📈 年度彙總（自動計算，請勿直接修改）</t>
        </is>
      </c>
    </row>
    <row r="2">
      <c r="A2" s="7" t="inlineStr">
        <is>
          <t>※ 自動彙總「01_異動主檔」的資料｜本表為唯讀，資料有誤請回「01_異動主檔」修改</t>
        </is>
      </c>
    </row>
    <row r="4">
      <c r="A4" s="2" t="inlineStr">
        <is>
          <t>機關代碼</t>
        </is>
      </c>
      <c r="B4" s="2" t="inlineStr">
        <is>
          <t>機關名稱</t>
        </is>
      </c>
      <c r="C4" s="2" t="inlineStr">
        <is>
          <t>年度</t>
        </is>
      </c>
      <c r="D4" s="2" t="inlineStr">
        <is>
          <t>年初</t>
        </is>
      </c>
      <c r="E4" s="2" t="inlineStr">
        <is>
          <t>移入</t>
        </is>
      </c>
      <c r="F4" s="2" t="inlineStr">
        <is>
          <t>移出</t>
        </is>
      </c>
      <c r="G4" s="2" t="inlineStr">
        <is>
          <t>新增</t>
        </is>
      </c>
      <c r="H4" s="2" t="inlineStr">
        <is>
          <t>減列</t>
        </is>
      </c>
      <c r="I4" s="2" t="inlineStr">
        <is>
          <t>精簡</t>
        </is>
      </c>
      <c r="J4" s="2" t="inlineStr">
        <is>
          <t>年底</t>
        </is>
      </c>
    </row>
    <row r="5" ht="18" customHeight="1">
      <c r="A5" s="4" t="inlineStr">
        <is>
          <t>A001</t>
        </is>
      </c>
      <c r="B5" s="3" t="inlineStr">
        <is>
          <t>人事處</t>
        </is>
      </c>
      <c r="C5" s="4" t="n">
        <v>99</v>
      </c>
      <c r="D5" s="10">
        <f>'02_年初員額設定'!C5</f>
        <v/>
      </c>
      <c r="E5" s="4">
        <f>SUMIFS('01_異動主檔'!$F:$F,'01_異動主檔'!$B:$B,99,'01_異動主檔'!$D:$D,B5,'01_異動主檔'!$E:$E,"移入")</f>
        <v/>
      </c>
      <c r="F5" s="4">
        <f>-SUMIFS('01_異動主檔'!$F:$F,'01_異動主檔'!$B:$B,99,'01_異動主檔'!$D:$D,B5,'01_異動主檔'!$E:$E,"移出")</f>
        <v/>
      </c>
      <c r="G5" s="4">
        <f>SUMIFS('01_異動主檔'!$F:$F,'01_異動主檔'!$B:$B,99,'01_異動主檔'!$D:$D,B5,'01_異動主檔'!$E:$E,"新增")</f>
        <v/>
      </c>
      <c r="H5" s="4">
        <f>-SUMIFS('01_異動主檔'!$F:$F,'01_異動主檔'!$B:$B,99,'01_異動主檔'!$D:$D,B5,'01_異動主檔'!$E:$E,"減列")</f>
        <v/>
      </c>
      <c r="I5" s="4">
        <f>-SUMIFS('01_異動主檔'!$F:$F,'01_異動主檔'!$B:$B,99,'01_異動主檔'!$D:$D,B5,'01_異動主檔'!$E:$E,"精簡")</f>
        <v/>
      </c>
      <c r="J5" s="10">
        <f>D5+E5+F5+G5+H5+I5</f>
        <v/>
      </c>
    </row>
    <row r="6" ht="18" customHeight="1">
      <c r="A6" s="6" t="inlineStr">
        <is>
          <t>A001</t>
        </is>
      </c>
      <c r="B6" s="5" t="inlineStr">
        <is>
          <t>人事處</t>
        </is>
      </c>
      <c r="C6" s="6" t="n">
        <v>100</v>
      </c>
      <c r="D6" s="10">
        <f>J5</f>
        <v/>
      </c>
      <c r="E6" s="4">
        <f>SUMIFS('01_異動主檔'!$F:$F,'01_異動主檔'!$B:$B,100,'01_異動主檔'!$D:$D,B6,'01_異動主檔'!$E:$E,"移入")</f>
        <v/>
      </c>
      <c r="F6" s="4">
        <f>-SUMIFS('01_異動主檔'!$F:$F,'01_異動主檔'!$B:$B,100,'01_異動主檔'!$D:$D,B6,'01_異動主檔'!$E:$E,"移出")</f>
        <v/>
      </c>
      <c r="G6" s="4">
        <f>SUMIFS('01_異動主檔'!$F:$F,'01_異動主檔'!$B:$B,100,'01_異動主檔'!$D:$D,B6,'01_異動主檔'!$E:$E,"新增")</f>
        <v/>
      </c>
      <c r="H6" s="4">
        <f>-SUMIFS('01_異動主檔'!$F:$F,'01_異動主檔'!$B:$B,100,'01_異動主檔'!$D:$D,B6,'01_異動主檔'!$E:$E,"減列")</f>
        <v/>
      </c>
      <c r="I6" s="4">
        <f>-SUMIFS('01_異動主檔'!$F:$F,'01_異動主檔'!$B:$B,100,'01_異動主檔'!$D:$D,B6,'01_異動主檔'!$E:$E,"精簡")</f>
        <v/>
      </c>
      <c r="J6" s="10">
        <f>D6+E6+F6+G6+H6+I6</f>
        <v/>
      </c>
    </row>
    <row r="7" ht="18" customHeight="1">
      <c r="A7" s="4" t="inlineStr">
        <is>
          <t>A001</t>
        </is>
      </c>
      <c r="B7" s="3" t="inlineStr">
        <is>
          <t>人事處</t>
        </is>
      </c>
      <c r="C7" s="4" t="n">
        <v>101</v>
      </c>
      <c r="D7" s="10">
        <f>J6</f>
        <v/>
      </c>
      <c r="E7" s="4">
        <f>SUMIFS('01_異動主檔'!$F:$F,'01_異動主檔'!$B:$B,101,'01_異動主檔'!$D:$D,B7,'01_異動主檔'!$E:$E,"移入")</f>
        <v/>
      </c>
      <c r="F7" s="4">
        <f>-SUMIFS('01_異動主檔'!$F:$F,'01_異動主檔'!$B:$B,101,'01_異動主檔'!$D:$D,B7,'01_異動主檔'!$E:$E,"移出")</f>
        <v/>
      </c>
      <c r="G7" s="4">
        <f>SUMIFS('01_異動主檔'!$F:$F,'01_異動主檔'!$B:$B,101,'01_異動主檔'!$D:$D,B7,'01_異動主檔'!$E:$E,"新增")</f>
        <v/>
      </c>
      <c r="H7" s="4">
        <f>-SUMIFS('01_異動主檔'!$F:$F,'01_異動主檔'!$B:$B,101,'01_異動主檔'!$D:$D,B7,'01_異動主檔'!$E:$E,"減列")</f>
        <v/>
      </c>
      <c r="I7" s="4">
        <f>-SUMIFS('01_異動主檔'!$F:$F,'01_異動主檔'!$B:$B,101,'01_異動主檔'!$D:$D,B7,'01_異動主檔'!$E:$E,"精簡")</f>
        <v/>
      </c>
      <c r="J7" s="10">
        <f>D7+E7+F7+G7+H7+I7</f>
        <v/>
      </c>
    </row>
    <row r="8" ht="18" customHeight="1">
      <c r="A8" s="6" t="inlineStr">
        <is>
          <t>A001</t>
        </is>
      </c>
      <c r="B8" s="5" t="inlineStr">
        <is>
          <t>人事處</t>
        </is>
      </c>
      <c r="C8" s="6" t="n">
        <v>102</v>
      </c>
      <c r="D8" s="10">
        <f>J7</f>
        <v/>
      </c>
      <c r="E8" s="4">
        <f>SUMIFS('01_異動主檔'!$F:$F,'01_異動主檔'!$B:$B,102,'01_異動主檔'!$D:$D,B8,'01_異動主檔'!$E:$E,"移入")</f>
        <v/>
      </c>
      <c r="F8" s="4">
        <f>-SUMIFS('01_異動主檔'!$F:$F,'01_異動主檔'!$B:$B,102,'01_異動主檔'!$D:$D,B8,'01_異動主檔'!$E:$E,"移出")</f>
        <v/>
      </c>
      <c r="G8" s="4">
        <f>SUMIFS('01_異動主檔'!$F:$F,'01_異動主檔'!$B:$B,102,'01_異動主檔'!$D:$D,B8,'01_異動主檔'!$E:$E,"新增")</f>
        <v/>
      </c>
      <c r="H8" s="4">
        <f>-SUMIFS('01_異動主檔'!$F:$F,'01_異動主檔'!$B:$B,102,'01_異動主檔'!$D:$D,B8,'01_異動主檔'!$E:$E,"減列")</f>
        <v/>
      </c>
      <c r="I8" s="4">
        <f>-SUMIFS('01_異動主檔'!$F:$F,'01_異動主檔'!$B:$B,102,'01_異動主檔'!$D:$D,B8,'01_異動主檔'!$E:$E,"精簡")</f>
        <v/>
      </c>
      <c r="J8" s="10">
        <f>D8+E8+F8+G8+H8+I8</f>
        <v/>
      </c>
    </row>
    <row r="9" ht="18" customHeight="1">
      <c r="A9" s="4" t="inlineStr">
        <is>
          <t>A001</t>
        </is>
      </c>
      <c r="B9" s="3" t="inlineStr">
        <is>
          <t>人事處</t>
        </is>
      </c>
      <c r="C9" s="4" t="n">
        <v>103</v>
      </c>
      <c r="D9" s="10">
        <f>J8</f>
        <v/>
      </c>
      <c r="E9" s="4">
        <f>SUMIFS('01_異動主檔'!$F:$F,'01_異動主檔'!$B:$B,103,'01_異動主檔'!$D:$D,B9,'01_異動主檔'!$E:$E,"移入")</f>
        <v/>
      </c>
      <c r="F9" s="4">
        <f>-SUMIFS('01_異動主檔'!$F:$F,'01_異動主檔'!$B:$B,103,'01_異動主檔'!$D:$D,B9,'01_異動主檔'!$E:$E,"移出")</f>
        <v/>
      </c>
      <c r="G9" s="4">
        <f>SUMIFS('01_異動主檔'!$F:$F,'01_異動主檔'!$B:$B,103,'01_異動主檔'!$D:$D,B9,'01_異動主檔'!$E:$E,"新增")</f>
        <v/>
      </c>
      <c r="H9" s="4">
        <f>-SUMIFS('01_異動主檔'!$F:$F,'01_異動主檔'!$B:$B,103,'01_異動主檔'!$D:$D,B9,'01_異動主檔'!$E:$E,"減列")</f>
        <v/>
      </c>
      <c r="I9" s="4">
        <f>-SUMIFS('01_異動主檔'!$F:$F,'01_異動主檔'!$B:$B,103,'01_異動主檔'!$D:$D,B9,'01_異動主檔'!$E:$E,"精簡")</f>
        <v/>
      </c>
      <c r="J9" s="10">
        <f>D9+E9+F9+G9+H9+I9</f>
        <v/>
      </c>
    </row>
    <row r="10" ht="18" customHeight="1">
      <c r="A10" s="6" t="inlineStr">
        <is>
          <t>A001</t>
        </is>
      </c>
      <c r="B10" s="5" t="inlineStr">
        <is>
          <t>人事處</t>
        </is>
      </c>
      <c r="C10" s="6" t="n">
        <v>104</v>
      </c>
      <c r="D10" s="10">
        <f>J9</f>
        <v/>
      </c>
      <c r="E10" s="4">
        <f>SUMIFS('01_異動主檔'!$F:$F,'01_異動主檔'!$B:$B,104,'01_異動主檔'!$D:$D,B10,'01_異動主檔'!$E:$E,"移入")</f>
        <v/>
      </c>
      <c r="F10" s="4">
        <f>-SUMIFS('01_異動主檔'!$F:$F,'01_異動主檔'!$B:$B,104,'01_異動主檔'!$D:$D,B10,'01_異動主檔'!$E:$E,"移出")</f>
        <v/>
      </c>
      <c r="G10" s="4">
        <f>SUMIFS('01_異動主檔'!$F:$F,'01_異動主檔'!$B:$B,104,'01_異動主檔'!$D:$D,B10,'01_異動主檔'!$E:$E,"新增")</f>
        <v/>
      </c>
      <c r="H10" s="4">
        <f>-SUMIFS('01_異動主檔'!$F:$F,'01_異動主檔'!$B:$B,104,'01_異動主檔'!$D:$D,B10,'01_異動主檔'!$E:$E,"減列")</f>
        <v/>
      </c>
      <c r="I10" s="4">
        <f>-SUMIFS('01_異動主檔'!$F:$F,'01_異動主檔'!$B:$B,104,'01_異動主檔'!$D:$D,B10,'01_異動主檔'!$E:$E,"精簡")</f>
        <v/>
      </c>
      <c r="J10" s="10">
        <f>D10+E10+F10+G10+H10+I10</f>
        <v/>
      </c>
    </row>
    <row r="11" ht="18" customHeight="1">
      <c r="A11" s="4" t="inlineStr">
        <is>
          <t>A001</t>
        </is>
      </c>
      <c r="B11" s="3" t="inlineStr">
        <is>
          <t>人事處</t>
        </is>
      </c>
      <c r="C11" s="4" t="n">
        <v>105</v>
      </c>
      <c r="D11" s="10">
        <f>J10</f>
        <v/>
      </c>
      <c r="E11" s="4">
        <f>SUMIFS('01_異動主檔'!$F:$F,'01_異動主檔'!$B:$B,105,'01_異動主檔'!$D:$D,B11,'01_異動主檔'!$E:$E,"移入")</f>
        <v/>
      </c>
      <c r="F11" s="4">
        <f>-SUMIFS('01_異動主檔'!$F:$F,'01_異動主檔'!$B:$B,105,'01_異動主檔'!$D:$D,B11,'01_異動主檔'!$E:$E,"移出")</f>
        <v/>
      </c>
      <c r="G11" s="4">
        <f>SUMIFS('01_異動主檔'!$F:$F,'01_異動主檔'!$B:$B,105,'01_異動主檔'!$D:$D,B11,'01_異動主檔'!$E:$E,"新增")</f>
        <v/>
      </c>
      <c r="H11" s="4">
        <f>-SUMIFS('01_異動主檔'!$F:$F,'01_異動主檔'!$B:$B,105,'01_異動主檔'!$D:$D,B11,'01_異動主檔'!$E:$E,"減列")</f>
        <v/>
      </c>
      <c r="I11" s="4">
        <f>-SUMIFS('01_異動主檔'!$F:$F,'01_異動主檔'!$B:$B,105,'01_異動主檔'!$D:$D,B11,'01_異動主檔'!$E:$E,"精簡")</f>
        <v/>
      </c>
      <c r="J11" s="10">
        <f>D11+E11+F11+G11+H11+I11</f>
        <v/>
      </c>
    </row>
    <row r="12" ht="18" customHeight="1">
      <c r="A12" s="6" t="inlineStr">
        <is>
          <t>A001</t>
        </is>
      </c>
      <c r="B12" s="5" t="inlineStr">
        <is>
          <t>人事處</t>
        </is>
      </c>
      <c r="C12" s="6" t="n">
        <v>106</v>
      </c>
      <c r="D12" s="10">
        <f>J11</f>
        <v/>
      </c>
      <c r="E12" s="4">
        <f>SUMIFS('01_異動主檔'!$F:$F,'01_異動主檔'!$B:$B,106,'01_異動主檔'!$D:$D,B12,'01_異動主檔'!$E:$E,"移入")</f>
        <v/>
      </c>
      <c r="F12" s="4">
        <f>-SUMIFS('01_異動主檔'!$F:$F,'01_異動主檔'!$B:$B,106,'01_異動主檔'!$D:$D,B12,'01_異動主檔'!$E:$E,"移出")</f>
        <v/>
      </c>
      <c r="G12" s="4">
        <f>SUMIFS('01_異動主檔'!$F:$F,'01_異動主檔'!$B:$B,106,'01_異動主檔'!$D:$D,B12,'01_異動主檔'!$E:$E,"新增")</f>
        <v/>
      </c>
      <c r="H12" s="4">
        <f>-SUMIFS('01_異動主檔'!$F:$F,'01_異動主檔'!$B:$B,106,'01_異動主檔'!$D:$D,B12,'01_異動主檔'!$E:$E,"減列")</f>
        <v/>
      </c>
      <c r="I12" s="4">
        <f>-SUMIFS('01_異動主檔'!$F:$F,'01_異動主檔'!$B:$B,106,'01_異動主檔'!$D:$D,B12,'01_異動主檔'!$E:$E,"精簡")</f>
        <v/>
      </c>
      <c r="J12" s="10">
        <f>D12+E12+F12+G12+H12+I12</f>
        <v/>
      </c>
    </row>
    <row r="13" ht="18" customHeight="1">
      <c r="A13" s="4" t="inlineStr">
        <is>
          <t>A001</t>
        </is>
      </c>
      <c r="B13" s="3" t="inlineStr">
        <is>
          <t>人事處</t>
        </is>
      </c>
      <c r="C13" s="4" t="n">
        <v>107</v>
      </c>
      <c r="D13" s="10">
        <f>J12</f>
        <v/>
      </c>
      <c r="E13" s="4">
        <f>SUMIFS('01_異動主檔'!$F:$F,'01_異動主檔'!$B:$B,107,'01_異動主檔'!$D:$D,B13,'01_異動主檔'!$E:$E,"移入")</f>
        <v/>
      </c>
      <c r="F13" s="4">
        <f>-SUMIFS('01_異動主檔'!$F:$F,'01_異動主檔'!$B:$B,107,'01_異動主檔'!$D:$D,B13,'01_異動主檔'!$E:$E,"移出")</f>
        <v/>
      </c>
      <c r="G13" s="4">
        <f>SUMIFS('01_異動主檔'!$F:$F,'01_異動主檔'!$B:$B,107,'01_異動主檔'!$D:$D,B13,'01_異動主檔'!$E:$E,"新增")</f>
        <v/>
      </c>
      <c r="H13" s="4">
        <f>-SUMIFS('01_異動主檔'!$F:$F,'01_異動主檔'!$B:$B,107,'01_異動主檔'!$D:$D,B13,'01_異動主檔'!$E:$E,"減列")</f>
        <v/>
      </c>
      <c r="I13" s="4">
        <f>-SUMIFS('01_異動主檔'!$F:$F,'01_異動主檔'!$B:$B,107,'01_異動主檔'!$D:$D,B13,'01_異動主檔'!$E:$E,"精簡")</f>
        <v/>
      </c>
      <c r="J13" s="10">
        <f>D13+E13+F13+G13+H13+I13</f>
        <v/>
      </c>
    </row>
    <row r="14" ht="18" customHeight="1">
      <c r="A14" s="6" t="inlineStr">
        <is>
          <t>A001</t>
        </is>
      </c>
      <c r="B14" s="5" t="inlineStr">
        <is>
          <t>人事處</t>
        </is>
      </c>
      <c r="C14" s="6" t="n">
        <v>108</v>
      </c>
      <c r="D14" s="10">
        <f>J13</f>
        <v/>
      </c>
      <c r="E14" s="4">
        <f>SUMIFS('01_異動主檔'!$F:$F,'01_異動主檔'!$B:$B,108,'01_異動主檔'!$D:$D,B14,'01_異動主檔'!$E:$E,"移入")</f>
        <v/>
      </c>
      <c r="F14" s="4">
        <f>-SUMIFS('01_異動主檔'!$F:$F,'01_異動主檔'!$B:$B,108,'01_異動主檔'!$D:$D,B14,'01_異動主檔'!$E:$E,"移出")</f>
        <v/>
      </c>
      <c r="G14" s="4">
        <f>SUMIFS('01_異動主檔'!$F:$F,'01_異動主檔'!$B:$B,108,'01_異動主檔'!$D:$D,B14,'01_異動主檔'!$E:$E,"新增")</f>
        <v/>
      </c>
      <c r="H14" s="4">
        <f>-SUMIFS('01_異動主檔'!$F:$F,'01_異動主檔'!$B:$B,108,'01_異動主檔'!$D:$D,B14,'01_異動主檔'!$E:$E,"減列")</f>
        <v/>
      </c>
      <c r="I14" s="4">
        <f>-SUMIFS('01_異動主檔'!$F:$F,'01_異動主檔'!$B:$B,108,'01_異動主檔'!$D:$D,B14,'01_異動主檔'!$E:$E,"精簡")</f>
        <v/>
      </c>
      <c r="J14" s="10">
        <f>D14+E14+F14+G14+H14+I14</f>
        <v/>
      </c>
    </row>
    <row r="15" ht="18" customHeight="1">
      <c r="A15" s="4" t="inlineStr">
        <is>
          <t>A001</t>
        </is>
      </c>
      <c r="B15" s="3" t="inlineStr">
        <is>
          <t>人事處</t>
        </is>
      </c>
      <c r="C15" s="4" t="n">
        <v>109</v>
      </c>
      <c r="D15" s="10">
        <f>J14</f>
        <v/>
      </c>
      <c r="E15" s="4">
        <f>SUMIFS('01_異動主檔'!$F:$F,'01_異動主檔'!$B:$B,109,'01_異動主檔'!$D:$D,B15,'01_異動主檔'!$E:$E,"移入")</f>
        <v/>
      </c>
      <c r="F15" s="4">
        <f>-SUMIFS('01_異動主檔'!$F:$F,'01_異動主檔'!$B:$B,109,'01_異動主檔'!$D:$D,B15,'01_異動主檔'!$E:$E,"移出")</f>
        <v/>
      </c>
      <c r="G15" s="4">
        <f>SUMIFS('01_異動主檔'!$F:$F,'01_異動主檔'!$B:$B,109,'01_異動主檔'!$D:$D,B15,'01_異動主檔'!$E:$E,"新增")</f>
        <v/>
      </c>
      <c r="H15" s="4">
        <f>-SUMIFS('01_異動主檔'!$F:$F,'01_異動主檔'!$B:$B,109,'01_異動主檔'!$D:$D,B15,'01_異動主檔'!$E:$E,"減列")</f>
        <v/>
      </c>
      <c r="I15" s="4">
        <f>-SUMIFS('01_異動主檔'!$F:$F,'01_異動主檔'!$B:$B,109,'01_異動主檔'!$D:$D,B15,'01_異動主檔'!$E:$E,"精簡")</f>
        <v/>
      </c>
      <c r="J15" s="10">
        <f>D15+E15+F15+G15+H15+I15</f>
        <v/>
      </c>
    </row>
    <row r="16" ht="18" customHeight="1">
      <c r="A16" s="6" t="inlineStr">
        <is>
          <t>A001</t>
        </is>
      </c>
      <c r="B16" s="5" t="inlineStr">
        <is>
          <t>人事處</t>
        </is>
      </c>
      <c r="C16" s="6" t="n">
        <v>110</v>
      </c>
      <c r="D16" s="10">
        <f>J15</f>
        <v/>
      </c>
      <c r="E16" s="4">
        <f>SUMIFS('01_異動主檔'!$F:$F,'01_異動主檔'!$B:$B,110,'01_異動主檔'!$D:$D,B16,'01_異動主檔'!$E:$E,"移入")</f>
        <v/>
      </c>
      <c r="F16" s="4">
        <f>-SUMIFS('01_異動主檔'!$F:$F,'01_異動主檔'!$B:$B,110,'01_異動主檔'!$D:$D,B16,'01_異動主檔'!$E:$E,"移出")</f>
        <v/>
      </c>
      <c r="G16" s="4">
        <f>SUMIFS('01_異動主檔'!$F:$F,'01_異動主檔'!$B:$B,110,'01_異動主檔'!$D:$D,B16,'01_異動主檔'!$E:$E,"新增")</f>
        <v/>
      </c>
      <c r="H16" s="4">
        <f>-SUMIFS('01_異動主檔'!$F:$F,'01_異動主檔'!$B:$B,110,'01_異動主檔'!$D:$D,B16,'01_異動主檔'!$E:$E,"減列")</f>
        <v/>
      </c>
      <c r="I16" s="4">
        <f>-SUMIFS('01_異動主檔'!$F:$F,'01_異動主檔'!$B:$B,110,'01_異動主檔'!$D:$D,B16,'01_異動主檔'!$E:$E,"精簡")</f>
        <v/>
      </c>
      <c r="J16" s="10">
        <f>D16+E16+F16+G16+H16+I16</f>
        <v/>
      </c>
    </row>
    <row r="17" ht="18" customHeight="1">
      <c r="A17" s="4" t="inlineStr">
        <is>
          <t>A001</t>
        </is>
      </c>
      <c r="B17" s="3" t="inlineStr">
        <is>
          <t>人事處</t>
        </is>
      </c>
      <c r="C17" s="4" t="n">
        <v>111</v>
      </c>
      <c r="D17" s="10">
        <f>J16</f>
        <v/>
      </c>
      <c r="E17" s="4">
        <f>SUMIFS('01_異動主檔'!$F:$F,'01_異動主檔'!$B:$B,111,'01_異動主檔'!$D:$D,B17,'01_異動主檔'!$E:$E,"移入")</f>
        <v/>
      </c>
      <c r="F17" s="4">
        <f>-SUMIFS('01_異動主檔'!$F:$F,'01_異動主檔'!$B:$B,111,'01_異動主檔'!$D:$D,B17,'01_異動主檔'!$E:$E,"移出")</f>
        <v/>
      </c>
      <c r="G17" s="4">
        <f>SUMIFS('01_異動主檔'!$F:$F,'01_異動主檔'!$B:$B,111,'01_異動主檔'!$D:$D,B17,'01_異動主檔'!$E:$E,"新增")</f>
        <v/>
      </c>
      <c r="H17" s="4">
        <f>-SUMIFS('01_異動主檔'!$F:$F,'01_異動主檔'!$B:$B,111,'01_異動主檔'!$D:$D,B17,'01_異動主檔'!$E:$E,"減列")</f>
        <v/>
      </c>
      <c r="I17" s="4">
        <f>-SUMIFS('01_異動主檔'!$F:$F,'01_異動主檔'!$B:$B,111,'01_異動主檔'!$D:$D,B17,'01_異動主檔'!$E:$E,"精簡")</f>
        <v/>
      </c>
      <c r="J17" s="10">
        <f>D17+E17+F17+G17+H17+I17</f>
        <v/>
      </c>
    </row>
    <row r="18" ht="18" customHeight="1">
      <c r="A18" s="6" t="inlineStr">
        <is>
          <t>A001</t>
        </is>
      </c>
      <c r="B18" s="5" t="inlineStr">
        <is>
          <t>人事處</t>
        </is>
      </c>
      <c r="C18" s="6" t="n">
        <v>112</v>
      </c>
      <c r="D18" s="10">
        <f>J17</f>
        <v/>
      </c>
      <c r="E18" s="4">
        <f>SUMIFS('01_異動主檔'!$F:$F,'01_異動主檔'!$B:$B,112,'01_異動主檔'!$D:$D,B18,'01_異動主檔'!$E:$E,"移入")</f>
        <v/>
      </c>
      <c r="F18" s="4">
        <f>-SUMIFS('01_異動主檔'!$F:$F,'01_異動主檔'!$B:$B,112,'01_異動主檔'!$D:$D,B18,'01_異動主檔'!$E:$E,"移出")</f>
        <v/>
      </c>
      <c r="G18" s="4">
        <f>SUMIFS('01_異動主檔'!$F:$F,'01_異動主檔'!$B:$B,112,'01_異動主檔'!$D:$D,B18,'01_異動主檔'!$E:$E,"新增")</f>
        <v/>
      </c>
      <c r="H18" s="4">
        <f>-SUMIFS('01_異動主檔'!$F:$F,'01_異動主檔'!$B:$B,112,'01_異動主檔'!$D:$D,B18,'01_異動主檔'!$E:$E,"減列")</f>
        <v/>
      </c>
      <c r="I18" s="4">
        <f>-SUMIFS('01_異動主檔'!$F:$F,'01_異動主檔'!$B:$B,112,'01_異動主檔'!$D:$D,B18,'01_異動主檔'!$E:$E,"精簡")</f>
        <v/>
      </c>
      <c r="J18" s="10">
        <f>D18+E18+F18+G18+H18+I18</f>
        <v/>
      </c>
    </row>
    <row r="19" ht="18" customHeight="1">
      <c r="A19" s="4" t="inlineStr">
        <is>
          <t>A001</t>
        </is>
      </c>
      <c r="B19" s="3" t="inlineStr">
        <is>
          <t>人事處</t>
        </is>
      </c>
      <c r="C19" s="4" t="n">
        <v>113</v>
      </c>
      <c r="D19" s="10">
        <f>J18</f>
        <v/>
      </c>
      <c r="E19" s="4">
        <f>SUMIFS('01_異動主檔'!$F:$F,'01_異動主檔'!$B:$B,113,'01_異動主檔'!$D:$D,B19,'01_異動主檔'!$E:$E,"移入")</f>
        <v/>
      </c>
      <c r="F19" s="4">
        <f>-SUMIFS('01_異動主檔'!$F:$F,'01_異動主檔'!$B:$B,113,'01_異動主檔'!$D:$D,B19,'01_異動主檔'!$E:$E,"移出")</f>
        <v/>
      </c>
      <c r="G19" s="4">
        <f>SUMIFS('01_異動主檔'!$F:$F,'01_異動主檔'!$B:$B,113,'01_異動主檔'!$D:$D,B19,'01_異動主檔'!$E:$E,"新增")</f>
        <v/>
      </c>
      <c r="H19" s="4">
        <f>-SUMIFS('01_異動主檔'!$F:$F,'01_異動主檔'!$B:$B,113,'01_異動主檔'!$D:$D,B19,'01_異動主檔'!$E:$E,"減列")</f>
        <v/>
      </c>
      <c r="I19" s="4">
        <f>-SUMIFS('01_異動主檔'!$F:$F,'01_異動主檔'!$B:$B,113,'01_異動主檔'!$D:$D,B19,'01_異動主檔'!$E:$E,"精簡")</f>
        <v/>
      </c>
      <c r="J19" s="10">
        <f>D19+E19+F19+G19+H19+I19</f>
        <v/>
      </c>
    </row>
    <row r="20" ht="18" customHeight="1">
      <c r="A20" s="6" t="inlineStr">
        <is>
          <t>A001</t>
        </is>
      </c>
      <c r="B20" s="5" t="inlineStr">
        <is>
          <t>人事處</t>
        </is>
      </c>
      <c r="C20" s="6" t="n">
        <v>114</v>
      </c>
      <c r="D20" s="10">
        <f>J19</f>
        <v/>
      </c>
      <c r="E20" s="4">
        <f>SUMIFS('01_異動主檔'!$F:$F,'01_異動主檔'!$B:$B,114,'01_異動主檔'!$D:$D,B20,'01_異動主檔'!$E:$E,"移入")</f>
        <v/>
      </c>
      <c r="F20" s="4">
        <f>-SUMIFS('01_異動主檔'!$F:$F,'01_異動主檔'!$B:$B,114,'01_異動主檔'!$D:$D,B20,'01_異動主檔'!$E:$E,"移出")</f>
        <v/>
      </c>
      <c r="G20" s="4">
        <f>SUMIFS('01_異動主檔'!$F:$F,'01_異動主檔'!$B:$B,114,'01_異動主檔'!$D:$D,B20,'01_異動主檔'!$E:$E,"新增")</f>
        <v/>
      </c>
      <c r="H20" s="4">
        <f>-SUMIFS('01_異動主檔'!$F:$F,'01_異動主檔'!$B:$B,114,'01_異動主檔'!$D:$D,B20,'01_異動主檔'!$E:$E,"減列")</f>
        <v/>
      </c>
      <c r="I20" s="4">
        <f>-SUMIFS('01_異動主檔'!$F:$F,'01_異動主檔'!$B:$B,114,'01_異動主檔'!$D:$D,B20,'01_異動主檔'!$E:$E,"精簡")</f>
        <v/>
      </c>
      <c r="J20" s="10">
        <f>D20+E20+F20+G20+H20+I20</f>
        <v/>
      </c>
    </row>
    <row r="21" ht="18" customHeight="1">
      <c r="A21" s="4" t="inlineStr">
        <is>
          <t>A001</t>
        </is>
      </c>
      <c r="B21" s="3" t="inlineStr">
        <is>
          <t>人事處</t>
        </is>
      </c>
      <c r="C21" s="4" t="n">
        <v>115</v>
      </c>
      <c r="D21" s="10">
        <f>J20</f>
        <v/>
      </c>
      <c r="E21" s="4">
        <f>SUMIFS('01_異動主檔'!$F:$F,'01_異動主檔'!$B:$B,115,'01_異動主檔'!$D:$D,B21,'01_異動主檔'!$E:$E,"移入")</f>
        <v/>
      </c>
      <c r="F21" s="4">
        <f>-SUMIFS('01_異動主檔'!$F:$F,'01_異動主檔'!$B:$B,115,'01_異動主檔'!$D:$D,B21,'01_異動主檔'!$E:$E,"移出")</f>
        <v/>
      </c>
      <c r="G21" s="4">
        <f>SUMIFS('01_異動主檔'!$F:$F,'01_異動主檔'!$B:$B,115,'01_異動主檔'!$D:$D,B21,'01_異動主檔'!$E:$E,"新增")</f>
        <v/>
      </c>
      <c r="H21" s="4">
        <f>-SUMIFS('01_異動主檔'!$F:$F,'01_異動主檔'!$B:$B,115,'01_異動主檔'!$D:$D,B21,'01_異動主檔'!$E:$E,"減列")</f>
        <v/>
      </c>
      <c r="I21" s="4">
        <f>-SUMIFS('01_異動主檔'!$F:$F,'01_異動主檔'!$B:$B,115,'01_異動主檔'!$D:$D,B21,'01_異動主檔'!$E:$E,"精簡")</f>
        <v/>
      </c>
      <c r="J21" s="10">
        <f>D21+E21+F21+G21+H21+I21</f>
        <v/>
      </c>
    </row>
    <row r="22" ht="18" customHeight="1">
      <c r="A22" s="6" t="inlineStr">
        <is>
          <t>A001</t>
        </is>
      </c>
      <c r="B22" s="5" t="inlineStr">
        <is>
          <t>人事處</t>
        </is>
      </c>
      <c r="C22" s="6" t="n">
        <v>116</v>
      </c>
      <c r="D22" s="10">
        <f>J21</f>
        <v/>
      </c>
      <c r="E22" s="4">
        <f>SUMIFS('01_異動主檔'!$F:$F,'01_異動主檔'!$B:$B,116,'01_異動主檔'!$D:$D,B22,'01_異動主檔'!$E:$E,"移入")</f>
        <v/>
      </c>
      <c r="F22" s="4">
        <f>-SUMIFS('01_異動主檔'!$F:$F,'01_異動主檔'!$B:$B,116,'01_異動主檔'!$D:$D,B22,'01_異動主檔'!$E:$E,"移出")</f>
        <v/>
      </c>
      <c r="G22" s="4">
        <f>SUMIFS('01_異動主檔'!$F:$F,'01_異動主檔'!$B:$B,116,'01_異動主檔'!$D:$D,B22,'01_異動主檔'!$E:$E,"新增")</f>
        <v/>
      </c>
      <c r="H22" s="4">
        <f>-SUMIFS('01_異動主檔'!$F:$F,'01_異動主檔'!$B:$B,116,'01_異動主檔'!$D:$D,B22,'01_異動主檔'!$E:$E,"減列")</f>
        <v/>
      </c>
      <c r="I22" s="4">
        <f>-SUMIFS('01_異動主檔'!$F:$F,'01_異動主檔'!$B:$B,116,'01_異動主檔'!$D:$D,B22,'01_異動主檔'!$E:$E,"精簡")</f>
        <v/>
      </c>
      <c r="J22" s="10">
        <f>D22+E22+F22+G22+H22+I22</f>
        <v/>
      </c>
    </row>
    <row r="23" ht="18" customHeight="1">
      <c r="A23" s="4" t="inlineStr">
        <is>
          <t>A001</t>
        </is>
      </c>
      <c r="B23" s="3" t="inlineStr">
        <is>
          <t>人事處</t>
        </is>
      </c>
      <c r="C23" s="4" t="n">
        <v>117</v>
      </c>
      <c r="D23" s="10">
        <f>J22</f>
        <v/>
      </c>
      <c r="E23" s="4">
        <f>SUMIFS('01_異動主檔'!$F:$F,'01_異動主檔'!$B:$B,117,'01_異動主檔'!$D:$D,B23,'01_異動主檔'!$E:$E,"移入")</f>
        <v/>
      </c>
      <c r="F23" s="4">
        <f>-SUMIFS('01_異動主檔'!$F:$F,'01_異動主檔'!$B:$B,117,'01_異動主檔'!$D:$D,B23,'01_異動主檔'!$E:$E,"移出")</f>
        <v/>
      </c>
      <c r="G23" s="4">
        <f>SUMIFS('01_異動主檔'!$F:$F,'01_異動主檔'!$B:$B,117,'01_異動主檔'!$D:$D,B23,'01_異動主檔'!$E:$E,"新增")</f>
        <v/>
      </c>
      <c r="H23" s="4">
        <f>-SUMIFS('01_異動主檔'!$F:$F,'01_異動主檔'!$B:$B,117,'01_異動主檔'!$D:$D,B23,'01_異動主檔'!$E:$E,"減列")</f>
        <v/>
      </c>
      <c r="I23" s="4">
        <f>-SUMIFS('01_異動主檔'!$F:$F,'01_異動主檔'!$B:$B,117,'01_異動主檔'!$D:$D,B23,'01_異動主檔'!$E:$E,"精簡")</f>
        <v/>
      </c>
      <c r="J23" s="10">
        <f>D23+E23+F23+G23+H23+I23</f>
        <v/>
      </c>
    </row>
    <row r="24" ht="18" customHeight="1">
      <c r="A24" s="6" t="inlineStr">
        <is>
          <t>A001</t>
        </is>
      </c>
      <c r="B24" s="5" t="inlineStr">
        <is>
          <t>人事處</t>
        </is>
      </c>
      <c r="C24" s="6" t="n">
        <v>118</v>
      </c>
      <c r="D24" s="10">
        <f>J23</f>
        <v/>
      </c>
      <c r="E24" s="4">
        <f>SUMIFS('01_異動主檔'!$F:$F,'01_異動主檔'!$B:$B,118,'01_異動主檔'!$D:$D,B24,'01_異動主檔'!$E:$E,"移入")</f>
        <v/>
      </c>
      <c r="F24" s="4">
        <f>-SUMIFS('01_異動主檔'!$F:$F,'01_異動主檔'!$B:$B,118,'01_異動主檔'!$D:$D,B24,'01_異動主檔'!$E:$E,"移出")</f>
        <v/>
      </c>
      <c r="G24" s="4">
        <f>SUMIFS('01_異動主檔'!$F:$F,'01_異動主檔'!$B:$B,118,'01_異動主檔'!$D:$D,B24,'01_異動主檔'!$E:$E,"新增")</f>
        <v/>
      </c>
      <c r="H24" s="4">
        <f>-SUMIFS('01_異動主檔'!$F:$F,'01_異動主檔'!$B:$B,118,'01_異動主檔'!$D:$D,B24,'01_異動主檔'!$E:$E,"減列")</f>
        <v/>
      </c>
      <c r="I24" s="4">
        <f>-SUMIFS('01_異動主檔'!$F:$F,'01_異動主檔'!$B:$B,118,'01_異動主檔'!$D:$D,B24,'01_異動主檔'!$E:$E,"精簡")</f>
        <v/>
      </c>
      <c r="J24" s="10">
        <f>D24+E24+F24+G24+H24+I24</f>
        <v/>
      </c>
    </row>
    <row r="25" ht="18" customHeight="1">
      <c r="A25" s="4" t="inlineStr">
        <is>
          <t>A001</t>
        </is>
      </c>
      <c r="B25" s="3" t="inlineStr">
        <is>
          <t>人事處</t>
        </is>
      </c>
      <c r="C25" s="4" t="n">
        <v>119</v>
      </c>
      <c r="D25" s="10">
        <f>J24</f>
        <v/>
      </c>
      <c r="E25" s="4">
        <f>SUMIFS('01_異動主檔'!$F:$F,'01_異動主檔'!$B:$B,119,'01_異動主檔'!$D:$D,B25,'01_異動主檔'!$E:$E,"移入")</f>
        <v/>
      </c>
      <c r="F25" s="4">
        <f>-SUMIFS('01_異動主檔'!$F:$F,'01_異動主檔'!$B:$B,119,'01_異動主檔'!$D:$D,B25,'01_異動主檔'!$E:$E,"移出")</f>
        <v/>
      </c>
      <c r="G25" s="4">
        <f>SUMIFS('01_異動主檔'!$F:$F,'01_異動主檔'!$B:$B,119,'01_異動主檔'!$D:$D,B25,'01_異動主檔'!$E:$E,"新增")</f>
        <v/>
      </c>
      <c r="H25" s="4">
        <f>-SUMIFS('01_異動主檔'!$F:$F,'01_異動主檔'!$B:$B,119,'01_異動主檔'!$D:$D,B25,'01_異動主檔'!$E:$E,"減列")</f>
        <v/>
      </c>
      <c r="I25" s="4">
        <f>-SUMIFS('01_異動主檔'!$F:$F,'01_異動主檔'!$B:$B,119,'01_異動主檔'!$D:$D,B25,'01_異動主檔'!$E:$E,"精簡")</f>
        <v/>
      </c>
      <c r="J25" s="10">
        <f>D25+E25+F25+G25+H25+I25</f>
        <v/>
      </c>
    </row>
    <row r="26" ht="18" customHeight="1">
      <c r="A26" s="6" t="inlineStr">
        <is>
          <t>A001</t>
        </is>
      </c>
      <c r="B26" s="5" t="inlineStr">
        <is>
          <t>人事處</t>
        </is>
      </c>
      <c r="C26" s="6" t="n">
        <v>120</v>
      </c>
      <c r="D26" s="10">
        <f>J25</f>
        <v/>
      </c>
      <c r="E26" s="4">
        <f>SUMIFS('01_異動主檔'!$F:$F,'01_異動主檔'!$B:$B,120,'01_異動主檔'!$D:$D,B26,'01_異動主檔'!$E:$E,"移入")</f>
        <v/>
      </c>
      <c r="F26" s="4">
        <f>-SUMIFS('01_異動主檔'!$F:$F,'01_異動主檔'!$B:$B,120,'01_異動主檔'!$D:$D,B26,'01_異動主檔'!$E:$E,"移出")</f>
        <v/>
      </c>
      <c r="G26" s="4">
        <f>SUMIFS('01_異動主檔'!$F:$F,'01_異動主檔'!$B:$B,120,'01_異動主檔'!$D:$D,B26,'01_異動主檔'!$E:$E,"新增")</f>
        <v/>
      </c>
      <c r="H26" s="4">
        <f>-SUMIFS('01_異動主檔'!$F:$F,'01_異動主檔'!$B:$B,120,'01_異動主檔'!$D:$D,B26,'01_異動主檔'!$E:$E,"減列")</f>
        <v/>
      </c>
      <c r="I26" s="4">
        <f>-SUMIFS('01_異動主檔'!$F:$F,'01_異動主檔'!$B:$B,120,'01_異動主檔'!$D:$D,B26,'01_異動主檔'!$E:$E,"精簡")</f>
        <v/>
      </c>
      <c r="J26" s="10">
        <f>D26+E26+F26+G26+H26+I26</f>
        <v/>
      </c>
    </row>
    <row r="27" ht="18" customHeight="1">
      <c r="A27" s="4" t="inlineStr">
        <is>
          <t>A001</t>
        </is>
      </c>
      <c r="B27" s="3" t="inlineStr">
        <is>
          <t>人事處</t>
        </is>
      </c>
      <c r="C27" s="4" t="n">
        <v>121</v>
      </c>
      <c r="D27" s="10">
        <f>J26</f>
        <v/>
      </c>
      <c r="E27" s="4">
        <f>SUMIFS('01_異動主檔'!$F:$F,'01_異動主檔'!$B:$B,121,'01_異動主檔'!$D:$D,B27,'01_異動主檔'!$E:$E,"移入")</f>
        <v/>
      </c>
      <c r="F27" s="4">
        <f>-SUMIFS('01_異動主檔'!$F:$F,'01_異動主檔'!$B:$B,121,'01_異動主檔'!$D:$D,B27,'01_異動主檔'!$E:$E,"移出")</f>
        <v/>
      </c>
      <c r="G27" s="4">
        <f>SUMIFS('01_異動主檔'!$F:$F,'01_異動主檔'!$B:$B,121,'01_異動主檔'!$D:$D,B27,'01_異動主檔'!$E:$E,"新增")</f>
        <v/>
      </c>
      <c r="H27" s="4">
        <f>-SUMIFS('01_異動主檔'!$F:$F,'01_異動主檔'!$B:$B,121,'01_異動主檔'!$D:$D,B27,'01_異動主檔'!$E:$E,"減列")</f>
        <v/>
      </c>
      <c r="I27" s="4">
        <f>-SUMIFS('01_異動主檔'!$F:$F,'01_異動主檔'!$B:$B,121,'01_異動主檔'!$D:$D,B27,'01_異動主檔'!$E:$E,"精簡")</f>
        <v/>
      </c>
      <c r="J27" s="10">
        <f>D27+E27+F27+G27+H27+I27</f>
        <v/>
      </c>
    </row>
    <row r="28" ht="18" customHeight="1">
      <c r="A28" s="6" t="inlineStr">
        <is>
          <t>A001</t>
        </is>
      </c>
      <c r="B28" s="5" t="inlineStr">
        <is>
          <t>人事處</t>
        </is>
      </c>
      <c r="C28" s="6" t="n">
        <v>122</v>
      </c>
      <c r="D28" s="10">
        <f>J27</f>
        <v/>
      </c>
      <c r="E28" s="4">
        <f>SUMIFS('01_異動主檔'!$F:$F,'01_異動主檔'!$B:$B,122,'01_異動主檔'!$D:$D,B28,'01_異動主檔'!$E:$E,"移入")</f>
        <v/>
      </c>
      <c r="F28" s="4">
        <f>-SUMIFS('01_異動主檔'!$F:$F,'01_異動主檔'!$B:$B,122,'01_異動主檔'!$D:$D,B28,'01_異動主檔'!$E:$E,"移出")</f>
        <v/>
      </c>
      <c r="G28" s="4">
        <f>SUMIFS('01_異動主檔'!$F:$F,'01_異動主檔'!$B:$B,122,'01_異動主檔'!$D:$D,B28,'01_異動主檔'!$E:$E,"新增")</f>
        <v/>
      </c>
      <c r="H28" s="4">
        <f>-SUMIFS('01_異動主檔'!$F:$F,'01_異動主檔'!$B:$B,122,'01_異動主檔'!$D:$D,B28,'01_異動主檔'!$E:$E,"減列")</f>
        <v/>
      </c>
      <c r="I28" s="4">
        <f>-SUMIFS('01_異動主檔'!$F:$F,'01_異動主檔'!$B:$B,122,'01_異動主檔'!$D:$D,B28,'01_異動主檔'!$E:$E,"精簡")</f>
        <v/>
      </c>
      <c r="J28" s="10">
        <f>D28+E28+F28+G28+H28+I28</f>
        <v/>
      </c>
    </row>
    <row r="29" ht="18" customHeight="1">
      <c r="A29" s="4" t="inlineStr">
        <is>
          <t>A001</t>
        </is>
      </c>
      <c r="B29" s="3" t="inlineStr">
        <is>
          <t>人事處</t>
        </is>
      </c>
      <c r="C29" s="4" t="n">
        <v>123</v>
      </c>
      <c r="D29" s="10">
        <f>J28</f>
        <v/>
      </c>
      <c r="E29" s="4">
        <f>SUMIFS('01_異動主檔'!$F:$F,'01_異動主檔'!$B:$B,123,'01_異動主檔'!$D:$D,B29,'01_異動主檔'!$E:$E,"移入")</f>
        <v/>
      </c>
      <c r="F29" s="4">
        <f>-SUMIFS('01_異動主檔'!$F:$F,'01_異動主檔'!$B:$B,123,'01_異動主檔'!$D:$D,B29,'01_異動主檔'!$E:$E,"移出")</f>
        <v/>
      </c>
      <c r="G29" s="4">
        <f>SUMIFS('01_異動主檔'!$F:$F,'01_異動主檔'!$B:$B,123,'01_異動主檔'!$D:$D,B29,'01_異動主檔'!$E:$E,"新增")</f>
        <v/>
      </c>
      <c r="H29" s="4">
        <f>-SUMIFS('01_異動主檔'!$F:$F,'01_異動主檔'!$B:$B,123,'01_異動主檔'!$D:$D,B29,'01_異動主檔'!$E:$E,"減列")</f>
        <v/>
      </c>
      <c r="I29" s="4">
        <f>-SUMIFS('01_異動主檔'!$F:$F,'01_異動主檔'!$B:$B,123,'01_異動主檔'!$D:$D,B29,'01_異動主檔'!$E:$E,"精簡")</f>
        <v/>
      </c>
      <c r="J29" s="10">
        <f>D29+E29+F29+G29+H29+I29</f>
        <v/>
      </c>
    </row>
    <row r="30" ht="18" customHeight="1">
      <c r="A30" s="6" t="inlineStr">
        <is>
          <t>A001</t>
        </is>
      </c>
      <c r="B30" s="5" t="inlineStr">
        <is>
          <t>人事處</t>
        </is>
      </c>
      <c r="C30" s="6" t="n">
        <v>124</v>
      </c>
      <c r="D30" s="10">
        <f>J29</f>
        <v/>
      </c>
      <c r="E30" s="4">
        <f>SUMIFS('01_異動主檔'!$F:$F,'01_異動主檔'!$B:$B,124,'01_異動主檔'!$D:$D,B30,'01_異動主檔'!$E:$E,"移入")</f>
        <v/>
      </c>
      <c r="F30" s="4">
        <f>-SUMIFS('01_異動主檔'!$F:$F,'01_異動主檔'!$B:$B,124,'01_異動主檔'!$D:$D,B30,'01_異動主檔'!$E:$E,"移出")</f>
        <v/>
      </c>
      <c r="G30" s="4">
        <f>SUMIFS('01_異動主檔'!$F:$F,'01_異動主檔'!$B:$B,124,'01_異動主檔'!$D:$D,B30,'01_異動主檔'!$E:$E,"新增")</f>
        <v/>
      </c>
      <c r="H30" s="4">
        <f>-SUMIFS('01_異動主檔'!$F:$F,'01_異動主檔'!$B:$B,124,'01_異動主檔'!$D:$D,B30,'01_異動主檔'!$E:$E,"減列")</f>
        <v/>
      </c>
      <c r="I30" s="4">
        <f>-SUMIFS('01_異動主檔'!$F:$F,'01_異動主檔'!$B:$B,124,'01_異動主檔'!$D:$D,B30,'01_異動主檔'!$E:$E,"精簡")</f>
        <v/>
      </c>
      <c r="J30" s="10">
        <f>D30+E30+F30+G30+H30+I30</f>
        <v/>
      </c>
    </row>
    <row r="31" ht="18" customHeight="1">
      <c r="A31" s="4" t="inlineStr">
        <is>
          <t>A001</t>
        </is>
      </c>
      <c r="B31" s="3" t="inlineStr">
        <is>
          <t>人事處</t>
        </is>
      </c>
      <c r="C31" s="4" t="n">
        <v>125</v>
      </c>
      <c r="D31" s="10">
        <f>J30</f>
        <v/>
      </c>
      <c r="E31" s="4">
        <f>SUMIFS('01_異動主檔'!$F:$F,'01_異動主檔'!$B:$B,125,'01_異動主檔'!$D:$D,B31,'01_異動主檔'!$E:$E,"移入")</f>
        <v/>
      </c>
      <c r="F31" s="4">
        <f>-SUMIFS('01_異動主檔'!$F:$F,'01_異動主檔'!$B:$B,125,'01_異動主檔'!$D:$D,B31,'01_異動主檔'!$E:$E,"移出")</f>
        <v/>
      </c>
      <c r="G31" s="4">
        <f>SUMIFS('01_異動主檔'!$F:$F,'01_異動主檔'!$B:$B,125,'01_異動主檔'!$D:$D,B31,'01_異動主檔'!$E:$E,"新增")</f>
        <v/>
      </c>
      <c r="H31" s="4">
        <f>-SUMIFS('01_異動主檔'!$F:$F,'01_異動主檔'!$B:$B,125,'01_異動主檔'!$D:$D,B31,'01_異動主檔'!$E:$E,"減列")</f>
        <v/>
      </c>
      <c r="I31" s="4">
        <f>-SUMIFS('01_異動主檔'!$F:$F,'01_異動主檔'!$B:$B,125,'01_異動主檔'!$D:$D,B31,'01_異動主檔'!$E:$E,"精簡")</f>
        <v/>
      </c>
      <c r="J31" s="10">
        <f>D31+E31+F31+G31+H31+I31</f>
        <v/>
      </c>
    </row>
    <row r="32" ht="18" customHeight="1">
      <c r="A32" s="6" t="inlineStr">
        <is>
          <t>A002</t>
        </is>
      </c>
      <c r="B32" s="5" t="inlineStr">
        <is>
          <t>會計處</t>
        </is>
      </c>
      <c r="C32" s="6" t="n">
        <v>99</v>
      </c>
      <c r="D32" s="10">
        <f>'02_年初員額設定'!C6</f>
        <v/>
      </c>
      <c r="E32" s="4">
        <f>SUMIFS('01_異動主檔'!$F:$F,'01_異動主檔'!$B:$B,99,'01_異動主檔'!$D:$D,B32,'01_異動主檔'!$E:$E,"移入")</f>
        <v/>
      </c>
      <c r="F32" s="4">
        <f>-SUMIFS('01_異動主檔'!$F:$F,'01_異動主檔'!$B:$B,99,'01_異動主檔'!$D:$D,B32,'01_異動主檔'!$E:$E,"移出")</f>
        <v/>
      </c>
      <c r="G32" s="4">
        <f>SUMIFS('01_異動主檔'!$F:$F,'01_異動主檔'!$B:$B,99,'01_異動主檔'!$D:$D,B32,'01_異動主檔'!$E:$E,"新增")</f>
        <v/>
      </c>
      <c r="H32" s="4">
        <f>-SUMIFS('01_異動主檔'!$F:$F,'01_異動主檔'!$B:$B,99,'01_異動主檔'!$D:$D,B32,'01_異動主檔'!$E:$E,"減列")</f>
        <v/>
      </c>
      <c r="I32" s="4">
        <f>-SUMIFS('01_異動主檔'!$F:$F,'01_異動主檔'!$B:$B,99,'01_異動主檔'!$D:$D,B32,'01_異動主檔'!$E:$E,"精簡")</f>
        <v/>
      </c>
      <c r="J32" s="10">
        <f>D32+E32+F32+G32+H32+I32</f>
        <v/>
      </c>
    </row>
    <row r="33" ht="18" customHeight="1">
      <c r="A33" s="4" t="inlineStr">
        <is>
          <t>A002</t>
        </is>
      </c>
      <c r="B33" s="3" t="inlineStr">
        <is>
          <t>會計處</t>
        </is>
      </c>
      <c r="C33" s="4" t="n">
        <v>100</v>
      </c>
      <c r="D33" s="10">
        <f>J32</f>
        <v/>
      </c>
      <c r="E33" s="4">
        <f>SUMIFS('01_異動主檔'!$F:$F,'01_異動主檔'!$B:$B,100,'01_異動主檔'!$D:$D,B33,'01_異動主檔'!$E:$E,"移入")</f>
        <v/>
      </c>
      <c r="F33" s="4">
        <f>-SUMIFS('01_異動主檔'!$F:$F,'01_異動主檔'!$B:$B,100,'01_異動主檔'!$D:$D,B33,'01_異動主檔'!$E:$E,"移出")</f>
        <v/>
      </c>
      <c r="G33" s="4">
        <f>SUMIFS('01_異動主檔'!$F:$F,'01_異動主檔'!$B:$B,100,'01_異動主檔'!$D:$D,B33,'01_異動主檔'!$E:$E,"新增")</f>
        <v/>
      </c>
      <c r="H33" s="4">
        <f>-SUMIFS('01_異動主檔'!$F:$F,'01_異動主檔'!$B:$B,100,'01_異動主檔'!$D:$D,B33,'01_異動主檔'!$E:$E,"減列")</f>
        <v/>
      </c>
      <c r="I33" s="4">
        <f>-SUMIFS('01_異動主檔'!$F:$F,'01_異動主檔'!$B:$B,100,'01_異動主檔'!$D:$D,B33,'01_異動主檔'!$E:$E,"精簡")</f>
        <v/>
      </c>
      <c r="J33" s="10">
        <f>D33+E33+F33+G33+H33+I33</f>
        <v/>
      </c>
    </row>
    <row r="34" ht="18" customHeight="1">
      <c r="A34" s="6" t="inlineStr">
        <is>
          <t>A002</t>
        </is>
      </c>
      <c r="B34" s="5" t="inlineStr">
        <is>
          <t>會計處</t>
        </is>
      </c>
      <c r="C34" s="6" t="n">
        <v>101</v>
      </c>
      <c r="D34" s="10">
        <f>J33</f>
        <v/>
      </c>
      <c r="E34" s="4">
        <f>SUMIFS('01_異動主檔'!$F:$F,'01_異動主檔'!$B:$B,101,'01_異動主檔'!$D:$D,B34,'01_異動主檔'!$E:$E,"移入")</f>
        <v/>
      </c>
      <c r="F34" s="4">
        <f>-SUMIFS('01_異動主檔'!$F:$F,'01_異動主檔'!$B:$B,101,'01_異動主檔'!$D:$D,B34,'01_異動主檔'!$E:$E,"移出")</f>
        <v/>
      </c>
      <c r="G34" s="4">
        <f>SUMIFS('01_異動主檔'!$F:$F,'01_異動主檔'!$B:$B,101,'01_異動主檔'!$D:$D,B34,'01_異動主檔'!$E:$E,"新增")</f>
        <v/>
      </c>
      <c r="H34" s="4">
        <f>-SUMIFS('01_異動主檔'!$F:$F,'01_異動主檔'!$B:$B,101,'01_異動主檔'!$D:$D,B34,'01_異動主檔'!$E:$E,"減列")</f>
        <v/>
      </c>
      <c r="I34" s="4">
        <f>-SUMIFS('01_異動主檔'!$F:$F,'01_異動主檔'!$B:$B,101,'01_異動主檔'!$D:$D,B34,'01_異動主檔'!$E:$E,"精簡")</f>
        <v/>
      </c>
      <c r="J34" s="10">
        <f>D34+E34+F34+G34+H34+I34</f>
        <v/>
      </c>
    </row>
    <row r="35" ht="18" customHeight="1">
      <c r="A35" s="4" t="inlineStr">
        <is>
          <t>A002</t>
        </is>
      </c>
      <c r="B35" s="3" t="inlineStr">
        <is>
          <t>會計處</t>
        </is>
      </c>
      <c r="C35" s="4" t="n">
        <v>102</v>
      </c>
      <c r="D35" s="10">
        <f>J34</f>
        <v/>
      </c>
      <c r="E35" s="4">
        <f>SUMIFS('01_異動主檔'!$F:$F,'01_異動主檔'!$B:$B,102,'01_異動主檔'!$D:$D,B35,'01_異動主檔'!$E:$E,"移入")</f>
        <v/>
      </c>
      <c r="F35" s="4">
        <f>-SUMIFS('01_異動主檔'!$F:$F,'01_異動主檔'!$B:$B,102,'01_異動主檔'!$D:$D,B35,'01_異動主檔'!$E:$E,"移出")</f>
        <v/>
      </c>
      <c r="G35" s="4">
        <f>SUMIFS('01_異動主檔'!$F:$F,'01_異動主檔'!$B:$B,102,'01_異動主檔'!$D:$D,B35,'01_異動主檔'!$E:$E,"新增")</f>
        <v/>
      </c>
      <c r="H35" s="4">
        <f>-SUMIFS('01_異動主檔'!$F:$F,'01_異動主檔'!$B:$B,102,'01_異動主檔'!$D:$D,B35,'01_異動主檔'!$E:$E,"減列")</f>
        <v/>
      </c>
      <c r="I35" s="4">
        <f>-SUMIFS('01_異動主檔'!$F:$F,'01_異動主檔'!$B:$B,102,'01_異動主檔'!$D:$D,B35,'01_異動主檔'!$E:$E,"精簡")</f>
        <v/>
      </c>
      <c r="J35" s="10">
        <f>D35+E35+F35+G35+H35+I35</f>
        <v/>
      </c>
    </row>
    <row r="36" ht="18" customHeight="1">
      <c r="A36" s="6" t="inlineStr">
        <is>
          <t>A002</t>
        </is>
      </c>
      <c r="B36" s="5" t="inlineStr">
        <is>
          <t>會計處</t>
        </is>
      </c>
      <c r="C36" s="6" t="n">
        <v>103</v>
      </c>
      <c r="D36" s="10">
        <f>J35</f>
        <v/>
      </c>
      <c r="E36" s="4">
        <f>SUMIFS('01_異動主檔'!$F:$F,'01_異動主檔'!$B:$B,103,'01_異動主檔'!$D:$D,B36,'01_異動主檔'!$E:$E,"移入")</f>
        <v/>
      </c>
      <c r="F36" s="4">
        <f>-SUMIFS('01_異動主檔'!$F:$F,'01_異動主檔'!$B:$B,103,'01_異動主檔'!$D:$D,B36,'01_異動主檔'!$E:$E,"移出")</f>
        <v/>
      </c>
      <c r="G36" s="4">
        <f>SUMIFS('01_異動主檔'!$F:$F,'01_異動主檔'!$B:$B,103,'01_異動主檔'!$D:$D,B36,'01_異動主檔'!$E:$E,"新增")</f>
        <v/>
      </c>
      <c r="H36" s="4">
        <f>-SUMIFS('01_異動主檔'!$F:$F,'01_異動主檔'!$B:$B,103,'01_異動主檔'!$D:$D,B36,'01_異動主檔'!$E:$E,"減列")</f>
        <v/>
      </c>
      <c r="I36" s="4">
        <f>-SUMIFS('01_異動主檔'!$F:$F,'01_異動主檔'!$B:$B,103,'01_異動主檔'!$D:$D,B36,'01_異動主檔'!$E:$E,"精簡")</f>
        <v/>
      </c>
      <c r="J36" s="10">
        <f>D36+E36+F36+G36+H36+I36</f>
        <v/>
      </c>
    </row>
    <row r="37" ht="18" customHeight="1">
      <c r="A37" s="4" t="inlineStr">
        <is>
          <t>A002</t>
        </is>
      </c>
      <c r="B37" s="3" t="inlineStr">
        <is>
          <t>會計處</t>
        </is>
      </c>
      <c r="C37" s="4" t="n">
        <v>104</v>
      </c>
      <c r="D37" s="10">
        <f>J36</f>
        <v/>
      </c>
      <c r="E37" s="4">
        <f>SUMIFS('01_異動主檔'!$F:$F,'01_異動主檔'!$B:$B,104,'01_異動主檔'!$D:$D,B37,'01_異動主檔'!$E:$E,"移入")</f>
        <v/>
      </c>
      <c r="F37" s="4">
        <f>-SUMIFS('01_異動主檔'!$F:$F,'01_異動主檔'!$B:$B,104,'01_異動主檔'!$D:$D,B37,'01_異動主檔'!$E:$E,"移出")</f>
        <v/>
      </c>
      <c r="G37" s="4">
        <f>SUMIFS('01_異動主檔'!$F:$F,'01_異動主檔'!$B:$B,104,'01_異動主檔'!$D:$D,B37,'01_異動主檔'!$E:$E,"新增")</f>
        <v/>
      </c>
      <c r="H37" s="4">
        <f>-SUMIFS('01_異動主檔'!$F:$F,'01_異動主檔'!$B:$B,104,'01_異動主檔'!$D:$D,B37,'01_異動主檔'!$E:$E,"減列")</f>
        <v/>
      </c>
      <c r="I37" s="4">
        <f>-SUMIFS('01_異動主檔'!$F:$F,'01_異動主檔'!$B:$B,104,'01_異動主檔'!$D:$D,B37,'01_異動主檔'!$E:$E,"精簡")</f>
        <v/>
      </c>
      <c r="J37" s="10">
        <f>D37+E37+F37+G37+H37+I37</f>
        <v/>
      </c>
    </row>
    <row r="38" ht="18" customHeight="1">
      <c r="A38" s="6" t="inlineStr">
        <is>
          <t>A002</t>
        </is>
      </c>
      <c r="B38" s="5" t="inlineStr">
        <is>
          <t>會計處</t>
        </is>
      </c>
      <c r="C38" s="6" t="n">
        <v>105</v>
      </c>
      <c r="D38" s="10">
        <f>J37</f>
        <v/>
      </c>
      <c r="E38" s="4">
        <f>SUMIFS('01_異動主檔'!$F:$F,'01_異動主檔'!$B:$B,105,'01_異動主檔'!$D:$D,B38,'01_異動主檔'!$E:$E,"移入")</f>
        <v/>
      </c>
      <c r="F38" s="4">
        <f>-SUMIFS('01_異動主檔'!$F:$F,'01_異動主檔'!$B:$B,105,'01_異動主檔'!$D:$D,B38,'01_異動主檔'!$E:$E,"移出")</f>
        <v/>
      </c>
      <c r="G38" s="4">
        <f>SUMIFS('01_異動主檔'!$F:$F,'01_異動主檔'!$B:$B,105,'01_異動主檔'!$D:$D,B38,'01_異動主檔'!$E:$E,"新增")</f>
        <v/>
      </c>
      <c r="H38" s="4">
        <f>-SUMIFS('01_異動主檔'!$F:$F,'01_異動主檔'!$B:$B,105,'01_異動主檔'!$D:$D,B38,'01_異動主檔'!$E:$E,"減列")</f>
        <v/>
      </c>
      <c r="I38" s="4">
        <f>-SUMIFS('01_異動主檔'!$F:$F,'01_異動主檔'!$B:$B,105,'01_異動主檔'!$D:$D,B38,'01_異動主檔'!$E:$E,"精簡")</f>
        <v/>
      </c>
      <c r="J38" s="10">
        <f>D38+E38+F38+G38+H38+I38</f>
        <v/>
      </c>
    </row>
    <row r="39" ht="18" customHeight="1">
      <c r="A39" s="4" t="inlineStr">
        <is>
          <t>A002</t>
        </is>
      </c>
      <c r="B39" s="3" t="inlineStr">
        <is>
          <t>會計處</t>
        </is>
      </c>
      <c r="C39" s="4" t="n">
        <v>106</v>
      </c>
      <c r="D39" s="10">
        <f>J38</f>
        <v/>
      </c>
      <c r="E39" s="4">
        <f>SUMIFS('01_異動主檔'!$F:$F,'01_異動主檔'!$B:$B,106,'01_異動主檔'!$D:$D,B39,'01_異動主檔'!$E:$E,"移入")</f>
        <v/>
      </c>
      <c r="F39" s="4">
        <f>-SUMIFS('01_異動主檔'!$F:$F,'01_異動主檔'!$B:$B,106,'01_異動主檔'!$D:$D,B39,'01_異動主檔'!$E:$E,"移出")</f>
        <v/>
      </c>
      <c r="G39" s="4">
        <f>SUMIFS('01_異動主檔'!$F:$F,'01_異動主檔'!$B:$B,106,'01_異動主檔'!$D:$D,B39,'01_異動主檔'!$E:$E,"新增")</f>
        <v/>
      </c>
      <c r="H39" s="4">
        <f>-SUMIFS('01_異動主檔'!$F:$F,'01_異動主檔'!$B:$B,106,'01_異動主檔'!$D:$D,B39,'01_異動主檔'!$E:$E,"減列")</f>
        <v/>
      </c>
      <c r="I39" s="4">
        <f>-SUMIFS('01_異動主檔'!$F:$F,'01_異動主檔'!$B:$B,106,'01_異動主檔'!$D:$D,B39,'01_異動主檔'!$E:$E,"精簡")</f>
        <v/>
      </c>
      <c r="J39" s="10">
        <f>D39+E39+F39+G39+H39+I39</f>
        <v/>
      </c>
    </row>
    <row r="40" ht="18" customHeight="1">
      <c r="A40" s="6" t="inlineStr">
        <is>
          <t>A002</t>
        </is>
      </c>
      <c r="B40" s="5" t="inlineStr">
        <is>
          <t>會計處</t>
        </is>
      </c>
      <c r="C40" s="6" t="n">
        <v>107</v>
      </c>
      <c r="D40" s="10">
        <f>J39</f>
        <v/>
      </c>
      <c r="E40" s="4">
        <f>SUMIFS('01_異動主檔'!$F:$F,'01_異動主檔'!$B:$B,107,'01_異動主檔'!$D:$D,B40,'01_異動主檔'!$E:$E,"移入")</f>
        <v/>
      </c>
      <c r="F40" s="4">
        <f>-SUMIFS('01_異動主檔'!$F:$F,'01_異動主檔'!$B:$B,107,'01_異動主檔'!$D:$D,B40,'01_異動主檔'!$E:$E,"移出")</f>
        <v/>
      </c>
      <c r="G40" s="4">
        <f>SUMIFS('01_異動主檔'!$F:$F,'01_異動主檔'!$B:$B,107,'01_異動主檔'!$D:$D,B40,'01_異動主檔'!$E:$E,"新增")</f>
        <v/>
      </c>
      <c r="H40" s="4">
        <f>-SUMIFS('01_異動主檔'!$F:$F,'01_異動主檔'!$B:$B,107,'01_異動主檔'!$D:$D,B40,'01_異動主檔'!$E:$E,"減列")</f>
        <v/>
      </c>
      <c r="I40" s="4">
        <f>-SUMIFS('01_異動主檔'!$F:$F,'01_異動主檔'!$B:$B,107,'01_異動主檔'!$D:$D,B40,'01_異動主檔'!$E:$E,"精簡")</f>
        <v/>
      </c>
      <c r="J40" s="10">
        <f>D40+E40+F40+G40+H40+I40</f>
        <v/>
      </c>
    </row>
    <row r="41" ht="18" customHeight="1">
      <c r="A41" s="4" t="inlineStr">
        <is>
          <t>A002</t>
        </is>
      </c>
      <c r="B41" s="3" t="inlineStr">
        <is>
          <t>會計處</t>
        </is>
      </c>
      <c r="C41" s="4" t="n">
        <v>108</v>
      </c>
      <c r="D41" s="10">
        <f>J40</f>
        <v/>
      </c>
      <c r="E41" s="4">
        <f>SUMIFS('01_異動主檔'!$F:$F,'01_異動主檔'!$B:$B,108,'01_異動主檔'!$D:$D,B41,'01_異動主檔'!$E:$E,"移入")</f>
        <v/>
      </c>
      <c r="F41" s="4">
        <f>-SUMIFS('01_異動主檔'!$F:$F,'01_異動主檔'!$B:$B,108,'01_異動主檔'!$D:$D,B41,'01_異動主檔'!$E:$E,"移出")</f>
        <v/>
      </c>
      <c r="G41" s="4">
        <f>SUMIFS('01_異動主檔'!$F:$F,'01_異動主檔'!$B:$B,108,'01_異動主檔'!$D:$D,B41,'01_異動主檔'!$E:$E,"新增")</f>
        <v/>
      </c>
      <c r="H41" s="4">
        <f>-SUMIFS('01_異動主檔'!$F:$F,'01_異動主檔'!$B:$B,108,'01_異動主檔'!$D:$D,B41,'01_異動主檔'!$E:$E,"減列")</f>
        <v/>
      </c>
      <c r="I41" s="4">
        <f>-SUMIFS('01_異動主檔'!$F:$F,'01_異動主檔'!$B:$B,108,'01_異動主檔'!$D:$D,B41,'01_異動主檔'!$E:$E,"精簡")</f>
        <v/>
      </c>
      <c r="J41" s="10">
        <f>D41+E41+F41+G41+H41+I41</f>
        <v/>
      </c>
    </row>
    <row r="42" ht="18" customHeight="1">
      <c r="A42" s="6" t="inlineStr">
        <is>
          <t>A002</t>
        </is>
      </c>
      <c r="B42" s="5" t="inlineStr">
        <is>
          <t>會計處</t>
        </is>
      </c>
      <c r="C42" s="6" t="n">
        <v>109</v>
      </c>
      <c r="D42" s="10">
        <f>J41</f>
        <v/>
      </c>
      <c r="E42" s="4">
        <f>SUMIFS('01_異動主檔'!$F:$F,'01_異動主檔'!$B:$B,109,'01_異動主檔'!$D:$D,B42,'01_異動主檔'!$E:$E,"移入")</f>
        <v/>
      </c>
      <c r="F42" s="4">
        <f>-SUMIFS('01_異動主檔'!$F:$F,'01_異動主檔'!$B:$B,109,'01_異動主檔'!$D:$D,B42,'01_異動主檔'!$E:$E,"移出")</f>
        <v/>
      </c>
      <c r="G42" s="4">
        <f>SUMIFS('01_異動主檔'!$F:$F,'01_異動主檔'!$B:$B,109,'01_異動主檔'!$D:$D,B42,'01_異動主檔'!$E:$E,"新增")</f>
        <v/>
      </c>
      <c r="H42" s="4">
        <f>-SUMIFS('01_異動主檔'!$F:$F,'01_異動主檔'!$B:$B,109,'01_異動主檔'!$D:$D,B42,'01_異動主檔'!$E:$E,"減列")</f>
        <v/>
      </c>
      <c r="I42" s="4">
        <f>-SUMIFS('01_異動主檔'!$F:$F,'01_異動主檔'!$B:$B,109,'01_異動主檔'!$D:$D,B42,'01_異動主檔'!$E:$E,"精簡")</f>
        <v/>
      </c>
      <c r="J42" s="10">
        <f>D42+E42+F42+G42+H42+I42</f>
        <v/>
      </c>
    </row>
    <row r="43" ht="18" customHeight="1">
      <c r="A43" s="4" t="inlineStr">
        <is>
          <t>A002</t>
        </is>
      </c>
      <c r="B43" s="3" t="inlineStr">
        <is>
          <t>會計處</t>
        </is>
      </c>
      <c r="C43" s="4" t="n">
        <v>110</v>
      </c>
      <c r="D43" s="10">
        <f>J42</f>
        <v/>
      </c>
      <c r="E43" s="4">
        <f>SUMIFS('01_異動主檔'!$F:$F,'01_異動主檔'!$B:$B,110,'01_異動主檔'!$D:$D,B43,'01_異動主檔'!$E:$E,"移入")</f>
        <v/>
      </c>
      <c r="F43" s="4">
        <f>-SUMIFS('01_異動主檔'!$F:$F,'01_異動主檔'!$B:$B,110,'01_異動主檔'!$D:$D,B43,'01_異動主檔'!$E:$E,"移出")</f>
        <v/>
      </c>
      <c r="G43" s="4">
        <f>SUMIFS('01_異動主檔'!$F:$F,'01_異動主檔'!$B:$B,110,'01_異動主檔'!$D:$D,B43,'01_異動主檔'!$E:$E,"新增")</f>
        <v/>
      </c>
      <c r="H43" s="4">
        <f>-SUMIFS('01_異動主檔'!$F:$F,'01_異動主檔'!$B:$B,110,'01_異動主檔'!$D:$D,B43,'01_異動主檔'!$E:$E,"減列")</f>
        <v/>
      </c>
      <c r="I43" s="4">
        <f>-SUMIFS('01_異動主檔'!$F:$F,'01_異動主檔'!$B:$B,110,'01_異動主檔'!$D:$D,B43,'01_異動主檔'!$E:$E,"精簡")</f>
        <v/>
      </c>
      <c r="J43" s="10">
        <f>D43+E43+F43+G43+H43+I43</f>
        <v/>
      </c>
    </row>
    <row r="44" ht="18" customHeight="1">
      <c r="A44" s="6" t="inlineStr">
        <is>
          <t>A002</t>
        </is>
      </c>
      <c r="B44" s="5" t="inlineStr">
        <is>
          <t>會計處</t>
        </is>
      </c>
      <c r="C44" s="6" t="n">
        <v>111</v>
      </c>
      <c r="D44" s="10">
        <f>J43</f>
        <v/>
      </c>
      <c r="E44" s="4">
        <f>SUMIFS('01_異動主檔'!$F:$F,'01_異動主檔'!$B:$B,111,'01_異動主檔'!$D:$D,B44,'01_異動主檔'!$E:$E,"移入")</f>
        <v/>
      </c>
      <c r="F44" s="4">
        <f>-SUMIFS('01_異動主檔'!$F:$F,'01_異動主檔'!$B:$B,111,'01_異動主檔'!$D:$D,B44,'01_異動主檔'!$E:$E,"移出")</f>
        <v/>
      </c>
      <c r="G44" s="4">
        <f>SUMIFS('01_異動主檔'!$F:$F,'01_異動主檔'!$B:$B,111,'01_異動主檔'!$D:$D,B44,'01_異動主檔'!$E:$E,"新增")</f>
        <v/>
      </c>
      <c r="H44" s="4">
        <f>-SUMIFS('01_異動主檔'!$F:$F,'01_異動主檔'!$B:$B,111,'01_異動主檔'!$D:$D,B44,'01_異動主檔'!$E:$E,"減列")</f>
        <v/>
      </c>
      <c r="I44" s="4">
        <f>-SUMIFS('01_異動主檔'!$F:$F,'01_異動主檔'!$B:$B,111,'01_異動主檔'!$D:$D,B44,'01_異動主檔'!$E:$E,"精簡")</f>
        <v/>
      </c>
      <c r="J44" s="10">
        <f>D44+E44+F44+G44+H44+I44</f>
        <v/>
      </c>
    </row>
    <row r="45" ht="18" customHeight="1">
      <c r="A45" s="4" t="inlineStr">
        <is>
          <t>A002</t>
        </is>
      </c>
      <c r="B45" s="3" t="inlineStr">
        <is>
          <t>會計處</t>
        </is>
      </c>
      <c r="C45" s="4" t="n">
        <v>112</v>
      </c>
      <c r="D45" s="10">
        <f>J44</f>
        <v/>
      </c>
      <c r="E45" s="4">
        <f>SUMIFS('01_異動主檔'!$F:$F,'01_異動主檔'!$B:$B,112,'01_異動主檔'!$D:$D,B45,'01_異動主檔'!$E:$E,"移入")</f>
        <v/>
      </c>
      <c r="F45" s="4">
        <f>-SUMIFS('01_異動主檔'!$F:$F,'01_異動主檔'!$B:$B,112,'01_異動主檔'!$D:$D,B45,'01_異動主檔'!$E:$E,"移出")</f>
        <v/>
      </c>
      <c r="G45" s="4">
        <f>SUMIFS('01_異動主檔'!$F:$F,'01_異動主檔'!$B:$B,112,'01_異動主檔'!$D:$D,B45,'01_異動主檔'!$E:$E,"新增")</f>
        <v/>
      </c>
      <c r="H45" s="4">
        <f>-SUMIFS('01_異動主檔'!$F:$F,'01_異動主檔'!$B:$B,112,'01_異動主檔'!$D:$D,B45,'01_異動主檔'!$E:$E,"減列")</f>
        <v/>
      </c>
      <c r="I45" s="4">
        <f>-SUMIFS('01_異動主檔'!$F:$F,'01_異動主檔'!$B:$B,112,'01_異動主檔'!$D:$D,B45,'01_異動主檔'!$E:$E,"精簡")</f>
        <v/>
      </c>
      <c r="J45" s="10">
        <f>D45+E45+F45+G45+H45+I45</f>
        <v/>
      </c>
    </row>
    <row r="46" ht="18" customHeight="1">
      <c r="A46" s="6" t="inlineStr">
        <is>
          <t>A002</t>
        </is>
      </c>
      <c r="B46" s="5" t="inlineStr">
        <is>
          <t>會計處</t>
        </is>
      </c>
      <c r="C46" s="6" t="n">
        <v>113</v>
      </c>
      <c r="D46" s="10">
        <f>J45</f>
        <v/>
      </c>
      <c r="E46" s="4">
        <f>SUMIFS('01_異動主檔'!$F:$F,'01_異動主檔'!$B:$B,113,'01_異動主檔'!$D:$D,B46,'01_異動主檔'!$E:$E,"移入")</f>
        <v/>
      </c>
      <c r="F46" s="4">
        <f>-SUMIFS('01_異動主檔'!$F:$F,'01_異動主檔'!$B:$B,113,'01_異動主檔'!$D:$D,B46,'01_異動主檔'!$E:$E,"移出")</f>
        <v/>
      </c>
      <c r="G46" s="4">
        <f>SUMIFS('01_異動主檔'!$F:$F,'01_異動主檔'!$B:$B,113,'01_異動主檔'!$D:$D,B46,'01_異動主檔'!$E:$E,"新增")</f>
        <v/>
      </c>
      <c r="H46" s="4">
        <f>-SUMIFS('01_異動主檔'!$F:$F,'01_異動主檔'!$B:$B,113,'01_異動主檔'!$D:$D,B46,'01_異動主檔'!$E:$E,"減列")</f>
        <v/>
      </c>
      <c r="I46" s="4">
        <f>-SUMIFS('01_異動主檔'!$F:$F,'01_異動主檔'!$B:$B,113,'01_異動主檔'!$D:$D,B46,'01_異動主檔'!$E:$E,"精簡")</f>
        <v/>
      </c>
      <c r="J46" s="10">
        <f>D46+E46+F46+G46+H46+I46</f>
        <v/>
      </c>
    </row>
    <row r="47" ht="18" customHeight="1">
      <c r="A47" s="4" t="inlineStr">
        <is>
          <t>A002</t>
        </is>
      </c>
      <c r="B47" s="3" t="inlineStr">
        <is>
          <t>會計處</t>
        </is>
      </c>
      <c r="C47" s="4" t="n">
        <v>114</v>
      </c>
      <c r="D47" s="10">
        <f>J46</f>
        <v/>
      </c>
      <c r="E47" s="4">
        <f>SUMIFS('01_異動主檔'!$F:$F,'01_異動主檔'!$B:$B,114,'01_異動主檔'!$D:$D,B47,'01_異動主檔'!$E:$E,"移入")</f>
        <v/>
      </c>
      <c r="F47" s="4">
        <f>-SUMIFS('01_異動主檔'!$F:$F,'01_異動主檔'!$B:$B,114,'01_異動主檔'!$D:$D,B47,'01_異動主檔'!$E:$E,"移出")</f>
        <v/>
      </c>
      <c r="G47" s="4">
        <f>SUMIFS('01_異動主檔'!$F:$F,'01_異動主檔'!$B:$B,114,'01_異動主檔'!$D:$D,B47,'01_異動主檔'!$E:$E,"新增")</f>
        <v/>
      </c>
      <c r="H47" s="4">
        <f>-SUMIFS('01_異動主檔'!$F:$F,'01_異動主檔'!$B:$B,114,'01_異動主檔'!$D:$D,B47,'01_異動主檔'!$E:$E,"減列")</f>
        <v/>
      </c>
      <c r="I47" s="4">
        <f>-SUMIFS('01_異動主檔'!$F:$F,'01_異動主檔'!$B:$B,114,'01_異動主檔'!$D:$D,B47,'01_異動主檔'!$E:$E,"精簡")</f>
        <v/>
      </c>
      <c r="J47" s="10">
        <f>D47+E47+F47+G47+H47+I47</f>
        <v/>
      </c>
    </row>
    <row r="48" ht="18" customHeight="1">
      <c r="A48" s="6" t="inlineStr">
        <is>
          <t>A002</t>
        </is>
      </c>
      <c r="B48" s="5" t="inlineStr">
        <is>
          <t>會計處</t>
        </is>
      </c>
      <c r="C48" s="6" t="n">
        <v>115</v>
      </c>
      <c r="D48" s="10">
        <f>J47</f>
        <v/>
      </c>
      <c r="E48" s="4">
        <f>SUMIFS('01_異動主檔'!$F:$F,'01_異動主檔'!$B:$B,115,'01_異動主檔'!$D:$D,B48,'01_異動主檔'!$E:$E,"移入")</f>
        <v/>
      </c>
      <c r="F48" s="4">
        <f>-SUMIFS('01_異動主檔'!$F:$F,'01_異動主檔'!$B:$B,115,'01_異動主檔'!$D:$D,B48,'01_異動主檔'!$E:$E,"移出")</f>
        <v/>
      </c>
      <c r="G48" s="4">
        <f>SUMIFS('01_異動主檔'!$F:$F,'01_異動主檔'!$B:$B,115,'01_異動主檔'!$D:$D,B48,'01_異動主檔'!$E:$E,"新增")</f>
        <v/>
      </c>
      <c r="H48" s="4">
        <f>-SUMIFS('01_異動主檔'!$F:$F,'01_異動主檔'!$B:$B,115,'01_異動主檔'!$D:$D,B48,'01_異動主檔'!$E:$E,"減列")</f>
        <v/>
      </c>
      <c r="I48" s="4">
        <f>-SUMIFS('01_異動主檔'!$F:$F,'01_異動主檔'!$B:$B,115,'01_異動主檔'!$D:$D,B48,'01_異動主檔'!$E:$E,"精簡")</f>
        <v/>
      </c>
      <c r="J48" s="10">
        <f>D48+E48+F48+G48+H48+I48</f>
        <v/>
      </c>
    </row>
    <row r="49" ht="18" customHeight="1">
      <c r="A49" s="4" t="inlineStr">
        <is>
          <t>A002</t>
        </is>
      </c>
      <c r="B49" s="3" t="inlineStr">
        <is>
          <t>會計處</t>
        </is>
      </c>
      <c r="C49" s="4" t="n">
        <v>116</v>
      </c>
      <c r="D49" s="10">
        <f>J48</f>
        <v/>
      </c>
      <c r="E49" s="4">
        <f>SUMIFS('01_異動主檔'!$F:$F,'01_異動主檔'!$B:$B,116,'01_異動主檔'!$D:$D,B49,'01_異動主檔'!$E:$E,"移入")</f>
        <v/>
      </c>
      <c r="F49" s="4">
        <f>-SUMIFS('01_異動主檔'!$F:$F,'01_異動主檔'!$B:$B,116,'01_異動主檔'!$D:$D,B49,'01_異動主檔'!$E:$E,"移出")</f>
        <v/>
      </c>
      <c r="G49" s="4">
        <f>SUMIFS('01_異動主檔'!$F:$F,'01_異動主檔'!$B:$B,116,'01_異動主檔'!$D:$D,B49,'01_異動主檔'!$E:$E,"新增")</f>
        <v/>
      </c>
      <c r="H49" s="4">
        <f>-SUMIFS('01_異動主檔'!$F:$F,'01_異動主檔'!$B:$B,116,'01_異動主檔'!$D:$D,B49,'01_異動主檔'!$E:$E,"減列")</f>
        <v/>
      </c>
      <c r="I49" s="4">
        <f>-SUMIFS('01_異動主檔'!$F:$F,'01_異動主檔'!$B:$B,116,'01_異動主檔'!$D:$D,B49,'01_異動主檔'!$E:$E,"精簡")</f>
        <v/>
      </c>
      <c r="J49" s="10">
        <f>D49+E49+F49+G49+H49+I49</f>
        <v/>
      </c>
    </row>
    <row r="50" ht="18" customHeight="1">
      <c r="A50" s="6" t="inlineStr">
        <is>
          <t>A002</t>
        </is>
      </c>
      <c r="B50" s="5" t="inlineStr">
        <is>
          <t>會計處</t>
        </is>
      </c>
      <c r="C50" s="6" t="n">
        <v>117</v>
      </c>
      <c r="D50" s="10">
        <f>J49</f>
        <v/>
      </c>
      <c r="E50" s="4">
        <f>SUMIFS('01_異動主檔'!$F:$F,'01_異動主檔'!$B:$B,117,'01_異動主檔'!$D:$D,B50,'01_異動主檔'!$E:$E,"移入")</f>
        <v/>
      </c>
      <c r="F50" s="4">
        <f>-SUMIFS('01_異動主檔'!$F:$F,'01_異動主檔'!$B:$B,117,'01_異動主檔'!$D:$D,B50,'01_異動主檔'!$E:$E,"移出")</f>
        <v/>
      </c>
      <c r="G50" s="4">
        <f>SUMIFS('01_異動主檔'!$F:$F,'01_異動主檔'!$B:$B,117,'01_異動主檔'!$D:$D,B50,'01_異動主檔'!$E:$E,"新增")</f>
        <v/>
      </c>
      <c r="H50" s="4">
        <f>-SUMIFS('01_異動主檔'!$F:$F,'01_異動主檔'!$B:$B,117,'01_異動主檔'!$D:$D,B50,'01_異動主檔'!$E:$E,"減列")</f>
        <v/>
      </c>
      <c r="I50" s="4">
        <f>-SUMIFS('01_異動主檔'!$F:$F,'01_異動主檔'!$B:$B,117,'01_異動主檔'!$D:$D,B50,'01_異動主檔'!$E:$E,"精簡")</f>
        <v/>
      </c>
      <c r="J50" s="10">
        <f>D50+E50+F50+G50+H50+I50</f>
        <v/>
      </c>
    </row>
    <row r="51" ht="18" customHeight="1">
      <c r="A51" s="4" t="inlineStr">
        <is>
          <t>A002</t>
        </is>
      </c>
      <c r="B51" s="3" t="inlineStr">
        <is>
          <t>會計處</t>
        </is>
      </c>
      <c r="C51" s="4" t="n">
        <v>118</v>
      </c>
      <c r="D51" s="10">
        <f>J50</f>
        <v/>
      </c>
      <c r="E51" s="4">
        <f>SUMIFS('01_異動主檔'!$F:$F,'01_異動主檔'!$B:$B,118,'01_異動主檔'!$D:$D,B51,'01_異動主檔'!$E:$E,"移入")</f>
        <v/>
      </c>
      <c r="F51" s="4">
        <f>-SUMIFS('01_異動主檔'!$F:$F,'01_異動主檔'!$B:$B,118,'01_異動主檔'!$D:$D,B51,'01_異動主檔'!$E:$E,"移出")</f>
        <v/>
      </c>
      <c r="G51" s="4">
        <f>SUMIFS('01_異動主檔'!$F:$F,'01_異動主檔'!$B:$B,118,'01_異動主檔'!$D:$D,B51,'01_異動主檔'!$E:$E,"新增")</f>
        <v/>
      </c>
      <c r="H51" s="4">
        <f>-SUMIFS('01_異動主檔'!$F:$F,'01_異動主檔'!$B:$B,118,'01_異動主檔'!$D:$D,B51,'01_異動主檔'!$E:$E,"減列")</f>
        <v/>
      </c>
      <c r="I51" s="4">
        <f>-SUMIFS('01_異動主檔'!$F:$F,'01_異動主檔'!$B:$B,118,'01_異動主檔'!$D:$D,B51,'01_異動主檔'!$E:$E,"精簡")</f>
        <v/>
      </c>
      <c r="J51" s="10">
        <f>D51+E51+F51+G51+H51+I51</f>
        <v/>
      </c>
    </row>
    <row r="52" ht="18" customHeight="1">
      <c r="A52" s="6" t="inlineStr">
        <is>
          <t>A002</t>
        </is>
      </c>
      <c r="B52" s="5" t="inlineStr">
        <is>
          <t>會計處</t>
        </is>
      </c>
      <c r="C52" s="6" t="n">
        <v>119</v>
      </c>
      <c r="D52" s="10">
        <f>J51</f>
        <v/>
      </c>
      <c r="E52" s="4">
        <f>SUMIFS('01_異動主檔'!$F:$F,'01_異動主檔'!$B:$B,119,'01_異動主檔'!$D:$D,B52,'01_異動主檔'!$E:$E,"移入")</f>
        <v/>
      </c>
      <c r="F52" s="4">
        <f>-SUMIFS('01_異動主檔'!$F:$F,'01_異動主檔'!$B:$B,119,'01_異動主檔'!$D:$D,B52,'01_異動主檔'!$E:$E,"移出")</f>
        <v/>
      </c>
      <c r="G52" s="4">
        <f>SUMIFS('01_異動主檔'!$F:$F,'01_異動主檔'!$B:$B,119,'01_異動主檔'!$D:$D,B52,'01_異動主檔'!$E:$E,"新增")</f>
        <v/>
      </c>
      <c r="H52" s="4">
        <f>-SUMIFS('01_異動主檔'!$F:$F,'01_異動主檔'!$B:$B,119,'01_異動主檔'!$D:$D,B52,'01_異動主檔'!$E:$E,"減列")</f>
        <v/>
      </c>
      <c r="I52" s="4">
        <f>-SUMIFS('01_異動主檔'!$F:$F,'01_異動主檔'!$B:$B,119,'01_異動主檔'!$D:$D,B52,'01_異動主檔'!$E:$E,"精簡")</f>
        <v/>
      </c>
      <c r="J52" s="10">
        <f>D52+E52+F52+G52+H52+I52</f>
        <v/>
      </c>
    </row>
    <row r="53" ht="18" customHeight="1">
      <c r="A53" s="4" t="inlineStr">
        <is>
          <t>A002</t>
        </is>
      </c>
      <c r="B53" s="3" t="inlineStr">
        <is>
          <t>會計處</t>
        </is>
      </c>
      <c r="C53" s="4" t="n">
        <v>120</v>
      </c>
      <c r="D53" s="10">
        <f>J52</f>
        <v/>
      </c>
      <c r="E53" s="4">
        <f>SUMIFS('01_異動主檔'!$F:$F,'01_異動主檔'!$B:$B,120,'01_異動主檔'!$D:$D,B53,'01_異動主檔'!$E:$E,"移入")</f>
        <v/>
      </c>
      <c r="F53" s="4">
        <f>-SUMIFS('01_異動主檔'!$F:$F,'01_異動主檔'!$B:$B,120,'01_異動主檔'!$D:$D,B53,'01_異動主檔'!$E:$E,"移出")</f>
        <v/>
      </c>
      <c r="G53" s="4">
        <f>SUMIFS('01_異動主檔'!$F:$F,'01_異動主檔'!$B:$B,120,'01_異動主檔'!$D:$D,B53,'01_異動主檔'!$E:$E,"新增")</f>
        <v/>
      </c>
      <c r="H53" s="4">
        <f>-SUMIFS('01_異動主檔'!$F:$F,'01_異動主檔'!$B:$B,120,'01_異動主檔'!$D:$D,B53,'01_異動主檔'!$E:$E,"減列")</f>
        <v/>
      </c>
      <c r="I53" s="4">
        <f>-SUMIFS('01_異動主檔'!$F:$F,'01_異動主檔'!$B:$B,120,'01_異動主檔'!$D:$D,B53,'01_異動主檔'!$E:$E,"精簡")</f>
        <v/>
      </c>
      <c r="J53" s="10">
        <f>D53+E53+F53+G53+H53+I53</f>
        <v/>
      </c>
    </row>
    <row r="54" ht="18" customHeight="1">
      <c r="A54" s="6" t="inlineStr">
        <is>
          <t>A002</t>
        </is>
      </c>
      <c r="B54" s="5" t="inlineStr">
        <is>
          <t>會計處</t>
        </is>
      </c>
      <c r="C54" s="6" t="n">
        <v>121</v>
      </c>
      <c r="D54" s="10">
        <f>J53</f>
        <v/>
      </c>
      <c r="E54" s="4">
        <f>SUMIFS('01_異動主檔'!$F:$F,'01_異動主檔'!$B:$B,121,'01_異動主檔'!$D:$D,B54,'01_異動主檔'!$E:$E,"移入")</f>
        <v/>
      </c>
      <c r="F54" s="4">
        <f>-SUMIFS('01_異動主檔'!$F:$F,'01_異動主檔'!$B:$B,121,'01_異動主檔'!$D:$D,B54,'01_異動主檔'!$E:$E,"移出")</f>
        <v/>
      </c>
      <c r="G54" s="4">
        <f>SUMIFS('01_異動主檔'!$F:$F,'01_異動主檔'!$B:$B,121,'01_異動主檔'!$D:$D,B54,'01_異動主檔'!$E:$E,"新增")</f>
        <v/>
      </c>
      <c r="H54" s="4">
        <f>-SUMIFS('01_異動主檔'!$F:$F,'01_異動主檔'!$B:$B,121,'01_異動主檔'!$D:$D,B54,'01_異動主檔'!$E:$E,"減列")</f>
        <v/>
      </c>
      <c r="I54" s="4">
        <f>-SUMIFS('01_異動主檔'!$F:$F,'01_異動主檔'!$B:$B,121,'01_異動主檔'!$D:$D,B54,'01_異動主檔'!$E:$E,"精簡")</f>
        <v/>
      </c>
      <c r="J54" s="10">
        <f>D54+E54+F54+G54+H54+I54</f>
        <v/>
      </c>
    </row>
    <row r="55" ht="18" customHeight="1">
      <c r="A55" s="4" t="inlineStr">
        <is>
          <t>A002</t>
        </is>
      </c>
      <c r="B55" s="3" t="inlineStr">
        <is>
          <t>會計處</t>
        </is>
      </c>
      <c r="C55" s="4" t="n">
        <v>122</v>
      </c>
      <c r="D55" s="10">
        <f>J54</f>
        <v/>
      </c>
      <c r="E55" s="4">
        <f>SUMIFS('01_異動主檔'!$F:$F,'01_異動主檔'!$B:$B,122,'01_異動主檔'!$D:$D,B55,'01_異動主檔'!$E:$E,"移入")</f>
        <v/>
      </c>
      <c r="F55" s="4">
        <f>-SUMIFS('01_異動主檔'!$F:$F,'01_異動主檔'!$B:$B,122,'01_異動主檔'!$D:$D,B55,'01_異動主檔'!$E:$E,"移出")</f>
        <v/>
      </c>
      <c r="G55" s="4">
        <f>SUMIFS('01_異動主檔'!$F:$F,'01_異動主檔'!$B:$B,122,'01_異動主檔'!$D:$D,B55,'01_異動主檔'!$E:$E,"新增")</f>
        <v/>
      </c>
      <c r="H55" s="4">
        <f>-SUMIFS('01_異動主檔'!$F:$F,'01_異動主檔'!$B:$B,122,'01_異動主檔'!$D:$D,B55,'01_異動主檔'!$E:$E,"減列")</f>
        <v/>
      </c>
      <c r="I55" s="4">
        <f>-SUMIFS('01_異動主檔'!$F:$F,'01_異動主檔'!$B:$B,122,'01_異動主檔'!$D:$D,B55,'01_異動主檔'!$E:$E,"精簡")</f>
        <v/>
      </c>
      <c r="J55" s="10">
        <f>D55+E55+F55+G55+H55+I55</f>
        <v/>
      </c>
    </row>
    <row r="56" ht="18" customHeight="1">
      <c r="A56" s="6" t="inlineStr">
        <is>
          <t>A002</t>
        </is>
      </c>
      <c r="B56" s="5" t="inlineStr">
        <is>
          <t>會計處</t>
        </is>
      </c>
      <c r="C56" s="6" t="n">
        <v>123</v>
      </c>
      <c r="D56" s="10">
        <f>J55</f>
        <v/>
      </c>
      <c r="E56" s="4">
        <f>SUMIFS('01_異動主檔'!$F:$F,'01_異動主檔'!$B:$B,123,'01_異動主檔'!$D:$D,B56,'01_異動主檔'!$E:$E,"移入")</f>
        <v/>
      </c>
      <c r="F56" s="4">
        <f>-SUMIFS('01_異動主檔'!$F:$F,'01_異動主檔'!$B:$B,123,'01_異動主檔'!$D:$D,B56,'01_異動主檔'!$E:$E,"移出")</f>
        <v/>
      </c>
      <c r="G56" s="4">
        <f>SUMIFS('01_異動主檔'!$F:$F,'01_異動主檔'!$B:$B,123,'01_異動主檔'!$D:$D,B56,'01_異動主檔'!$E:$E,"新增")</f>
        <v/>
      </c>
      <c r="H56" s="4">
        <f>-SUMIFS('01_異動主檔'!$F:$F,'01_異動主檔'!$B:$B,123,'01_異動主檔'!$D:$D,B56,'01_異動主檔'!$E:$E,"減列")</f>
        <v/>
      </c>
      <c r="I56" s="4">
        <f>-SUMIFS('01_異動主檔'!$F:$F,'01_異動主檔'!$B:$B,123,'01_異動主檔'!$D:$D,B56,'01_異動主檔'!$E:$E,"精簡")</f>
        <v/>
      </c>
      <c r="J56" s="10">
        <f>D56+E56+F56+G56+H56+I56</f>
        <v/>
      </c>
    </row>
    <row r="57" ht="18" customHeight="1">
      <c r="A57" s="4" t="inlineStr">
        <is>
          <t>A002</t>
        </is>
      </c>
      <c r="B57" s="3" t="inlineStr">
        <is>
          <t>會計處</t>
        </is>
      </c>
      <c r="C57" s="4" t="n">
        <v>124</v>
      </c>
      <c r="D57" s="10">
        <f>J56</f>
        <v/>
      </c>
      <c r="E57" s="4">
        <f>SUMIFS('01_異動主檔'!$F:$F,'01_異動主檔'!$B:$B,124,'01_異動主檔'!$D:$D,B57,'01_異動主檔'!$E:$E,"移入")</f>
        <v/>
      </c>
      <c r="F57" s="4">
        <f>-SUMIFS('01_異動主檔'!$F:$F,'01_異動主檔'!$B:$B,124,'01_異動主檔'!$D:$D,B57,'01_異動主檔'!$E:$E,"移出")</f>
        <v/>
      </c>
      <c r="G57" s="4">
        <f>SUMIFS('01_異動主檔'!$F:$F,'01_異動主檔'!$B:$B,124,'01_異動主檔'!$D:$D,B57,'01_異動主檔'!$E:$E,"新增")</f>
        <v/>
      </c>
      <c r="H57" s="4">
        <f>-SUMIFS('01_異動主檔'!$F:$F,'01_異動主檔'!$B:$B,124,'01_異動主檔'!$D:$D,B57,'01_異動主檔'!$E:$E,"減列")</f>
        <v/>
      </c>
      <c r="I57" s="4">
        <f>-SUMIFS('01_異動主檔'!$F:$F,'01_異動主檔'!$B:$B,124,'01_異動主檔'!$D:$D,B57,'01_異動主檔'!$E:$E,"精簡")</f>
        <v/>
      </c>
      <c r="J57" s="10">
        <f>D57+E57+F57+G57+H57+I57</f>
        <v/>
      </c>
    </row>
    <row r="58" ht="18" customHeight="1">
      <c r="A58" s="6" t="inlineStr">
        <is>
          <t>A002</t>
        </is>
      </c>
      <c r="B58" s="5" t="inlineStr">
        <is>
          <t>會計處</t>
        </is>
      </c>
      <c r="C58" s="6" t="n">
        <v>125</v>
      </c>
      <c r="D58" s="10">
        <f>J57</f>
        <v/>
      </c>
      <c r="E58" s="4">
        <f>SUMIFS('01_異動主檔'!$F:$F,'01_異動主檔'!$B:$B,125,'01_異動主檔'!$D:$D,B58,'01_異動主檔'!$E:$E,"移入")</f>
        <v/>
      </c>
      <c r="F58" s="4">
        <f>-SUMIFS('01_異動主檔'!$F:$F,'01_異動主檔'!$B:$B,125,'01_異動主檔'!$D:$D,B58,'01_異動主檔'!$E:$E,"移出")</f>
        <v/>
      </c>
      <c r="G58" s="4">
        <f>SUMIFS('01_異動主檔'!$F:$F,'01_異動主檔'!$B:$B,125,'01_異動主檔'!$D:$D,B58,'01_異動主檔'!$E:$E,"新增")</f>
        <v/>
      </c>
      <c r="H58" s="4">
        <f>-SUMIFS('01_異動主檔'!$F:$F,'01_異動主檔'!$B:$B,125,'01_異動主檔'!$D:$D,B58,'01_異動主檔'!$E:$E,"減列")</f>
        <v/>
      </c>
      <c r="I58" s="4">
        <f>-SUMIFS('01_異動主檔'!$F:$F,'01_異動主檔'!$B:$B,125,'01_異動主檔'!$D:$D,B58,'01_異動主檔'!$E:$E,"精簡")</f>
        <v/>
      </c>
      <c r="J58" s="10">
        <f>D58+E58+F58+G58+H58+I58</f>
        <v/>
      </c>
    </row>
    <row r="59" ht="18" customHeight="1">
      <c r="A59" s="4" t="inlineStr">
        <is>
          <t>A003</t>
        </is>
      </c>
      <c r="B59" s="3" t="inlineStr">
        <is>
          <t>政風處</t>
        </is>
      </c>
      <c r="C59" s="4" t="n">
        <v>99</v>
      </c>
      <c r="D59" s="10">
        <f>'02_年初員額設定'!C7</f>
        <v/>
      </c>
      <c r="E59" s="4">
        <f>SUMIFS('01_異動主檔'!$F:$F,'01_異動主檔'!$B:$B,99,'01_異動主檔'!$D:$D,B59,'01_異動主檔'!$E:$E,"移入")</f>
        <v/>
      </c>
      <c r="F59" s="4">
        <f>-SUMIFS('01_異動主檔'!$F:$F,'01_異動主檔'!$B:$B,99,'01_異動主檔'!$D:$D,B59,'01_異動主檔'!$E:$E,"移出")</f>
        <v/>
      </c>
      <c r="G59" s="4">
        <f>SUMIFS('01_異動主檔'!$F:$F,'01_異動主檔'!$B:$B,99,'01_異動主檔'!$D:$D,B59,'01_異動主檔'!$E:$E,"新增")</f>
        <v/>
      </c>
      <c r="H59" s="4">
        <f>-SUMIFS('01_異動主檔'!$F:$F,'01_異動主檔'!$B:$B,99,'01_異動主檔'!$D:$D,B59,'01_異動主檔'!$E:$E,"減列")</f>
        <v/>
      </c>
      <c r="I59" s="4">
        <f>-SUMIFS('01_異動主檔'!$F:$F,'01_異動主檔'!$B:$B,99,'01_異動主檔'!$D:$D,B59,'01_異動主檔'!$E:$E,"精簡")</f>
        <v/>
      </c>
      <c r="J59" s="10">
        <f>D59+E59+F59+G59+H59+I59</f>
        <v/>
      </c>
    </row>
    <row r="60" ht="18" customHeight="1">
      <c r="A60" s="6" t="inlineStr">
        <is>
          <t>A003</t>
        </is>
      </c>
      <c r="B60" s="5" t="inlineStr">
        <is>
          <t>政風處</t>
        </is>
      </c>
      <c r="C60" s="6" t="n">
        <v>100</v>
      </c>
      <c r="D60" s="10">
        <f>J59</f>
        <v/>
      </c>
      <c r="E60" s="4">
        <f>SUMIFS('01_異動主檔'!$F:$F,'01_異動主檔'!$B:$B,100,'01_異動主檔'!$D:$D,B60,'01_異動主檔'!$E:$E,"移入")</f>
        <v/>
      </c>
      <c r="F60" s="4">
        <f>-SUMIFS('01_異動主檔'!$F:$F,'01_異動主檔'!$B:$B,100,'01_異動主檔'!$D:$D,B60,'01_異動主檔'!$E:$E,"移出")</f>
        <v/>
      </c>
      <c r="G60" s="4">
        <f>SUMIFS('01_異動主檔'!$F:$F,'01_異動主檔'!$B:$B,100,'01_異動主檔'!$D:$D,B60,'01_異動主檔'!$E:$E,"新增")</f>
        <v/>
      </c>
      <c r="H60" s="4">
        <f>-SUMIFS('01_異動主檔'!$F:$F,'01_異動主檔'!$B:$B,100,'01_異動主檔'!$D:$D,B60,'01_異動主檔'!$E:$E,"減列")</f>
        <v/>
      </c>
      <c r="I60" s="4">
        <f>-SUMIFS('01_異動主檔'!$F:$F,'01_異動主檔'!$B:$B,100,'01_異動主檔'!$D:$D,B60,'01_異動主檔'!$E:$E,"精簡")</f>
        <v/>
      </c>
      <c r="J60" s="10">
        <f>D60+E60+F60+G60+H60+I60</f>
        <v/>
      </c>
    </row>
    <row r="61" ht="18" customHeight="1">
      <c r="A61" s="4" t="inlineStr">
        <is>
          <t>A003</t>
        </is>
      </c>
      <c r="B61" s="3" t="inlineStr">
        <is>
          <t>政風處</t>
        </is>
      </c>
      <c r="C61" s="4" t="n">
        <v>101</v>
      </c>
      <c r="D61" s="10">
        <f>J60</f>
        <v/>
      </c>
      <c r="E61" s="4">
        <f>SUMIFS('01_異動主檔'!$F:$F,'01_異動主檔'!$B:$B,101,'01_異動主檔'!$D:$D,B61,'01_異動主檔'!$E:$E,"移入")</f>
        <v/>
      </c>
      <c r="F61" s="4">
        <f>-SUMIFS('01_異動主檔'!$F:$F,'01_異動主檔'!$B:$B,101,'01_異動主檔'!$D:$D,B61,'01_異動主檔'!$E:$E,"移出")</f>
        <v/>
      </c>
      <c r="G61" s="4">
        <f>SUMIFS('01_異動主檔'!$F:$F,'01_異動主檔'!$B:$B,101,'01_異動主檔'!$D:$D,B61,'01_異動主檔'!$E:$E,"新增")</f>
        <v/>
      </c>
      <c r="H61" s="4">
        <f>-SUMIFS('01_異動主檔'!$F:$F,'01_異動主檔'!$B:$B,101,'01_異動主檔'!$D:$D,B61,'01_異動主檔'!$E:$E,"減列")</f>
        <v/>
      </c>
      <c r="I61" s="4">
        <f>-SUMIFS('01_異動主檔'!$F:$F,'01_異動主檔'!$B:$B,101,'01_異動主檔'!$D:$D,B61,'01_異動主檔'!$E:$E,"精簡")</f>
        <v/>
      </c>
      <c r="J61" s="10">
        <f>D61+E61+F61+G61+H61+I61</f>
        <v/>
      </c>
    </row>
    <row r="62" ht="18" customHeight="1">
      <c r="A62" s="6" t="inlineStr">
        <is>
          <t>A003</t>
        </is>
      </c>
      <c r="B62" s="5" t="inlineStr">
        <is>
          <t>政風處</t>
        </is>
      </c>
      <c r="C62" s="6" t="n">
        <v>102</v>
      </c>
      <c r="D62" s="10">
        <f>J61</f>
        <v/>
      </c>
      <c r="E62" s="4">
        <f>SUMIFS('01_異動主檔'!$F:$F,'01_異動主檔'!$B:$B,102,'01_異動主檔'!$D:$D,B62,'01_異動主檔'!$E:$E,"移入")</f>
        <v/>
      </c>
      <c r="F62" s="4">
        <f>-SUMIFS('01_異動主檔'!$F:$F,'01_異動主檔'!$B:$B,102,'01_異動主檔'!$D:$D,B62,'01_異動主檔'!$E:$E,"移出")</f>
        <v/>
      </c>
      <c r="G62" s="4">
        <f>SUMIFS('01_異動主檔'!$F:$F,'01_異動主檔'!$B:$B,102,'01_異動主檔'!$D:$D,B62,'01_異動主檔'!$E:$E,"新增")</f>
        <v/>
      </c>
      <c r="H62" s="4">
        <f>-SUMIFS('01_異動主檔'!$F:$F,'01_異動主檔'!$B:$B,102,'01_異動主檔'!$D:$D,B62,'01_異動主檔'!$E:$E,"減列")</f>
        <v/>
      </c>
      <c r="I62" s="4">
        <f>-SUMIFS('01_異動主檔'!$F:$F,'01_異動主檔'!$B:$B,102,'01_異動主檔'!$D:$D,B62,'01_異動主檔'!$E:$E,"精簡")</f>
        <v/>
      </c>
      <c r="J62" s="10">
        <f>D62+E62+F62+G62+H62+I62</f>
        <v/>
      </c>
    </row>
    <row r="63" ht="18" customHeight="1">
      <c r="A63" s="4" t="inlineStr">
        <is>
          <t>A003</t>
        </is>
      </c>
      <c r="B63" s="3" t="inlineStr">
        <is>
          <t>政風處</t>
        </is>
      </c>
      <c r="C63" s="4" t="n">
        <v>103</v>
      </c>
      <c r="D63" s="10">
        <f>J62</f>
        <v/>
      </c>
      <c r="E63" s="4">
        <f>SUMIFS('01_異動主檔'!$F:$F,'01_異動主檔'!$B:$B,103,'01_異動主檔'!$D:$D,B63,'01_異動主檔'!$E:$E,"移入")</f>
        <v/>
      </c>
      <c r="F63" s="4">
        <f>-SUMIFS('01_異動主檔'!$F:$F,'01_異動主檔'!$B:$B,103,'01_異動主檔'!$D:$D,B63,'01_異動主檔'!$E:$E,"移出")</f>
        <v/>
      </c>
      <c r="G63" s="4">
        <f>SUMIFS('01_異動主檔'!$F:$F,'01_異動主檔'!$B:$B,103,'01_異動主檔'!$D:$D,B63,'01_異動主檔'!$E:$E,"新增")</f>
        <v/>
      </c>
      <c r="H63" s="4">
        <f>-SUMIFS('01_異動主檔'!$F:$F,'01_異動主檔'!$B:$B,103,'01_異動主檔'!$D:$D,B63,'01_異動主檔'!$E:$E,"減列")</f>
        <v/>
      </c>
      <c r="I63" s="4">
        <f>-SUMIFS('01_異動主檔'!$F:$F,'01_異動主檔'!$B:$B,103,'01_異動主檔'!$D:$D,B63,'01_異動主檔'!$E:$E,"精簡")</f>
        <v/>
      </c>
      <c r="J63" s="10">
        <f>D63+E63+F63+G63+H63+I63</f>
        <v/>
      </c>
    </row>
    <row r="64" ht="18" customHeight="1">
      <c r="A64" s="6" t="inlineStr">
        <is>
          <t>A003</t>
        </is>
      </c>
      <c r="B64" s="5" t="inlineStr">
        <is>
          <t>政風處</t>
        </is>
      </c>
      <c r="C64" s="6" t="n">
        <v>104</v>
      </c>
      <c r="D64" s="10">
        <f>J63</f>
        <v/>
      </c>
      <c r="E64" s="4">
        <f>SUMIFS('01_異動主檔'!$F:$F,'01_異動主檔'!$B:$B,104,'01_異動主檔'!$D:$D,B64,'01_異動主檔'!$E:$E,"移入")</f>
        <v/>
      </c>
      <c r="F64" s="4">
        <f>-SUMIFS('01_異動主檔'!$F:$F,'01_異動主檔'!$B:$B,104,'01_異動主檔'!$D:$D,B64,'01_異動主檔'!$E:$E,"移出")</f>
        <v/>
      </c>
      <c r="G64" s="4">
        <f>SUMIFS('01_異動主檔'!$F:$F,'01_異動主檔'!$B:$B,104,'01_異動主檔'!$D:$D,B64,'01_異動主檔'!$E:$E,"新增")</f>
        <v/>
      </c>
      <c r="H64" s="4">
        <f>-SUMIFS('01_異動主檔'!$F:$F,'01_異動主檔'!$B:$B,104,'01_異動主檔'!$D:$D,B64,'01_異動主檔'!$E:$E,"減列")</f>
        <v/>
      </c>
      <c r="I64" s="4">
        <f>-SUMIFS('01_異動主檔'!$F:$F,'01_異動主檔'!$B:$B,104,'01_異動主檔'!$D:$D,B64,'01_異動主檔'!$E:$E,"精簡")</f>
        <v/>
      </c>
      <c r="J64" s="10">
        <f>D64+E64+F64+G64+H64+I64</f>
        <v/>
      </c>
    </row>
    <row r="65" ht="18" customHeight="1">
      <c r="A65" s="4" t="inlineStr">
        <is>
          <t>A003</t>
        </is>
      </c>
      <c r="B65" s="3" t="inlineStr">
        <is>
          <t>政風處</t>
        </is>
      </c>
      <c r="C65" s="4" t="n">
        <v>105</v>
      </c>
      <c r="D65" s="10">
        <f>J64</f>
        <v/>
      </c>
      <c r="E65" s="4">
        <f>SUMIFS('01_異動主檔'!$F:$F,'01_異動主檔'!$B:$B,105,'01_異動主檔'!$D:$D,B65,'01_異動主檔'!$E:$E,"移入")</f>
        <v/>
      </c>
      <c r="F65" s="4">
        <f>-SUMIFS('01_異動主檔'!$F:$F,'01_異動主檔'!$B:$B,105,'01_異動主檔'!$D:$D,B65,'01_異動主檔'!$E:$E,"移出")</f>
        <v/>
      </c>
      <c r="G65" s="4">
        <f>SUMIFS('01_異動主檔'!$F:$F,'01_異動主檔'!$B:$B,105,'01_異動主檔'!$D:$D,B65,'01_異動主檔'!$E:$E,"新增")</f>
        <v/>
      </c>
      <c r="H65" s="4">
        <f>-SUMIFS('01_異動主檔'!$F:$F,'01_異動主檔'!$B:$B,105,'01_異動主檔'!$D:$D,B65,'01_異動主檔'!$E:$E,"減列")</f>
        <v/>
      </c>
      <c r="I65" s="4">
        <f>-SUMIFS('01_異動主檔'!$F:$F,'01_異動主檔'!$B:$B,105,'01_異動主檔'!$D:$D,B65,'01_異動主檔'!$E:$E,"精簡")</f>
        <v/>
      </c>
      <c r="J65" s="10">
        <f>D65+E65+F65+G65+H65+I65</f>
        <v/>
      </c>
    </row>
    <row r="66" ht="18" customHeight="1">
      <c r="A66" s="6" t="inlineStr">
        <is>
          <t>A003</t>
        </is>
      </c>
      <c r="B66" s="5" t="inlineStr">
        <is>
          <t>政風處</t>
        </is>
      </c>
      <c r="C66" s="6" t="n">
        <v>106</v>
      </c>
      <c r="D66" s="10">
        <f>J65</f>
        <v/>
      </c>
      <c r="E66" s="4">
        <f>SUMIFS('01_異動主檔'!$F:$F,'01_異動主檔'!$B:$B,106,'01_異動主檔'!$D:$D,B66,'01_異動主檔'!$E:$E,"移入")</f>
        <v/>
      </c>
      <c r="F66" s="4">
        <f>-SUMIFS('01_異動主檔'!$F:$F,'01_異動主檔'!$B:$B,106,'01_異動主檔'!$D:$D,B66,'01_異動主檔'!$E:$E,"移出")</f>
        <v/>
      </c>
      <c r="G66" s="4">
        <f>SUMIFS('01_異動主檔'!$F:$F,'01_異動主檔'!$B:$B,106,'01_異動主檔'!$D:$D,B66,'01_異動主檔'!$E:$E,"新增")</f>
        <v/>
      </c>
      <c r="H66" s="4">
        <f>-SUMIFS('01_異動主檔'!$F:$F,'01_異動主檔'!$B:$B,106,'01_異動主檔'!$D:$D,B66,'01_異動主檔'!$E:$E,"減列")</f>
        <v/>
      </c>
      <c r="I66" s="4">
        <f>-SUMIFS('01_異動主檔'!$F:$F,'01_異動主檔'!$B:$B,106,'01_異動主檔'!$D:$D,B66,'01_異動主檔'!$E:$E,"精簡")</f>
        <v/>
      </c>
      <c r="J66" s="10">
        <f>D66+E66+F66+G66+H66+I66</f>
        <v/>
      </c>
    </row>
    <row r="67" ht="18" customHeight="1">
      <c r="A67" s="4" t="inlineStr">
        <is>
          <t>A003</t>
        </is>
      </c>
      <c r="B67" s="3" t="inlineStr">
        <is>
          <t>政風處</t>
        </is>
      </c>
      <c r="C67" s="4" t="n">
        <v>107</v>
      </c>
      <c r="D67" s="10">
        <f>J66</f>
        <v/>
      </c>
      <c r="E67" s="4">
        <f>SUMIFS('01_異動主檔'!$F:$F,'01_異動主檔'!$B:$B,107,'01_異動主檔'!$D:$D,B67,'01_異動主檔'!$E:$E,"移入")</f>
        <v/>
      </c>
      <c r="F67" s="4">
        <f>-SUMIFS('01_異動主檔'!$F:$F,'01_異動主檔'!$B:$B,107,'01_異動主檔'!$D:$D,B67,'01_異動主檔'!$E:$E,"移出")</f>
        <v/>
      </c>
      <c r="G67" s="4">
        <f>SUMIFS('01_異動主檔'!$F:$F,'01_異動主檔'!$B:$B,107,'01_異動主檔'!$D:$D,B67,'01_異動主檔'!$E:$E,"新增")</f>
        <v/>
      </c>
      <c r="H67" s="4">
        <f>-SUMIFS('01_異動主檔'!$F:$F,'01_異動主檔'!$B:$B,107,'01_異動主檔'!$D:$D,B67,'01_異動主檔'!$E:$E,"減列")</f>
        <v/>
      </c>
      <c r="I67" s="4">
        <f>-SUMIFS('01_異動主檔'!$F:$F,'01_異動主檔'!$B:$B,107,'01_異動主檔'!$D:$D,B67,'01_異動主檔'!$E:$E,"精簡")</f>
        <v/>
      </c>
      <c r="J67" s="10">
        <f>D67+E67+F67+G67+H67+I67</f>
        <v/>
      </c>
    </row>
    <row r="68" ht="18" customHeight="1">
      <c r="A68" s="6" t="inlineStr">
        <is>
          <t>A003</t>
        </is>
      </c>
      <c r="B68" s="5" t="inlineStr">
        <is>
          <t>政風處</t>
        </is>
      </c>
      <c r="C68" s="6" t="n">
        <v>108</v>
      </c>
      <c r="D68" s="10">
        <f>J67</f>
        <v/>
      </c>
      <c r="E68" s="4">
        <f>SUMIFS('01_異動主檔'!$F:$F,'01_異動主檔'!$B:$B,108,'01_異動主檔'!$D:$D,B68,'01_異動主檔'!$E:$E,"移入")</f>
        <v/>
      </c>
      <c r="F68" s="4">
        <f>-SUMIFS('01_異動主檔'!$F:$F,'01_異動主檔'!$B:$B,108,'01_異動主檔'!$D:$D,B68,'01_異動主檔'!$E:$E,"移出")</f>
        <v/>
      </c>
      <c r="G68" s="4">
        <f>SUMIFS('01_異動主檔'!$F:$F,'01_異動主檔'!$B:$B,108,'01_異動主檔'!$D:$D,B68,'01_異動主檔'!$E:$E,"新增")</f>
        <v/>
      </c>
      <c r="H68" s="4">
        <f>-SUMIFS('01_異動主檔'!$F:$F,'01_異動主檔'!$B:$B,108,'01_異動主檔'!$D:$D,B68,'01_異動主檔'!$E:$E,"減列")</f>
        <v/>
      </c>
      <c r="I68" s="4">
        <f>-SUMIFS('01_異動主檔'!$F:$F,'01_異動主檔'!$B:$B,108,'01_異動主檔'!$D:$D,B68,'01_異動主檔'!$E:$E,"精簡")</f>
        <v/>
      </c>
      <c r="J68" s="10">
        <f>D68+E68+F68+G68+H68+I68</f>
        <v/>
      </c>
    </row>
    <row r="69" ht="18" customHeight="1">
      <c r="A69" s="4" t="inlineStr">
        <is>
          <t>A003</t>
        </is>
      </c>
      <c r="B69" s="3" t="inlineStr">
        <is>
          <t>政風處</t>
        </is>
      </c>
      <c r="C69" s="4" t="n">
        <v>109</v>
      </c>
      <c r="D69" s="10">
        <f>J68</f>
        <v/>
      </c>
      <c r="E69" s="4">
        <f>SUMIFS('01_異動主檔'!$F:$F,'01_異動主檔'!$B:$B,109,'01_異動主檔'!$D:$D,B69,'01_異動主檔'!$E:$E,"移入")</f>
        <v/>
      </c>
      <c r="F69" s="4">
        <f>-SUMIFS('01_異動主檔'!$F:$F,'01_異動主檔'!$B:$B,109,'01_異動主檔'!$D:$D,B69,'01_異動主檔'!$E:$E,"移出")</f>
        <v/>
      </c>
      <c r="G69" s="4">
        <f>SUMIFS('01_異動主檔'!$F:$F,'01_異動主檔'!$B:$B,109,'01_異動主檔'!$D:$D,B69,'01_異動主檔'!$E:$E,"新增")</f>
        <v/>
      </c>
      <c r="H69" s="4">
        <f>-SUMIFS('01_異動主檔'!$F:$F,'01_異動主檔'!$B:$B,109,'01_異動主檔'!$D:$D,B69,'01_異動主檔'!$E:$E,"減列")</f>
        <v/>
      </c>
      <c r="I69" s="4">
        <f>-SUMIFS('01_異動主檔'!$F:$F,'01_異動主檔'!$B:$B,109,'01_異動主檔'!$D:$D,B69,'01_異動主檔'!$E:$E,"精簡")</f>
        <v/>
      </c>
      <c r="J69" s="10">
        <f>D69+E69+F69+G69+H69+I69</f>
        <v/>
      </c>
    </row>
    <row r="70" ht="18" customHeight="1">
      <c r="A70" s="6" t="inlineStr">
        <is>
          <t>A003</t>
        </is>
      </c>
      <c r="B70" s="5" t="inlineStr">
        <is>
          <t>政風處</t>
        </is>
      </c>
      <c r="C70" s="6" t="n">
        <v>110</v>
      </c>
      <c r="D70" s="10">
        <f>J69</f>
        <v/>
      </c>
      <c r="E70" s="4">
        <f>SUMIFS('01_異動主檔'!$F:$F,'01_異動主檔'!$B:$B,110,'01_異動主檔'!$D:$D,B70,'01_異動主檔'!$E:$E,"移入")</f>
        <v/>
      </c>
      <c r="F70" s="4">
        <f>-SUMIFS('01_異動主檔'!$F:$F,'01_異動主檔'!$B:$B,110,'01_異動主檔'!$D:$D,B70,'01_異動主檔'!$E:$E,"移出")</f>
        <v/>
      </c>
      <c r="G70" s="4">
        <f>SUMIFS('01_異動主檔'!$F:$F,'01_異動主檔'!$B:$B,110,'01_異動主檔'!$D:$D,B70,'01_異動主檔'!$E:$E,"新增")</f>
        <v/>
      </c>
      <c r="H70" s="4">
        <f>-SUMIFS('01_異動主檔'!$F:$F,'01_異動主檔'!$B:$B,110,'01_異動主檔'!$D:$D,B70,'01_異動主檔'!$E:$E,"減列")</f>
        <v/>
      </c>
      <c r="I70" s="4">
        <f>-SUMIFS('01_異動主檔'!$F:$F,'01_異動主檔'!$B:$B,110,'01_異動主檔'!$D:$D,B70,'01_異動主檔'!$E:$E,"精簡")</f>
        <v/>
      </c>
      <c r="J70" s="10">
        <f>D70+E70+F70+G70+H70+I70</f>
        <v/>
      </c>
    </row>
    <row r="71" ht="18" customHeight="1">
      <c r="A71" s="4" t="inlineStr">
        <is>
          <t>A003</t>
        </is>
      </c>
      <c r="B71" s="3" t="inlineStr">
        <is>
          <t>政風處</t>
        </is>
      </c>
      <c r="C71" s="4" t="n">
        <v>111</v>
      </c>
      <c r="D71" s="10">
        <f>J70</f>
        <v/>
      </c>
      <c r="E71" s="4">
        <f>SUMIFS('01_異動主檔'!$F:$F,'01_異動主檔'!$B:$B,111,'01_異動主檔'!$D:$D,B71,'01_異動主檔'!$E:$E,"移入")</f>
        <v/>
      </c>
      <c r="F71" s="4">
        <f>-SUMIFS('01_異動主檔'!$F:$F,'01_異動主檔'!$B:$B,111,'01_異動主檔'!$D:$D,B71,'01_異動主檔'!$E:$E,"移出")</f>
        <v/>
      </c>
      <c r="G71" s="4">
        <f>SUMIFS('01_異動主檔'!$F:$F,'01_異動主檔'!$B:$B,111,'01_異動主檔'!$D:$D,B71,'01_異動主檔'!$E:$E,"新增")</f>
        <v/>
      </c>
      <c r="H71" s="4">
        <f>-SUMIFS('01_異動主檔'!$F:$F,'01_異動主檔'!$B:$B,111,'01_異動主檔'!$D:$D,B71,'01_異動主檔'!$E:$E,"減列")</f>
        <v/>
      </c>
      <c r="I71" s="4">
        <f>-SUMIFS('01_異動主檔'!$F:$F,'01_異動主檔'!$B:$B,111,'01_異動主檔'!$D:$D,B71,'01_異動主檔'!$E:$E,"精簡")</f>
        <v/>
      </c>
      <c r="J71" s="10">
        <f>D71+E71+F71+G71+H71+I71</f>
        <v/>
      </c>
    </row>
    <row r="72" ht="18" customHeight="1">
      <c r="A72" s="6" t="inlineStr">
        <is>
          <t>A003</t>
        </is>
      </c>
      <c r="B72" s="5" t="inlineStr">
        <is>
          <t>政風處</t>
        </is>
      </c>
      <c r="C72" s="6" t="n">
        <v>112</v>
      </c>
      <c r="D72" s="10">
        <f>J71</f>
        <v/>
      </c>
      <c r="E72" s="4">
        <f>SUMIFS('01_異動主檔'!$F:$F,'01_異動主檔'!$B:$B,112,'01_異動主檔'!$D:$D,B72,'01_異動主檔'!$E:$E,"移入")</f>
        <v/>
      </c>
      <c r="F72" s="4">
        <f>-SUMIFS('01_異動主檔'!$F:$F,'01_異動主檔'!$B:$B,112,'01_異動主檔'!$D:$D,B72,'01_異動主檔'!$E:$E,"移出")</f>
        <v/>
      </c>
      <c r="G72" s="4">
        <f>SUMIFS('01_異動主檔'!$F:$F,'01_異動主檔'!$B:$B,112,'01_異動主檔'!$D:$D,B72,'01_異動主檔'!$E:$E,"新增")</f>
        <v/>
      </c>
      <c r="H72" s="4">
        <f>-SUMIFS('01_異動主檔'!$F:$F,'01_異動主檔'!$B:$B,112,'01_異動主檔'!$D:$D,B72,'01_異動主檔'!$E:$E,"減列")</f>
        <v/>
      </c>
      <c r="I72" s="4">
        <f>-SUMIFS('01_異動主檔'!$F:$F,'01_異動主檔'!$B:$B,112,'01_異動主檔'!$D:$D,B72,'01_異動主檔'!$E:$E,"精簡")</f>
        <v/>
      </c>
      <c r="J72" s="10">
        <f>D72+E72+F72+G72+H72+I72</f>
        <v/>
      </c>
    </row>
    <row r="73" ht="18" customHeight="1">
      <c r="A73" s="4" t="inlineStr">
        <is>
          <t>A003</t>
        </is>
      </c>
      <c r="B73" s="3" t="inlineStr">
        <is>
          <t>政風處</t>
        </is>
      </c>
      <c r="C73" s="4" t="n">
        <v>113</v>
      </c>
      <c r="D73" s="10">
        <f>J72</f>
        <v/>
      </c>
      <c r="E73" s="4">
        <f>SUMIFS('01_異動主檔'!$F:$F,'01_異動主檔'!$B:$B,113,'01_異動主檔'!$D:$D,B73,'01_異動主檔'!$E:$E,"移入")</f>
        <v/>
      </c>
      <c r="F73" s="4">
        <f>-SUMIFS('01_異動主檔'!$F:$F,'01_異動主檔'!$B:$B,113,'01_異動主檔'!$D:$D,B73,'01_異動主檔'!$E:$E,"移出")</f>
        <v/>
      </c>
      <c r="G73" s="4">
        <f>SUMIFS('01_異動主檔'!$F:$F,'01_異動主檔'!$B:$B,113,'01_異動主檔'!$D:$D,B73,'01_異動主檔'!$E:$E,"新增")</f>
        <v/>
      </c>
      <c r="H73" s="4">
        <f>-SUMIFS('01_異動主檔'!$F:$F,'01_異動主檔'!$B:$B,113,'01_異動主檔'!$D:$D,B73,'01_異動主檔'!$E:$E,"減列")</f>
        <v/>
      </c>
      <c r="I73" s="4">
        <f>-SUMIFS('01_異動主檔'!$F:$F,'01_異動主檔'!$B:$B,113,'01_異動主檔'!$D:$D,B73,'01_異動主檔'!$E:$E,"精簡")</f>
        <v/>
      </c>
      <c r="J73" s="10">
        <f>D73+E73+F73+G73+H73+I73</f>
        <v/>
      </c>
    </row>
    <row r="74" ht="18" customHeight="1">
      <c r="A74" s="6" t="inlineStr">
        <is>
          <t>A003</t>
        </is>
      </c>
      <c r="B74" s="5" t="inlineStr">
        <is>
          <t>政風處</t>
        </is>
      </c>
      <c r="C74" s="6" t="n">
        <v>114</v>
      </c>
      <c r="D74" s="10">
        <f>J73</f>
        <v/>
      </c>
      <c r="E74" s="4">
        <f>SUMIFS('01_異動主檔'!$F:$F,'01_異動主檔'!$B:$B,114,'01_異動主檔'!$D:$D,B74,'01_異動主檔'!$E:$E,"移入")</f>
        <v/>
      </c>
      <c r="F74" s="4">
        <f>-SUMIFS('01_異動主檔'!$F:$F,'01_異動主檔'!$B:$B,114,'01_異動主檔'!$D:$D,B74,'01_異動主檔'!$E:$E,"移出")</f>
        <v/>
      </c>
      <c r="G74" s="4">
        <f>SUMIFS('01_異動主檔'!$F:$F,'01_異動主檔'!$B:$B,114,'01_異動主檔'!$D:$D,B74,'01_異動主檔'!$E:$E,"新增")</f>
        <v/>
      </c>
      <c r="H74" s="4">
        <f>-SUMIFS('01_異動主檔'!$F:$F,'01_異動主檔'!$B:$B,114,'01_異動主檔'!$D:$D,B74,'01_異動主檔'!$E:$E,"減列")</f>
        <v/>
      </c>
      <c r="I74" s="4">
        <f>-SUMIFS('01_異動主檔'!$F:$F,'01_異動主檔'!$B:$B,114,'01_異動主檔'!$D:$D,B74,'01_異動主檔'!$E:$E,"精簡")</f>
        <v/>
      </c>
      <c r="J74" s="10">
        <f>D74+E74+F74+G74+H74+I74</f>
        <v/>
      </c>
    </row>
    <row r="75" ht="18" customHeight="1">
      <c r="A75" s="4" t="inlineStr">
        <is>
          <t>A003</t>
        </is>
      </c>
      <c r="B75" s="3" t="inlineStr">
        <is>
          <t>政風處</t>
        </is>
      </c>
      <c r="C75" s="4" t="n">
        <v>115</v>
      </c>
      <c r="D75" s="10">
        <f>J74</f>
        <v/>
      </c>
      <c r="E75" s="4">
        <f>SUMIFS('01_異動主檔'!$F:$F,'01_異動主檔'!$B:$B,115,'01_異動主檔'!$D:$D,B75,'01_異動主檔'!$E:$E,"移入")</f>
        <v/>
      </c>
      <c r="F75" s="4">
        <f>-SUMIFS('01_異動主檔'!$F:$F,'01_異動主檔'!$B:$B,115,'01_異動主檔'!$D:$D,B75,'01_異動主檔'!$E:$E,"移出")</f>
        <v/>
      </c>
      <c r="G75" s="4">
        <f>SUMIFS('01_異動主檔'!$F:$F,'01_異動主檔'!$B:$B,115,'01_異動主檔'!$D:$D,B75,'01_異動主檔'!$E:$E,"新增")</f>
        <v/>
      </c>
      <c r="H75" s="4">
        <f>-SUMIFS('01_異動主檔'!$F:$F,'01_異動主檔'!$B:$B,115,'01_異動主檔'!$D:$D,B75,'01_異動主檔'!$E:$E,"減列")</f>
        <v/>
      </c>
      <c r="I75" s="4">
        <f>-SUMIFS('01_異動主檔'!$F:$F,'01_異動主檔'!$B:$B,115,'01_異動主檔'!$D:$D,B75,'01_異動主檔'!$E:$E,"精簡")</f>
        <v/>
      </c>
      <c r="J75" s="10">
        <f>D75+E75+F75+G75+H75+I75</f>
        <v/>
      </c>
    </row>
    <row r="76" ht="18" customHeight="1">
      <c r="A76" s="6" t="inlineStr">
        <is>
          <t>A003</t>
        </is>
      </c>
      <c r="B76" s="5" t="inlineStr">
        <is>
          <t>政風處</t>
        </is>
      </c>
      <c r="C76" s="6" t="n">
        <v>116</v>
      </c>
      <c r="D76" s="10">
        <f>J75</f>
        <v/>
      </c>
      <c r="E76" s="4">
        <f>SUMIFS('01_異動主檔'!$F:$F,'01_異動主檔'!$B:$B,116,'01_異動主檔'!$D:$D,B76,'01_異動主檔'!$E:$E,"移入")</f>
        <v/>
      </c>
      <c r="F76" s="4">
        <f>-SUMIFS('01_異動主檔'!$F:$F,'01_異動主檔'!$B:$B,116,'01_異動主檔'!$D:$D,B76,'01_異動主檔'!$E:$E,"移出")</f>
        <v/>
      </c>
      <c r="G76" s="4">
        <f>SUMIFS('01_異動主檔'!$F:$F,'01_異動主檔'!$B:$B,116,'01_異動主檔'!$D:$D,B76,'01_異動主檔'!$E:$E,"新增")</f>
        <v/>
      </c>
      <c r="H76" s="4">
        <f>-SUMIFS('01_異動主檔'!$F:$F,'01_異動主檔'!$B:$B,116,'01_異動主檔'!$D:$D,B76,'01_異動主檔'!$E:$E,"減列")</f>
        <v/>
      </c>
      <c r="I76" s="4">
        <f>-SUMIFS('01_異動主檔'!$F:$F,'01_異動主檔'!$B:$B,116,'01_異動主檔'!$D:$D,B76,'01_異動主檔'!$E:$E,"精簡")</f>
        <v/>
      </c>
      <c r="J76" s="10">
        <f>D76+E76+F76+G76+H76+I76</f>
        <v/>
      </c>
    </row>
    <row r="77" ht="18" customHeight="1">
      <c r="A77" s="4" t="inlineStr">
        <is>
          <t>A003</t>
        </is>
      </c>
      <c r="B77" s="3" t="inlineStr">
        <is>
          <t>政風處</t>
        </is>
      </c>
      <c r="C77" s="4" t="n">
        <v>117</v>
      </c>
      <c r="D77" s="10">
        <f>J76</f>
        <v/>
      </c>
      <c r="E77" s="4">
        <f>SUMIFS('01_異動主檔'!$F:$F,'01_異動主檔'!$B:$B,117,'01_異動主檔'!$D:$D,B77,'01_異動主檔'!$E:$E,"移入")</f>
        <v/>
      </c>
      <c r="F77" s="4">
        <f>-SUMIFS('01_異動主檔'!$F:$F,'01_異動主檔'!$B:$B,117,'01_異動主檔'!$D:$D,B77,'01_異動主檔'!$E:$E,"移出")</f>
        <v/>
      </c>
      <c r="G77" s="4">
        <f>SUMIFS('01_異動主檔'!$F:$F,'01_異動主檔'!$B:$B,117,'01_異動主檔'!$D:$D,B77,'01_異動主檔'!$E:$E,"新增")</f>
        <v/>
      </c>
      <c r="H77" s="4">
        <f>-SUMIFS('01_異動主檔'!$F:$F,'01_異動主檔'!$B:$B,117,'01_異動主檔'!$D:$D,B77,'01_異動主檔'!$E:$E,"減列")</f>
        <v/>
      </c>
      <c r="I77" s="4">
        <f>-SUMIFS('01_異動主檔'!$F:$F,'01_異動主檔'!$B:$B,117,'01_異動主檔'!$D:$D,B77,'01_異動主檔'!$E:$E,"精簡")</f>
        <v/>
      </c>
      <c r="J77" s="10">
        <f>D77+E77+F77+G77+H77+I77</f>
        <v/>
      </c>
    </row>
    <row r="78" ht="18" customHeight="1">
      <c r="A78" s="6" t="inlineStr">
        <is>
          <t>A003</t>
        </is>
      </c>
      <c r="B78" s="5" t="inlineStr">
        <is>
          <t>政風處</t>
        </is>
      </c>
      <c r="C78" s="6" t="n">
        <v>118</v>
      </c>
      <c r="D78" s="10">
        <f>J77</f>
        <v/>
      </c>
      <c r="E78" s="4">
        <f>SUMIFS('01_異動主檔'!$F:$F,'01_異動主檔'!$B:$B,118,'01_異動主檔'!$D:$D,B78,'01_異動主檔'!$E:$E,"移入")</f>
        <v/>
      </c>
      <c r="F78" s="4">
        <f>-SUMIFS('01_異動主檔'!$F:$F,'01_異動主檔'!$B:$B,118,'01_異動主檔'!$D:$D,B78,'01_異動主檔'!$E:$E,"移出")</f>
        <v/>
      </c>
      <c r="G78" s="4">
        <f>SUMIFS('01_異動主檔'!$F:$F,'01_異動主檔'!$B:$B,118,'01_異動主檔'!$D:$D,B78,'01_異動主檔'!$E:$E,"新增")</f>
        <v/>
      </c>
      <c r="H78" s="4">
        <f>-SUMIFS('01_異動主檔'!$F:$F,'01_異動主檔'!$B:$B,118,'01_異動主檔'!$D:$D,B78,'01_異動主檔'!$E:$E,"減列")</f>
        <v/>
      </c>
      <c r="I78" s="4">
        <f>-SUMIFS('01_異動主檔'!$F:$F,'01_異動主檔'!$B:$B,118,'01_異動主檔'!$D:$D,B78,'01_異動主檔'!$E:$E,"精簡")</f>
        <v/>
      </c>
      <c r="J78" s="10">
        <f>D78+E78+F78+G78+H78+I78</f>
        <v/>
      </c>
    </row>
    <row r="79" ht="18" customHeight="1">
      <c r="A79" s="4" t="inlineStr">
        <is>
          <t>A003</t>
        </is>
      </c>
      <c r="B79" s="3" t="inlineStr">
        <is>
          <t>政風處</t>
        </is>
      </c>
      <c r="C79" s="4" t="n">
        <v>119</v>
      </c>
      <c r="D79" s="10">
        <f>J78</f>
        <v/>
      </c>
      <c r="E79" s="4">
        <f>SUMIFS('01_異動主檔'!$F:$F,'01_異動主檔'!$B:$B,119,'01_異動主檔'!$D:$D,B79,'01_異動主檔'!$E:$E,"移入")</f>
        <v/>
      </c>
      <c r="F79" s="4">
        <f>-SUMIFS('01_異動主檔'!$F:$F,'01_異動主檔'!$B:$B,119,'01_異動主檔'!$D:$D,B79,'01_異動主檔'!$E:$E,"移出")</f>
        <v/>
      </c>
      <c r="G79" s="4">
        <f>SUMIFS('01_異動主檔'!$F:$F,'01_異動主檔'!$B:$B,119,'01_異動主檔'!$D:$D,B79,'01_異動主檔'!$E:$E,"新增")</f>
        <v/>
      </c>
      <c r="H79" s="4">
        <f>-SUMIFS('01_異動主檔'!$F:$F,'01_異動主檔'!$B:$B,119,'01_異動主檔'!$D:$D,B79,'01_異動主檔'!$E:$E,"減列")</f>
        <v/>
      </c>
      <c r="I79" s="4">
        <f>-SUMIFS('01_異動主檔'!$F:$F,'01_異動主檔'!$B:$B,119,'01_異動主檔'!$D:$D,B79,'01_異動主檔'!$E:$E,"精簡")</f>
        <v/>
      </c>
      <c r="J79" s="10">
        <f>D79+E79+F79+G79+H79+I79</f>
        <v/>
      </c>
    </row>
    <row r="80" ht="18" customHeight="1">
      <c r="A80" s="6" t="inlineStr">
        <is>
          <t>A003</t>
        </is>
      </c>
      <c r="B80" s="5" t="inlineStr">
        <is>
          <t>政風處</t>
        </is>
      </c>
      <c r="C80" s="6" t="n">
        <v>120</v>
      </c>
      <c r="D80" s="10">
        <f>J79</f>
        <v/>
      </c>
      <c r="E80" s="4">
        <f>SUMIFS('01_異動主檔'!$F:$F,'01_異動主檔'!$B:$B,120,'01_異動主檔'!$D:$D,B80,'01_異動主檔'!$E:$E,"移入")</f>
        <v/>
      </c>
      <c r="F80" s="4">
        <f>-SUMIFS('01_異動主檔'!$F:$F,'01_異動主檔'!$B:$B,120,'01_異動主檔'!$D:$D,B80,'01_異動主檔'!$E:$E,"移出")</f>
        <v/>
      </c>
      <c r="G80" s="4">
        <f>SUMIFS('01_異動主檔'!$F:$F,'01_異動主檔'!$B:$B,120,'01_異動主檔'!$D:$D,B80,'01_異動主檔'!$E:$E,"新增")</f>
        <v/>
      </c>
      <c r="H80" s="4">
        <f>-SUMIFS('01_異動主檔'!$F:$F,'01_異動主檔'!$B:$B,120,'01_異動主檔'!$D:$D,B80,'01_異動主檔'!$E:$E,"減列")</f>
        <v/>
      </c>
      <c r="I80" s="4">
        <f>-SUMIFS('01_異動主檔'!$F:$F,'01_異動主檔'!$B:$B,120,'01_異動主檔'!$D:$D,B80,'01_異動主檔'!$E:$E,"精簡")</f>
        <v/>
      </c>
      <c r="J80" s="10">
        <f>D80+E80+F80+G80+H80+I80</f>
        <v/>
      </c>
    </row>
    <row r="81" ht="18" customHeight="1">
      <c r="A81" s="4" t="inlineStr">
        <is>
          <t>A003</t>
        </is>
      </c>
      <c r="B81" s="3" t="inlineStr">
        <is>
          <t>政風處</t>
        </is>
      </c>
      <c r="C81" s="4" t="n">
        <v>121</v>
      </c>
      <c r="D81" s="10">
        <f>J80</f>
        <v/>
      </c>
      <c r="E81" s="4">
        <f>SUMIFS('01_異動主檔'!$F:$F,'01_異動主檔'!$B:$B,121,'01_異動主檔'!$D:$D,B81,'01_異動主檔'!$E:$E,"移入")</f>
        <v/>
      </c>
      <c r="F81" s="4">
        <f>-SUMIFS('01_異動主檔'!$F:$F,'01_異動主檔'!$B:$B,121,'01_異動主檔'!$D:$D,B81,'01_異動主檔'!$E:$E,"移出")</f>
        <v/>
      </c>
      <c r="G81" s="4">
        <f>SUMIFS('01_異動主檔'!$F:$F,'01_異動主檔'!$B:$B,121,'01_異動主檔'!$D:$D,B81,'01_異動主檔'!$E:$E,"新增")</f>
        <v/>
      </c>
      <c r="H81" s="4">
        <f>-SUMIFS('01_異動主檔'!$F:$F,'01_異動主檔'!$B:$B,121,'01_異動主檔'!$D:$D,B81,'01_異動主檔'!$E:$E,"減列")</f>
        <v/>
      </c>
      <c r="I81" s="4">
        <f>-SUMIFS('01_異動主檔'!$F:$F,'01_異動主檔'!$B:$B,121,'01_異動主檔'!$D:$D,B81,'01_異動主檔'!$E:$E,"精簡")</f>
        <v/>
      </c>
      <c r="J81" s="10">
        <f>D81+E81+F81+G81+H81+I81</f>
        <v/>
      </c>
    </row>
    <row r="82" ht="18" customHeight="1">
      <c r="A82" s="6" t="inlineStr">
        <is>
          <t>A003</t>
        </is>
      </c>
      <c r="B82" s="5" t="inlineStr">
        <is>
          <t>政風處</t>
        </is>
      </c>
      <c r="C82" s="6" t="n">
        <v>122</v>
      </c>
      <c r="D82" s="10">
        <f>J81</f>
        <v/>
      </c>
      <c r="E82" s="4">
        <f>SUMIFS('01_異動主檔'!$F:$F,'01_異動主檔'!$B:$B,122,'01_異動主檔'!$D:$D,B82,'01_異動主檔'!$E:$E,"移入")</f>
        <v/>
      </c>
      <c r="F82" s="4">
        <f>-SUMIFS('01_異動主檔'!$F:$F,'01_異動主檔'!$B:$B,122,'01_異動主檔'!$D:$D,B82,'01_異動主檔'!$E:$E,"移出")</f>
        <v/>
      </c>
      <c r="G82" s="4">
        <f>SUMIFS('01_異動主檔'!$F:$F,'01_異動主檔'!$B:$B,122,'01_異動主檔'!$D:$D,B82,'01_異動主檔'!$E:$E,"新增")</f>
        <v/>
      </c>
      <c r="H82" s="4">
        <f>-SUMIFS('01_異動主檔'!$F:$F,'01_異動主檔'!$B:$B,122,'01_異動主檔'!$D:$D,B82,'01_異動主檔'!$E:$E,"減列")</f>
        <v/>
      </c>
      <c r="I82" s="4">
        <f>-SUMIFS('01_異動主檔'!$F:$F,'01_異動主檔'!$B:$B,122,'01_異動主檔'!$D:$D,B82,'01_異動主檔'!$E:$E,"精簡")</f>
        <v/>
      </c>
      <c r="J82" s="10">
        <f>D82+E82+F82+G82+H82+I82</f>
        <v/>
      </c>
    </row>
    <row r="83" ht="18" customHeight="1">
      <c r="A83" s="4" t="inlineStr">
        <is>
          <t>A003</t>
        </is>
      </c>
      <c r="B83" s="3" t="inlineStr">
        <is>
          <t>政風處</t>
        </is>
      </c>
      <c r="C83" s="4" t="n">
        <v>123</v>
      </c>
      <c r="D83" s="10">
        <f>J82</f>
        <v/>
      </c>
      <c r="E83" s="4">
        <f>SUMIFS('01_異動主檔'!$F:$F,'01_異動主檔'!$B:$B,123,'01_異動主檔'!$D:$D,B83,'01_異動主檔'!$E:$E,"移入")</f>
        <v/>
      </c>
      <c r="F83" s="4">
        <f>-SUMIFS('01_異動主檔'!$F:$F,'01_異動主檔'!$B:$B,123,'01_異動主檔'!$D:$D,B83,'01_異動主檔'!$E:$E,"移出")</f>
        <v/>
      </c>
      <c r="G83" s="4">
        <f>SUMIFS('01_異動主檔'!$F:$F,'01_異動主檔'!$B:$B,123,'01_異動主檔'!$D:$D,B83,'01_異動主檔'!$E:$E,"新增")</f>
        <v/>
      </c>
      <c r="H83" s="4">
        <f>-SUMIFS('01_異動主檔'!$F:$F,'01_異動主檔'!$B:$B,123,'01_異動主檔'!$D:$D,B83,'01_異動主檔'!$E:$E,"減列")</f>
        <v/>
      </c>
      <c r="I83" s="4">
        <f>-SUMIFS('01_異動主檔'!$F:$F,'01_異動主檔'!$B:$B,123,'01_異動主檔'!$D:$D,B83,'01_異動主檔'!$E:$E,"精簡")</f>
        <v/>
      </c>
      <c r="J83" s="10">
        <f>D83+E83+F83+G83+H83+I83</f>
        <v/>
      </c>
    </row>
    <row r="84" ht="18" customHeight="1">
      <c r="A84" s="6" t="inlineStr">
        <is>
          <t>A003</t>
        </is>
      </c>
      <c r="B84" s="5" t="inlineStr">
        <is>
          <t>政風處</t>
        </is>
      </c>
      <c r="C84" s="6" t="n">
        <v>124</v>
      </c>
      <c r="D84" s="10">
        <f>J83</f>
        <v/>
      </c>
      <c r="E84" s="4">
        <f>SUMIFS('01_異動主檔'!$F:$F,'01_異動主檔'!$B:$B,124,'01_異動主檔'!$D:$D,B84,'01_異動主檔'!$E:$E,"移入")</f>
        <v/>
      </c>
      <c r="F84" s="4">
        <f>-SUMIFS('01_異動主檔'!$F:$F,'01_異動主檔'!$B:$B,124,'01_異動主檔'!$D:$D,B84,'01_異動主檔'!$E:$E,"移出")</f>
        <v/>
      </c>
      <c r="G84" s="4">
        <f>SUMIFS('01_異動主檔'!$F:$F,'01_異動主檔'!$B:$B,124,'01_異動主檔'!$D:$D,B84,'01_異動主檔'!$E:$E,"新增")</f>
        <v/>
      </c>
      <c r="H84" s="4">
        <f>-SUMIFS('01_異動主檔'!$F:$F,'01_異動主檔'!$B:$B,124,'01_異動主檔'!$D:$D,B84,'01_異動主檔'!$E:$E,"減列")</f>
        <v/>
      </c>
      <c r="I84" s="4">
        <f>-SUMIFS('01_異動主檔'!$F:$F,'01_異動主檔'!$B:$B,124,'01_異動主檔'!$D:$D,B84,'01_異動主檔'!$E:$E,"精簡")</f>
        <v/>
      </c>
      <c r="J84" s="10">
        <f>D84+E84+F84+G84+H84+I84</f>
        <v/>
      </c>
    </row>
    <row r="85" ht="18" customHeight="1">
      <c r="A85" s="4" t="inlineStr">
        <is>
          <t>A003</t>
        </is>
      </c>
      <c r="B85" s="3" t="inlineStr">
        <is>
          <t>政風處</t>
        </is>
      </c>
      <c r="C85" s="4" t="n">
        <v>125</v>
      </c>
      <c r="D85" s="10">
        <f>J84</f>
        <v/>
      </c>
      <c r="E85" s="4">
        <f>SUMIFS('01_異動主檔'!$F:$F,'01_異動主檔'!$B:$B,125,'01_異動主檔'!$D:$D,B85,'01_異動主檔'!$E:$E,"移入")</f>
        <v/>
      </c>
      <c r="F85" s="4">
        <f>-SUMIFS('01_異動主檔'!$F:$F,'01_異動主檔'!$B:$B,125,'01_異動主檔'!$D:$D,B85,'01_異動主檔'!$E:$E,"移出")</f>
        <v/>
      </c>
      <c r="G85" s="4">
        <f>SUMIFS('01_異動主檔'!$F:$F,'01_異動主檔'!$B:$B,125,'01_異動主檔'!$D:$D,B85,'01_異動主檔'!$E:$E,"新增")</f>
        <v/>
      </c>
      <c r="H85" s="4">
        <f>-SUMIFS('01_異動主檔'!$F:$F,'01_異動主檔'!$B:$B,125,'01_異動主檔'!$D:$D,B85,'01_異動主檔'!$E:$E,"減列")</f>
        <v/>
      </c>
      <c r="I85" s="4">
        <f>-SUMIFS('01_異動主檔'!$F:$F,'01_異動主檔'!$B:$B,125,'01_異動主檔'!$D:$D,B85,'01_異動主檔'!$E:$E,"精簡")</f>
        <v/>
      </c>
      <c r="J85" s="10">
        <f>D85+E85+F85+G85+H85+I85</f>
        <v/>
      </c>
    </row>
    <row r="86" ht="18" customHeight="1">
      <c r="A86" s="6" t="inlineStr">
        <is>
          <t>A004</t>
        </is>
      </c>
      <c r="B86" s="5" t="inlineStr">
        <is>
          <t>總務處</t>
        </is>
      </c>
      <c r="C86" s="6" t="n">
        <v>99</v>
      </c>
      <c r="D86" s="10">
        <f>'02_年初員額設定'!C8</f>
        <v/>
      </c>
      <c r="E86" s="4">
        <f>SUMIFS('01_異動主檔'!$F:$F,'01_異動主檔'!$B:$B,99,'01_異動主檔'!$D:$D,B86,'01_異動主檔'!$E:$E,"移入")</f>
        <v/>
      </c>
      <c r="F86" s="4">
        <f>-SUMIFS('01_異動主檔'!$F:$F,'01_異動主檔'!$B:$B,99,'01_異動主檔'!$D:$D,B86,'01_異動主檔'!$E:$E,"移出")</f>
        <v/>
      </c>
      <c r="G86" s="4">
        <f>SUMIFS('01_異動主檔'!$F:$F,'01_異動主檔'!$B:$B,99,'01_異動主檔'!$D:$D,B86,'01_異動主檔'!$E:$E,"新增")</f>
        <v/>
      </c>
      <c r="H86" s="4">
        <f>-SUMIFS('01_異動主檔'!$F:$F,'01_異動主檔'!$B:$B,99,'01_異動主檔'!$D:$D,B86,'01_異動主檔'!$E:$E,"減列")</f>
        <v/>
      </c>
      <c r="I86" s="4">
        <f>-SUMIFS('01_異動主檔'!$F:$F,'01_異動主檔'!$B:$B,99,'01_異動主檔'!$D:$D,B86,'01_異動主檔'!$E:$E,"精簡")</f>
        <v/>
      </c>
      <c r="J86" s="10">
        <f>D86+E86+F86+G86+H86+I86</f>
        <v/>
      </c>
    </row>
    <row r="87" ht="18" customHeight="1">
      <c r="A87" s="4" t="inlineStr">
        <is>
          <t>A004</t>
        </is>
      </c>
      <c r="B87" s="3" t="inlineStr">
        <is>
          <t>總務處</t>
        </is>
      </c>
      <c r="C87" s="4" t="n">
        <v>100</v>
      </c>
      <c r="D87" s="10">
        <f>J86</f>
        <v/>
      </c>
      <c r="E87" s="4">
        <f>SUMIFS('01_異動主檔'!$F:$F,'01_異動主檔'!$B:$B,100,'01_異動主檔'!$D:$D,B87,'01_異動主檔'!$E:$E,"移入")</f>
        <v/>
      </c>
      <c r="F87" s="4">
        <f>-SUMIFS('01_異動主檔'!$F:$F,'01_異動主檔'!$B:$B,100,'01_異動主檔'!$D:$D,B87,'01_異動主檔'!$E:$E,"移出")</f>
        <v/>
      </c>
      <c r="G87" s="4">
        <f>SUMIFS('01_異動主檔'!$F:$F,'01_異動主檔'!$B:$B,100,'01_異動主檔'!$D:$D,B87,'01_異動主檔'!$E:$E,"新增")</f>
        <v/>
      </c>
      <c r="H87" s="4">
        <f>-SUMIFS('01_異動主檔'!$F:$F,'01_異動主檔'!$B:$B,100,'01_異動主檔'!$D:$D,B87,'01_異動主檔'!$E:$E,"減列")</f>
        <v/>
      </c>
      <c r="I87" s="4">
        <f>-SUMIFS('01_異動主檔'!$F:$F,'01_異動主檔'!$B:$B,100,'01_異動主檔'!$D:$D,B87,'01_異動主檔'!$E:$E,"精簡")</f>
        <v/>
      </c>
      <c r="J87" s="10">
        <f>D87+E87+F87+G87+H87+I87</f>
        <v/>
      </c>
    </row>
    <row r="88" ht="18" customHeight="1">
      <c r="A88" s="6" t="inlineStr">
        <is>
          <t>A004</t>
        </is>
      </c>
      <c r="B88" s="5" t="inlineStr">
        <is>
          <t>總務處</t>
        </is>
      </c>
      <c r="C88" s="6" t="n">
        <v>101</v>
      </c>
      <c r="D88" s="10">
        <f>J87</f>
        <v/>
      </c>
      <c r="E88" s="4">
        <f>SUMIFS('01_異動主檔'!$F:$F,'01_異動主檔'!$B:$B,101,'01_異動主檔'!$D:$D,B88,'01_異動主檔'!$E:$E,"移入")</f>
        <v/>
      </c>
      <c r="F88" s="4">
        <f>-SUMIFS('01_異動主檔'!$F:$F,'01_異動主檔'!$B:$B,101,'01_異動主檔'!$D:$D,B88,'01_異動主檔'!$E:$E,"移出")</f>
        <v/>
      </c>
      <c r="G88" s="4">
        <f>SUMIFS('01_異動主檔'!$F:$F,'01_異動主檔'!$B:$B,101,'01_異動主檔'!$D:$D,B88,'01_異動主檔'!$E:$E,"新增")</f>
        <v/>
      </c>
      <c r="H88" s="4">
        <f>-SUMIFS('01_異動主檔'!$F:$F,'01_異動主檔'!$B:$B,101,'01_異動主檔'!$D:$D,B88,'01_異動主檔'!$E:$E,"減列")</f>
        <v/>
      </c>
      <c r="I88" s="4">
        <f>-SUMIFS('01_異動主檔'!$F:$F,'01_異動主檔'!$B:$B,101,'01_異動主檔'!$D:$D,B88,'01_異動主檔'!$E:$E,"精簡")</f>
        <v/>
      </c>
      <c r="J88" s="10">
        <f>D88+E88+F88+G88+H88+I88</f>
        <v/>
      </c>
    </row>
    <row r="89" ht="18" customHeight="1">
      <c r="A89" s="4" t="inlineStr">
        <is>
          <t>A004</t>
        </is>
      </c>
      <c r="B89" s="3" t="inlineStr">
        <is>
          <t>總務處</t>
        </is>
      </c>
      <c r="C89" s="4" t="n">
        <v>102</v>
      </c>
      <c r="D89" s="10">
        <f>J88</f>
        <v/>
      </c>
      <c r="E89" s="4">
        <f>SUMIFS('01_異動主檔'!$F:$F,'01_異動主檔'!$B:$B,102,'01_異動主檔'!$D:$D,B89,'01_異動主檔'!$E:$E,"移入")</f>
        <v/>
      </c>
      <c r="F89" s="4">
        <f>-SUMIFS('01_異動主檔'!$F:$F,'01_異動主檔'!$B:$B,102,'01_異動主檔'!$D:$D,B89,'01_異動主檔'!$E:$E,"移出")</f>
        <v/>
      </c>
      <c r="G89" s="4">
        <f>SUMIFS('01_異動主檔'!$F:$F,'01_異動主檔'!$B:$B,102,'01_異動主檔'!$D:$D,B89,'01_異動主檔'!$E:$E,"新增")</f>
        <v/>
      </c>
      <c r="H89" s="4">
        <f>-SUMIFS('01_異動主檔'!$F:$F,'01_異動主檔'!$B:$B,102,'01_異動主檔'!$D:$D,B89,'01_異動主檔'!$E:$E,"減列")</f>
        <v/>
      </c>
      <c r="I89" s="4">
        <f>-SUMIFS('01_異動主檔'!$F:$F,'01_異動主檔'!$B:$B,102,'01_異動主檔'!$D:$D,B89,'01_異動主檔'!$E:$E,"精簡")</f>
        <v/>
      </c>
      <c r="J89" s="10">
        <f>D89+E89+F89+G89+H89+I89</f>
        <v/>
      </c>
    </row>
    <row r="90" ht="18" customHeight="1">
      <c r="A90" s="6" t="inlineStr">
        <is>
          <t>A004</t>
        </is>
      </c>
      <c r="B90" s="5" t="inlineStr">
        <is>
          <t>總務處</t>
        </is>
      </c>
      <c r="C90" s="6" t="n">
        <v>103</v>
      </c>
      <c r="D90" s="10">
        <f>J89</f>
        <v/>
      </c>
      <c r="E90" s="4">
        <f>SUMIFS('01_異動主檔'!$F:$F,'01_異動主檔'!$B:$B,103,'01_異動主檔'!$D:$D,B90,'01_異動主檔'!$E:$E,"移入")</f>
        <v/>
      </c>
      <c r="F90" s="4">
        <f>-SUMIFS('01_異動主檔'!$F:$F,'01_異動主檔'!$B:$B,103,'01_異動主檔'!$D:$D,B90,'01_異動主檔'!$E:$E,"移出")</f>
        <v/>
      </c>
      <c r="G90" s="4">
        <f>SUMIFS('01_異動主檔'!$F:$F,'01_異動主檔'!$B:$B,103,'01_異動主檔'!$D:$D,B90,'01_異動主檔'!$E:$E,"新增")</f>
        <v/>
      </c>
      <c r="H90" s="4">
        <f>-SUMIFS('01_異動主檔'!$F:$F,'01_異動主檔'!$B:$B,103,'01_異動主檔'!$D:$D,B90,'01_異動主檔'!$E:$E,"減列")</f>
        <v/>
      </c>
      <c r="I90" s="4">
        <f>-SUMIFS('01_異動主檔'!$F:$F,'01_異動主檔'!$B:$B,103,'01_異動主檔'!$D:$D,B90,'01_異動主檔'!$E:$E,"精簡")</f>
        <v/>
      </c>
      <c r="J90" s="10">
        <f>D90+E90+F90+G90+H90+I90</f>
        <v/>
      </c>
    </row>
    <row r="91" ht="18" customHeight="1">
      <c r="A91" s="4" t="inlineStr">
        <is>
          <t>A004</t>
        </is>
      </c>
      <c r="B91" s="3" t="inlineStr">
        <is>
          <t>總務處</t>
        </is>
      </c>
      <c r="C91" s="4" t="n">
        <v>104</v>
      </c>
      <c r="D91" s="10">
        <f>J90</f>
        <v/>
      </c>
      <c r="E91" s="4">
        <f>SUMIFS('01_異動主檔'!$F:$F,'01_異動主檔'!$B:$B,104,'01_異動主檔'!$D:$D,B91,'01_異動主檔'!$E:$E,"移入")</f>
        <v/>
      </c>
      <c r="F91" s="4">
        <f>-SUMIFS('01_異動主檔'!$F:$F,'01_異動主檔'!$B:$B,104,'01_異動主檔'!$D:$D,B91,'01_異動主檔'!$E:$E,"移出")</f>
        <v/>
      </c>
      <c r="G91" s="4">
        <f>SUMIFS('01_異動主檔'!$F:$F,'01_異動主檔'!$B:$B,104,'01_異動主檔'!$D:$D,B91,'01_異動主檔'!$E:$E,"新增")</f>
        <v/>
      </c>
      <c r="H91" s="4">
        <f>-SUMIFS('01_異動主檔'!$F:$F,'01_異動主檔'!$B:$B,104,'01_異動主檔'!$D:$D,B91,'01_異動主檔'!$E:$E,"減列")</f>
        <v/>
      </c>
      <c r="I91" s="4">
        <f>-SUMIFS('01_異動主檔'!$F:$F,'01_異動主檔'!$B:$B,104,'01_異動主檔'!$D:$D,B91,'01_異動主檔'!$E:$E,"精簡")</f>
        <v/>
      </c>
      <c r="J91" s="10">
        <f>D91+E91+F91+G91+H91+I91</f>
        <v/>
      </c>
    </row>
    <row r="92" ht="18" customHeight="1">
      <c r="A92" s="6" t="inlineStr">
        <is>
          <t>A004</t>
        </is>
      </c>
      <c r="B92" s="5" t="inlineStr">
        <is>
          <t>總務處</t>
        </is>
      </c>
      <c r="C92" s="6" t="n">
        <v>105</v>
      </c>
      <c r="D92" s="10">
        <f>J91</f>
        <v/>
      </c>
      <c r="E92" s="4">
        <f>SUMIFS('01_異動主檔'!$F:$F,'01_異動主檔'!$B:$B,105,'01_異動主檔'!$D:$D,B92,'01_異動主檔'!$E:$E,"移入")</f>
        <v/>
      </c>
      <c r="F92" s="4">
        <f>-SUMIFS('01_異動主檔'!$F:$F,'01_異動主檔'!$B:$B,105,'01_異動主檔'!$D:$D,B92,'01_異動主檔'!$E:$E,"移出")</f>
        <v/>
      </c>
      <c r="G92" s="4">
        <f>SUMIFS('01_異動主檔'!$F:$F,'01_異動主檔'!$B:$B,105,'01_異動主檔'!$D:$D,B92,'01_異動主檔'!$E:$E,"新增")</f>
        <v/>
      </c>
      <c r="H92" s="4">
        <f>-SUMIFS('01_異動主檔'!$F:$F,'01_異動主檔'!$B:$B,105,'01_異動主檔'!$D:$D,B92,'01_異動主檔'!$E:$E,"減列")</f>
        <v/>
      </c>
      <c r="I92" s="4">
        <f>-SUMIFS('01_異動主檔'!$F:$F,'01_異動主檔'!$B:$B,105,'01_異動主檔'!$D:$D,B92,'01_異動主檔'!$E:$E,"精簡")</f>
        <v/>
      </c>
      <c r="J92" s="10">
        <f>D92+E92+F92+G92+H92+I92</f>
        <v/>
      </c>
    </row>
    <row r="93" ht="18" customHeight="1">
      <c r="A93" s="4" t="inlineStr">
        <is>
          <t>A004</t>
        </is>
      </c>
      <c r="B93" s="3" t="inlineStr">
        <is>
          <t>總務處</t>
        </is>
      </c>
      <c r="C93" s="4" t="n">
        <v>106</v>
      </c>
      <c r="D93" s="10">
        <f>J92</f>
        <v/>
      </c>
      <c r="E93" s="4">
        <f>SUMIFS('01_異動主檔'!$F:$F,'01_異動主檔'!$B:$B,106,'01_異動主檔'!$D:$D,B93,'01_異動主檔'!$E:$E,"移入")</f>
        <v/>
      </c>
      <c r="F93" s="4">
        <f>-SUMIFS('01_異動主檔'!$F:$F,'01_異動主檔'!$B:$B,106,'01_異動主檔'!$D:$D,B93,'01_異動主檔'!$E:$E,"移出")</f>
        <v/>
      </c>
      <c r="G93" s="4">
        <f>SUMIFS('01_異動主檔'!$F:$F,'01_異動主檔'!$B:$B,106,'01_異動主檔'!$D:$D,B93,'01_異動主檔'!$E:$E,"新增")</f>
        <v/>
      </c>
      <c r="H93" s="4">
        <f>-SUMIFS('01_異動主檔'!$F:$F,'01_異動主檔'!$B:$B,106,'01_異動主檔'!$D:$D,B93,'01_異動主檔'!$E:$E,"減列")</f>
        <v/>
      </c>
      <c r="I93" s="4">
        <f>-SUMIFS('01_異動主檔'!$F:$F,'01_異動主檔'!$B:$B,106,'01_異動主檔'!$D:$D,B93,'01_異動主檔'!$E:$E,"精簡")</f>
        <v/>
      </c>
      <c r="J93" s="10">
        <f>D93+E93+F93+G93+H93+I93</f>
        <v/>
      </c>
    </row>
    <row r="94" ht="18" customHeight="1">
      <c r="A94" s="6" t="inlineStr">
        <is>
          <t>A004</t>
        </is>
      </c>
      <c r="B94" s="5" t="inlineStr">
        <is>
          <t>總務處</t>
        </is>
      </c>
      <c r="C94" s="6" t="n">
        <v>107</v>
      </c>
      <c r="D94" s="10">
        <f>J93</f>
        <v/>
      </c>
      <c r="E94" s="4">
        <f>SUMIFS('01_異動主檔'!$F:$F,'01_異動主檔'!$B:$B,107,'01_異動主檔'!$D:$D,B94,'01_異動主檔'!$E:$E,"移入")</f>
        <v/>
      </c>
      <c r="F94" s="4">
        <f>-SUMIFS('01_異動主檔'!$F:$F,'01_異動主檔'!$B:$B,107,'01_異動主檔'!$D:$D,B94,'01_異動主檔'!$E:$E,"移出")</f>
        <v/>
      </c>
      <c r="G94" s="4">
        <f>SUMIFS('01_異動主檔'!$F:$F,'01_異動主檔'!$B:$B,107,'01_異動主檔'!$D:$D,B94,'01_異動主檔'!$E:$E,"新增")</f>
        <v/>
      </c>
      <c r="H94" s="4">
        <f>-SUMIFS('01_異動主檔'!$F:$F,'01_異動主檔'!$B:$B,107,'01_異動主檔'!$D:$D,B94,'01_異動主檔'!$E:$E,"減列")</f>
        <v/>
      </c>
      <c r="I94" s="4">
        <f>-SUMIFS('01_異動主檔'!$F:$F,'01_異動主檔'!$B:$B,107,'01_異動主檔'!$D:$D,B94,'01_異動主檔'!$E:$E,"精簡")</f>
        <v/>
      </c>
      <c r="J94" s="10">
        <f>D94+E94+F94+G94+H94+I94</f>
        <v/>
      </c>
    </row>
    <row r="95" ht="18" customHeight="1">
      <c r="A95" s="4" t="inlineStr">
        <is>
          <t>A004</t>
        </is>
      </c>
      <c r="B95" s="3" t="inlineStr">
        <is>
          <t>總務處</t>
        </is>
      </c>
      <c r="C95" s="4" t="n">
        <v>108</v>
      </c>
      <c r="D95" s="10">
        <f>J94</f>
        <v/>
      </c>
      <c r="E95" s="4">
        <f>SUMIFS('01_異動主檔'!$F:$F,'01_異動主檔'!$B:$B,108,'01_異動主檔'!$D:$D,B95,'01_異動主檔'!$E:$E,"移入")</f>
        <v/>
      </c>
      <c r="F95" s="4">
        <f>-SUMIFS('01_異動主檔'!$F:$F,'01_異動主檔'!$B:$B,108,'01_異動主檔'!$D:$D,B95,'01_異動主檔'!$E:$E,"移出")</f>
        <v/>
      </c>
      <c r="G95" s="4">
        <f>SUMIFS('01_異動主檔'!$F:$F,'01_異動主檔'!$B:$B,108,'01_異動主檔'!$D:$D,B95,'01_異動主檔'!$E:$E,"新增")</f>
        <v/>
      </c>
      <c r="H95" s="4">
        <f>-SUMIFS('01_異動主檔'!$F:$F,'01_異動主檔'!$B:$B,108,'01_異動主檔'!$D:$D,B95,'01_異動主檔'!$E:$E,"減列")</f>
        <v/>
      </c>
      <c r="I95" s="4">
        <f>-SUMIFS('01_異動主檔'!$F:$F,'01_異動主檔'!$B:$B,108,'01_異動主檔'!$D:$D,B95,'01_異動主檔'!$E:$E,"精簡")</f>
        <v/>
      </c>
      <c r="J95" s="10">
        <f>D95+E95+F95+G95+H95+I95</f>
        <v/>
      </c>
    </row>
    <row r="96" ht="18" customHeight="1">
      <c r="A96" s="6" t="inlineStr">
        <is>
          <t>A004</t>
        </is>
      </c>
      <c r="B96" s="5" t="inlineStr">
        <is>
          <t>總務處</t>
        </is>
      </c>
      <c r="C96" s="6" t="n">
        <v>109</v>
      </c>
      <c r="D96" s="10">
        <f>J95</f>
        <v/>
      </c>
      <c r="E96" s="4">
        <f>SUMIFS('01_異動主檔'!$F:$F,'01_異動主檔'!$B:$B,109,'01_異動主檔'!$D:$D,B96,'01_異動主檔'!$E:$E,"移入")</f>
        <v/>
      </c>
      <c r="F96" s="4">
        <f>-SUMIFS('01_異動主檔'!$F:$F,'01_異動主檔'!$B:$B,109,'01_異動主檔'!$D:$D,B96,'01_異動主檔'!$E:$E,"移出")</f>
        <v/>
      </c>
      <c r="G96" s="4">
        <f>SUMIFS('01_異動主檔'!$F:$F,'01_異動主檔'!$B:$B,109,'01_異動主檔'!$D:$D,B96,'01_異動主檔'!$E:$E,"新增")</f>
        <v/>
      </c>
      <c r="H96" s="4">
        <f>-SUMIFS('01_異動主檔'!$F:$F,'01_異動主檔'!$B:$B,109,'01_異動主檔'!$D:$D,B96,'01_異動主檔'!$E:$E,"減列")</f>
        <v/>
      </c>
      <c r="I96" s="4">
        <f>-SUMIFS('01_異動主檔'!$F:$F,'01_異動主檔'!$B:$B,109,'01_異動主檔'!$D:$D,B96,'01_異動主檔'!$E:$E,"精簡")</f>
        <v/>
      </c>
      <c r="J96" s="10">
        <f>D96+E96+F96+G96+H96+I96</f>
        <v/>
      </c>
    </row>
    <row r="97" ht="18" customHeight="1">
      <c r="A97" s="4" t="inlineStr">
        <is>
          <t>A004</t>
        </is>
      </c>
      <c r="B97" s="3" t="inlineStr">
        <is>
          <t>總務處</t>
        </is>
      </c>
      <c r="C97" s="4" t="n">
        <v>110</v>
      </c>
      <c r="D97" s="10">
        <f>J96</f>
        <v/>
      </c>
      <c r="E97" s="4">
        <f>SUMIFS('01_異動主檔'!$F:$F,'01_異動主檔'!$B:$B,110,'01_異動主檔'!$D:$D,B97,'01_異動主檔'!$E:$E,"移入")</f>
        <v/>
      </c>
      <c r="F97" s="4">
        <f>-SUMIFS('01_異動主檔'!$F:$F,'01_異動主檔'!$B:$B,110,'01_異動主檔'!$D:$D,B97,'01_異動主檔'!$E:$E,"移出")</f>
        <v/>
      </c>
      <c r="G97" s="4">
        <f>SUMIFS('01_異動主檔'!$F:$F,'01_異動主檔'!$B:$B,110,'01_異動主檔'!$D:$D,B97,'01_異動主檔'!$E:$E,"新增")</f>
        <v/>
      </c>
      <c r="H97" s="4">
        <f>-SUMIFS('01_異動主檔'!$F:$F,'01_異動主檔'!$B:$B,110,'01_異動主檔'!$D:$D,B97,'01_異動主檔'!$E:$E,"減列")</f>
        <v/>
      </c>
      <c r="I97" s="4">
        <f>-SUMIFS('01_異動主檔'!$F:$F,'01_異動主檔'!$B:$B,110,'01_異動主檔'!$D:$D,B97,'01_異動主檔'!$E:$E,"精簡")</f>
        <v/>
      </c>
      <c r="J97" s="10">
        <f>D97+E97+F97+G97+H97+I97</f>
        <v/>
      </c>
    </row>
    <row r="98" ht="18" customHeight="1">
      <c r="A98" s="6" t="inlineStr">
        <is>
          <t>A004</t>
        </is>
      </c>
      <c r="B98" s="5" t="inlineStr">
        <is>
          <t>總務處</t>
        </is>
      </c>
      <c r="C98" s="6" t="n">
        <v>111</v>
      </c>
      <c r="D98" s="10">
        <f>J97</f>
        <v/>
      </c>
      <c r="E98" s="4">
        <f>SUMIFS('01_異動主檔'!$F:$F,'01_異動主檔'!$B:$B,111,'01_異動主檔'!$D:$D,B98,'01_異動主檔'!$E:$E,"移入")</f>
        <v/>
      </c>
      <c r="F98" s="4">
        <f>-SUMIFS('01_異動主檔'!$F:$F,'01_異動主檔'!$B:$B,111,'01_異動主檔'!$D:$D,B98,'01_異動主檔'!$E:$E,"移出")</f>
        <v/>
      </c>
      <c r="G98" s="4">
        <f>SUMIFS('01_異動主檔'!$F:$F,'01_異動主檔'!$B:$B,111,'01_異動主檔'!$D:$D,B98,'01_異動主檔'!$E:$E,"新增")</f>
        <v/>
      </c>
      <c r="H98" s="4">
        <f>-SUMIFS('01_異動主檔'!$F:$F,'01_異動主檔'!$B:$B,111,'01_異動主檔'!$D:$D,B98,'01_異動主檔'!$E:$E,"減列")</f>
        <v/>
      </c>
      <c r="I98" s="4">
        <f>-SUMIFS('01_異動主檔'!$F:$F,'01_異動主檔'!$B:$B,111,'01_異動主檔'!$D:$D,B98,'01_異動主檔'!$E:$E,"精簡")</f>
        <v/>
      </c>
      <c r="J98" s="10">
        <f>D98+E98+F98+G98+H98+I98</f>
        <v/>
      </c>
    </row>
    <row r="99" ht="18" customHeight="1">
      <c r="A99" s="4" t="inlineStr">
        <is>
          <t>A004</t>
        </is>
      </c>
      <c r="B99" s="3" t="inlineStr">
        <is>
          <t>總務處</t>
        </is>
      </c>
      <c r="C99" s="4" t="n">
        <v>112</v>
      </c>
      <c r="D99" s="10">
        <f>J98</f>
        <v/>
      </c>
      <c r="E99" s="4">
        <f>SUMIFS('01_異動主檔'!$F:$F,'01_異動主檔'!$B:$B,112,'01_異動主檔'!$D:$D,B99,'01_異動主檔'!$E:$E,"移入")</f>
        <v/>
      </c>
      <c r="F99" s="4">
        <f>-SUMIFS('01_異動主檔'!$F:$F,'01_異動主檔'!$B:$B,112,'01_異動主檔'!$D:$D,B99,'01_異動主檔'!$E:$E,"移出")</f>
        <v/>
      </c>
      <c r="G99" s="4">
        <f>SUMIFS('01_異動主檔'!$F:$F,'01_異動主檔'!$B:$B,112,'01_異動主檔'!$D:$D,B99,'01_異動主檔'!$E:$E,"新增")</f>
        <v/>
      </c>
      <c r="H99" s="4">
        <f>-SUMIFS('01_異動主檔'!$F:$F,'01_異動主檔'!$B:$B,112,'01_異動主檔'!$D:$D,B99,'01_異動主檔'!$E:$E,"減列")</f>
        <v/>
      </c>
      <c r="I99" s="4">
        <f>-SUMIFS('01_異動主檔'!$F:$F,'01_異動主檔'!$B:$B,112,'01_異動主檔'!$D:$D,B99,'01_異動主檔'!$E:$E,"精簡")</f>
        <v/>
      </c>
      <c r="J99" s="10">
        <f>D99+E99+F99+G99+H99+I99</f>
        <v/>
      </c>
    </row>
    <row r="100" ht="18" customHeight="1">
      <c r="A100" s="6" t="inlineStr">
        <is>
          <t>A004</t>
        </is>
      </c>
      <c r="B100" s="5" t="inlineStr">
        <is>
          <t>總務處</t>
        </is>
      </c>
      <c r="C100" s="6" t="n">
        <v>113</v>
      </c>
      <c r="D100" s="10">
        <f>J99</f>
        <v/>
      </c>
      <c r="E100" s="4">
        <f>SUMIFS('01_異動主檔'!$F:$F,'01_異動主檔'!$B:$B,113,'01_異動主檔'!$D:$D,B100,'01_異動主檔'!$E:$E,"移入")</f>
        <v/>
      </c>
      <c r="F100" s="4">
        <f>-SUMIFS('01_異動主檔'!$F:$F,'01_異動主檔'!$B:$B,113,'01_異動主檔'!$D:$D,B100,'01_異動主檔'!$E:$E,"移出")</f>
        <v/>
      </c>
      <c r="G100" s="4">
        <f>SUMIFS('01_異動主檔'!$F:$F,'01_異動主檔'!$B:$B,113,'01_異動主檔'!$D:$D,B100,'01_異動主檔'!$E:$E,"新增")</f>
        <v/>
      </c>
      <c r="H100" s="4">
        <f>-SUMIFS('01_異動主檔'!$F:$F,'01_異動主檔'!$B:$B,113,'01_異動主檔'!$D:$D,B100,'01_異動主檔'!$E:$E,"減列")</f>
        <v/>
      </c>
      <c r="I100" s="4">
        <f>-SUMIFS('01_異動主檔'!$F:$F,'01_異動主檔'!$B:$B,113,'01_異動主檔'!$D:$D,B100,'01_異動主檔'!$E:$E,"精簡")</f>
        <v/>
      </c>
      <c r="J100" s="10">
        <f>D100+E100+F100+G100+H100+I100</f>
        <v/>
      </c>
    </row>
    <row r="101" ht="18" customHeight="1">
      <c r="A101" s="4" t="inlineStr">
        <is>
          <t>A004</t>
        </is>
      </c>
      <c r="B101" s="3" t="inlineStr">
        <is>
          <t>總務處</t>
        </is>
      </c>
      <c r="C101" s="4" t="n">
        <v>114</v>
      </c>
      <c r="D101" s="10">
        <f>J100</f>
        <v/>
      </c>
      <c r="E101" s="4">
        <f>SUMIFS('01_異動主檔'!$F:$F,'01_異動主檔'!$B:$B,114,'01_異動主檔'!$D:$D,B101,'01_異動主檔'!$E:$E,"移入")</f>
        <v/>
      </c>
      <c r="F101" s="4">
        <f>-SUMIFS('01_異動主檔'!$F:$F,'01_異動主檔'!$B:$B,114,'01_異動主檔'!$D:$D,B101,'01_異動主檔'!$E:$E,"移出")</f>
        <v/>
      </c>
      <c r="G101" s="4">
        <f>SUMIFS('01_異動主檔'!$F:$F,'01_異動主檔'!$B:$B,114,'01_異動主檔'!$D:$D,B101,'01_異動主檔'!$E:$E,"新增")</f>
        <v/>
      </c>
      <c r="H101" s="4">
        <f>-SUMIFS('01_異動主檔'!$F:$F,'01_異動主檔'!$B:$B,114,'01_異動主檔'!$D:$D,B101,'01_異動主檔'!$E:$E,"減列")</f>
        <v/>
      </c>
      <c r="I101" s="4">
        <f>-SUMIFS('01_異動主檔'!$F:$F,'01_異動主檔'!$B:$B,114,'01_異動主檔'!$D:$D,B101,'01_異動主檔'!$E:$E,"精簡")</f>
        <v/>
      </c>
      <c r="J101" s="10">
        <f>D101+E101+F101+G101+H101+I101</f>
        <v/>
      </c>
    </row>
    <row r="102" ht="18" customHeight="1">
      <c r="A102" s="6" t="inlineStr">
        <is>
          <t>A004</t>
        </is>
      </c>
      <c r="B102" s="5" t="inlineStr">
        <is>
          <t>總務處</t>
        </is>
      </c>
      <c r="C102" s="6" t="n">
        <v>115</v>
      </c>
      <c r="D102" s="10">
        <f>J101</f>
        <v/>
      </c>
      <c r="E102" s="4">
        <f>SUMIFS('01_異動主檔'!$F:$F,'01_異動主檔'!$B:$B,115,'01_異動主檔'!$D:$D,B102,'01_異動主檔'!$E:$E,"移入")</f>
        <v/>
      </c>
      <c r="F102" s="4">
        <f>-SUMIFS('01_異動主檔'!$F:$F,'01_異動主檔'!$B:$B,115,'01_異動主檔'!$D:$D,B102,'01_異動主檔'!$E:$E,"移出")</f>
        <v/>
      </c>
      <c r="G102" s="4">
        <f>SUMIFS('01_異動主檔'!$F:$F,'01_異動主檔'!$B:$B,115,'01_異動主檔'!$D:$D,B102,'01_異動主檔'!$E:$E,"新增")</f>
        <v/>
      </c>
      <c r="H102" s="4">
        <f>-SUMIFS('01_異動主檔'!$F:$F,'01_異動主檔'!$B:$B,115,'01_異動主檔'!$D:$D,B102,'01_異動主檔'!$E:$E,"減列")</f>
        <v/>
      </c>
      <c r="I102" s="4">
        <f>-SUMIFS('01_異動主檔'!$F:$F,'01_異動主檔'!$B:$B,115,'01_異動主檔'!$D:$D,B102,'01_異動主檔'!$E:$E,"精簡")</f>
        <v/>
      </c>
      <c r="J102" s="10">
        <f>D102+E102+F102+G102+H102+I102</f>
        <v/>
      </c>
    </row>
    <row r="103" ht="18" customHeight="1">
      <c r="A103" s="4" t="inlineStr">
        <is>
          <t>A004</t>
        </is>
      </c>
      <c r="B103" s="3" t="inlineStr">
        <is>
          <t>總務處</t>
        </is>
      </c>
      <c r="C103" s="4" t="n">
        <v>116</v>
      </c>
      <c r="D103" s="10">
        <f>J102</f>
        <v/>
      </c>
      <c r="E103" s="4">
        <f>SUMIFS('01_異動主檔'!$F:$F,'01_異動主檔'!$B:$B,116,'01_異動主檔'!$D:$D,B103,'01_異動主檔'!$E:$E,"移入")</f>
        <v/>
      </c>
      <c r="F103" s="4">
        <f>-SUMIFS('01_異動主檔'!$F:$F,'01_異動主檔'!$B:$B,116,'01_異動主檔'!$D:$D,B103,'01_異動主檔'!$E:$E,"移出")</f>
        <v/>
      </c>
      <c r="G103" s="4">
        <f>SUMIFS('01_異動主檔'!$F:$F,'01_異動主檔'!$B:$B,116,'01_異動主檔'!$D:$D,B103,'01_異動主檔'!$E:$E,"新增")</f>
        <v/>
      </c>
      <c r="H103" s="4">
        <f>-SUMIFS('01_異動主檔'!$F:$F,'01_異動主檔'!$B:$B,116,'01_異動主檔'!$D:$D,B103,'01_異動主檔'!$E:$E,"減列")</f>
        <v/>
      </c>
      <c r="I103" s="4">
        <f>-SUMIFS('01_異動主檔'!$F:$F,'01_異動主檔'!$B:$B,116,'01_異動主檔'!$D:$D,B103,'01_異動主檔'!$E:$E,"精簡")</f>
        <v/>
      </c>
      <c r="J103" s="10">
        <f>D103+E103+F103+G103+H103+I103</f>
        <v/>
      </c>
    </row>
    <row r="104" ht="18" customHeight="1">
      <c r="A104" s="6" t="inlineStr">
        <is>
          <t>A004</t>
        </is>
      </c>
      <c r="B104" s="5" t="inlineStr">
        <is>
          <t>總務處</t>
        </is>
      </c>
      <c r="C104" s="6" t="n">
        <v>117</v>
      </c>
      <c r="D104" s="10">
        <f>J103</f>
        <v/>
      </c>
      <c r="E104" s="4">
        <f>SUMIFS('01_異動主檔'!$F:$F,'01_異動主檔'!$B:$B,117,'01_異動主檔'!$D:$D,B104,'01_異動主檔'!$E:$E,"移入")</f>
        <v/>
      </c>
      <c r="F104" s="4">
        <f>-SUMIFS('01_異動主檔'!$F:$F,'01_異動主檔'!$B:$B,117,'01_異動主檔'!$D:$D,B104,'01_異動主檔'!$E:$E,"移出")</f>
        <v/>
      </c>
      <c r="G104" s="4">
        <f>SUMIFS('01_異動主檔'!$F:$F,'01_異動主檔'!$B:$B,117,'01_異動主檔'!$D:$D,B104,'01_異動主檔'!$E:$E,"新增")</f>
        <v/>
      </c>
      <c r="H104" s="4">
        <f>-SUMIFS('01_異動主檔'!$F:$F,'01_異動主檔'!$B:$B,117,'01_異動主檔'!$D:$D,B104,'01_異動主檔'!$E:$E,"減列")</f>
        <v/>
      </c>
      <c r="I104" s="4">
        <f>-SUMIFS('01_異動主檔'!$F:$F,'01_異動主檔'!$B:$B,117,'01_異動主檔'!$D:$D,B104,'01_異動主檔'!$E:$E,"精簡")</f>
        <v/>
      </c>
      <c r="J104" s="10">
        <f>D104+E104+F104+G104+H104+I104</f>
        <v/>
      </c>
    </row>
    <row r="105" ht="18" customHeight="1">
      <c r="A105" s="4" t="inlineStr">
        <is>
          <t>A004</t>
        </is>
      </c>
      <c r="B105" s="3" t="inlineStr">
        <is>
          <t>總務處</t>
        </is>
      </c>
      <c r="C105" s="4" t="n">
        <v>118</v>
      </c>
      <c r="D105" s="10">
        <f>J104</f>
        <v/>
      </c>
      <c r="E105" s="4">
        <f>SUMIFS('01_異動主檔'!$F:$F,'01_異動主檔'!$B:$B,118,'01_異動主檔'!$D:$D,B105,'01_異動主檔'!$E:$E,"移入")</f>
        <v/>
      </c>
      <c r="F105" s="4">
        <f>-SUMIFS('01_異動主檔'!$F:$F,'01_異動主檔'!$B:$B,118,'01_異動主檔'!$D:$D,B105,'01_異動主檔'!$E:$E,"移出")</f>
        <v/>
      </c>
      <c r="G105" s="4">
        <f>SUMIFS('01_異動主檔'!$F:$F,'01_異動主檔'!$B:$B,118,'01_異動主檔'!$D:$D,B105,'01_異動主檔'!$E:$E,"新增")</f>
        <v/>
      </c>
      <c r="H105" s="4">
        <f>-SUMIFS('01_異動主檔'!$F:$F,'01_異動主檔'!$B:$B,118,'01_異動主檔'!$D:$D,B105,'01_異動主檔'!$E:$E,"減列")</f>
        <v/>
      </c>
      <c r="I105" s="4">
        <f>-SUMIFS('01_異動主檔'!$F:$F,'01_異動主檔'!$B:$B,118,'01_異動主檔'!$D:$D,B105,'01_異動主檔'!$E:$E,"精簡")</f>
        <v/>
      </c>
      <c r="J105" s="10">
        <f>D105+E105+F105+G105+H105+I105</f>
        <v/>
      </c>
    </row>
    <row r="106" ht="18" customHeight="1">
      <c r="A106" s="6" t="inlineStr">
        <is>
          <t>A004</t>
        </is>
      </c>
      <c r="B106" s="5" t="inlineStr">
        <is>
          <t>總務處</t>
        </is>
      </c>
      <c r="C106" s="6" t="n">
        <v>119</v>
      </c>
      <c r="D106" s="10">
        <f>J105</f>
        <v/>
      </c>
      <c r="E106" s="4">
        <f>SUMIFS('01_異動主檔'!$F:$F,'01_異動主檔'!$B:$B,119,'01_異動主檔'!$D:$D,B106,'01_異動主檔'!$E:$E,"移入")</f>
        <v/>
      </c>
      <c r="F106" s="4">
        <f>-SUMIFS('01_異動主檔'!$F:$F,'01_異動主檔'!$B:$B,119,'01_異動主檔'!$D:$D,B106,'01_異動主檔'!$E:$E,"移出")</f>
        <v/>
      </c>
      <c r="G106" s="4">
        <f>SUMIFS('01_異動主檔'!$F:$F,'01_異動主檔'!$B:$B,119,'01_異動主檔'!$D:$D,B106,'01_異動主檔'!$E:$E,"新增")</f>
        <v/>
      </c>
      <c r="H106" s="4">
        <f>-SUMIFS('01_異動主檔'!$F:$F,'01_異動主檔'!$B:$B,119,'01_異動主檔'!$D:$D,B106,'01_異動主檔'!$E:$E,"減列")</f>
        <v/>
      </c>
      <c r="I106" s="4">
        <f>-SUMIFS('01_異動主檔'!$F:$F,'01_異動主檔'!$B:$B,119,'01_異動主檔'!$D:$D,B106,'01_異動主檔'!$E:$E,"精簡")</f>
        <v/>
      </c>
      <c r="J106" s="10">
        <f>D106+E106+F106+G106+H106+I106</f>
        <v/>
      </c>
    </row>
    <row r="107" ht="18" customHeight="1">
      <c r="A107" s="4" t="inlineStr">
        <is>
          <t>A004</t>
        </is>
      </c>
      <c r="B107" s="3" t="inlineStr">
        <is>
          <t>總務處</t>
        </is>
      </c>
      <c r="C107" s="4" t="n">
        <v>120</v>
      </c>
      <c r="D107" s="10">
        <f>J106</f>
        <v/>
      </c>
      <c r="E107" s="4">
        <f>SUMIFS('01_異動主檔'!$F:$F,'01_異動主檔'!$B:$B,120,'01_異動主檔'!$D:$D,B107,'01_異動主檔'!$E:$E,"移入")</f>
        <v/>
      </c>
      <c r="F107" s="4">
        <f>-SUMIFS('01_異動主檔'!$F:$F,'01_異動主檔'!$B:$B,120,'01_異動主檔'!$D:$D,B107,'01_異動主檔'!$E:$E,"移出")</f>
        <v/>
      </c>
      <c r="G107" s="4">
        <f>SUMIFS('01_異動主檔'!$F:$F,'01_異動主檔'!$B:$B,120,'01_異動主檔'!$D:$D,B107,'01_異動主檔'!$E:$E,"新增")</f>
        <v/>
      </c>
      <c r="H107" s="4">
        <f>-SUMIFS('01_異動主檔'!$F:$F,'01_異動主檔'!$B:$B,120,'01_異動主檔'!$D:$D,B107,'01_異動主檔'!$E:$E,"減列")</f>
        <v/>
      </c>
      <c r="I107" s="4">
        <f>-SUMIFS('01_異動主檔'!$F:$F,'01_異動主檔'!$B:$B,120,'01_異動主檔'!$D:$D,B107,'01_異動主檔'!$E:$E,"精簡")</f>
        <v/>
      </c>
      <c r="J107" s="10">
        <f>D107+E107+F107+G107+H107+I107</f>
        <v/>
      </c>
    </row>
    <row r="108" ht="18" customHeight="1">
      <c r="A108" s="6" t="inlineStr">
        <is>
          <t>A004</t>
        </is>
      </c>
      <c r="B108" s="5" t="inlineStr">
        <is>
          <t>總務處</t>
        </is>
      </c>
      <c r="C108" s="6" t="n">
        <v>121</v>
      </c>
      <c r="D108" s="10">
        <f>J107</f>
        <v/>
      </c>
      <c r="E108" s="4">
        <f>SUMIFS('01_異動主檔'!$F:$F,'01_異動主檔'!$B:$B,121,'01_異動主檔'!$D:$D,B108,'01_異動主檔'!$E:$E,"移入")</f>
        <v/>
      </c>
      <c r="F108" s="4">
        <f>-SUMIFS('01_異動主檔'!$F:$F,'01_異動主檔'!$B:$B,121,'01_異動主檔'!$D:$D,B108,'01_異動主檔'!$E:$E,"移出")</f>
        <v/>
      </c>
      <c r="G108" s="4">
        <f>SUMIFS('01_異動主檔'!$F:$F,'01_異動主檔'!$B:$B,121,'01_異動主檔'!$D:$D,B108,'01_異動主檔'!$E:$E,"新增")</f>
        <v/>
      </c>
      <c r="H108" s="4">
        <f>-SUMIFS('01_異動主檔'!$F:$F,'01_異動主檔'!$B:$B,121,'01_異動主檔'!$D:$D,B108,'01_異動主檔'!$E:$E,"減列")</f>
        <v/>
      </c>
      <c r="I108" s="4">
        <f>-SUMIFS('01_異動主檔'!$F:$F,'01_異動主檔'!$B:$B,121,'01_異動主檔'!$D:$D,B108,'01_異動主檔'!$E:$E,"精簡")</f>
        <v/>
      </c>
      <c r="J108" s="10">
        <f>D108+E108+F108+G108+H108+I108</f>
        <v/>
      </c>
    </row>
    <row r="109" ht="18" customHeight="1">
      <c r="A109" s="4" t="inlineStr">
        <is>
          <t>A004</t>
        </is>
      </c>
      <c r="B109" s="3" t="inlineStr">
        <is>
          <t>總務處</t>
        </is>
      </c>
      <c r="C109" s="4" t="n">
        <v>122</v>
      </c>
      <c r="D109" s="10">
        <f>J108</f>
        <v/>
      </c>
      <c r="E109" s="4">
        <f>SUMIFS('01_異動主檔'!$F:$F,'01_異動主檔'!$B:$B,122,'01_異動主檔'!$D:$D,B109,'01_異動主檔'!$E:$E,"移入")</f>
        <v/>
      </c>
      <c r="F109" s="4">
        <f>-SUMIFS('01_異動主檔'!$F:$F,'01_異動主檔'!$B:$B,122,'01_異動主檔'!$D:$D,B109,'01_異動主檔'!$E:$E,"移出")</f>
        <v/>
      </c>
      <c r="G109" s="4">
        <f>SUMIFS('01_異動主檔'!$F:$F,'01_異動主檔'!$B:$B,122,'01_異動主檔'!$D:$D,B109,'01_異動主檔'!$E:$E,"新增")</f>
        <v/>
      </c>
      <c r="H109" s="4">
        <f>-SUMIFS('01_異動主檔'!$F:$F,'01_異動主檔'!$B:$B,122,'01_異動主檔'!$D:$D,B109,'01_異動主檔'!$E:$E,"減列")</f>
        <v/>
      </c>
      <c r="I109" s="4">
        <f>-SUMIFS('01_異動主檔'!$F:$F,'01_異動主檔'!$B:$B,122,'01_異動主檔'!$D:$D,B109,'01_異動主檔'!$E:$E,"精簡")</f>
        <v/>
      </c>
      <c r="J109" s="10">
        <f>D109+E109+F109+G109+H109+I109</f>
        <v/>
      </c>
    </row>
    <row r="110" ht="18" customHeight="1">
      <c r="A110" s="6" t="inlineStr">
        <is>
          <t>A004</t>
        </is>
      </c>
      <c r="B110" s="5" t="inlineStr">
        <is>
          <t>總務處</t>
        </is>
      </c>
      <c r="C110" s="6" t="n">
        <v>123</v>
      </c>
      <c r="D110" s="10">
        <f>J109</f>
        <v/>
      </c>
      <c r="E110" s="4">
        <f>SUMIFS('01_異動主檔'!$F:$F,'01_異動主檔'!$B:$B,123,'01_異動主檔'!$D:$D,B110,'01_異動主檔'!$E:$E,"移入")</f>
        <v/>
      </c>
      <c r="F110" s="4">
        <f>-SUMIFS('01_異動主檔'!$F:$F,'01_異動主檔'!$B:$B,123,'01_異動主檔'!$D:$D,B110,'01_異動主檔'!$E:$E,"移出")</f>
        <v/>
      </c>
      <c r="G110" s="4">
        <f>SUMIFS('01_異動主檔'!$F:$F,'01_異動主檔'!$B:$B,123,'01_異動主檔'!$D:$D,B110,'01_異動主檔'!$E:$E,"新增")</f>
        <v/>
      </c>
      <c r="H110" s="4">
        <f>-SUMIFS('01_異動主檔'!$F:$F,'01_異動主檔'!$B:$B,123,'01_異動主檔'!$D:$D,B110,'01_異動主檔'!$E:$E,"減列")</f>
        <v/>
      </c>
      <c r="I110" s="4">
        <f>-SUMIFS('01_異動主檔'!$F:$F,'01_異動主檔'!$B:$B,123,'01_異動主檔'!$D:$D,B110,'01_異動主檔'!$E:$E,"精簡")</f>
        <v/>
      </c>
      <c r="J110" s="10">
        <f>D110+E110+F110+G110+H110+I110</f>
        <v/>
      </c>
    </row>
    <row r="111" ht="18" customHeight="1">
      <c r="A111" s="4" t="inlineStr">
        <is>
          <t>A004</t>
        </is>
      </c>
      <c r="B111" s="3" t="inlineStr">
        <is>
          <t>總務處</t>
        </is>
      </c>
      <c r="C111" s="4" t="n">
        <v>124</v>
      </c>
      <c r="D111" s="10">
        <f>J110</f>
        <v/>
      </c>
      <c r="E111" s="4">
        <f>SUMIFS('01_異動主檔'!$F:$F,'01_異動主檔'!$B:$B,124,'01_異動主檔'!$D:$D,B111,'01_異動主檔'!$E:$E,"移入")</f>
        <v/>
      </c>
      <c r="F111" s="4">
        <f>-SUMIFS('01_異動主檔'!$F:$F,'01_異動主檔'!$B:$B,124,'01_異動主檔'!$D:$D,B111,'01_異動主檔'!$E:$E,"移出")</f>
        <v/>
      </c>
      <c r="G111" s="4">
        <f>SUMIFS('01_異動主檔'!$F:$F,'01_異動主檔'!$B:$B,124,'01_異動主檔'!$D:$D,B111,'01_異動主檔'!$E:$E,"新增")</f>
        <v/>
      </c>
      <c r="H111" s="4">
        <f>-SUMIFS('01_異動主檔'!$F:$F,'01_異動主檔'!$B:$B,124,'01_異動主檔'!$D:$D,B111,'01_異動主檔'!$E:$E,"減列")</f>
        <v/>
      </c>
      <c r="I111" s="4">
        <f>-SUMIFS('01_異動主檔'!$F:$F,'01_異動主檔'!$B:$B,124,'01_異動主檔'!$D:$D,B111,'01_異動主檔'!$E:$E,"精簡")</f>
        <v/>
      </c>
      <c r="J111" s="10">
        <f>D111+E111+F111+G111+H111+I111</f>
        <v/>
      </c>
    </row>
    <row r="112" ht="18" customHeight="1">
      <c r="A112" s="6" t="inlineStr">
        <is>
          <t>A004</t>
        </is>
      </c>
      <c r="B112" s="5" t="inlineStr">
        <is>
          <t>總務處</t>
        </is>
      </c>
      <c r="C112" s="6" t="n">
        <v>125</v>
      </c>
      <c r="D112" s="10">
        <f>J111</f>
        <v/>
      </c>
      <c r="E112" s="4">
        <f>SUMIFS('01_異動主檔'!$F:$F,'01_異動主檔'!$B:$B,125,'01_異動主檔'!$D:$D,B112,'01_異動主檔'!$E:$E,"移入")</f>
        <v/>
      </c>
      <c r="F112" s="4">
        <f>-SUMIFS('01_異動主檔'!$F:$F,'01_異動主檔'!$B:$B,125,'01_異動主檔'!$D:$D,B112,'01_異動主檔'!$E:$E,"移出")</f>
        <v/>
      </c>
      <c r="G112" s="4">
        <f>SUMIFS('01_異動主檔'!$F:$F,'01_異動主檔'!$B:$B,125,'01_異動主檔'!$D:$D,B112,'01_異動主檔'!$E:$E,"新增")</f>
        <v/>
      </c>
      <c r="H112" s="4">
        <f>-SUMIFS('01_異動主檔'!$F:$F,'01_異動主檔'!$B:$B,125,'01_異動主檔'!$D:$D,B112,'01_異動主檔'!$E:$E,"減列")</f>
        <v/>
      </c>
      <c r="I112" s="4">
        <f>-SUMIFS('01_異動主檔'!$F:$F,'01_異動主檔'!$B:$B,125,'01_異動主檔'!$D:$D,B112,'01_異動主檔'!$E:$E,"精簡")</f>
        <v/>
      </c>
      <c r="J112" s="10">
        <f>D112+E112+F112+G112+H112+I112</f>
        <v/>
      </c>
    </row>
    <row r="113" ht="18" customHeight="1">
      <c r="A113" s="4" t="inlineStr">
        <is>
          <t>A005</t>
        </is>
      </c>
      <c r="B113" s="3" t="inlineStr">
        <is>
          <t>資訊處</t>
        </is>
      </c>
      <c r="C113" s="4" t="n">
        <v>99</v>
      </c>
      <c r="D113" s="10">
        <f>'02_年初員額設定'!C9</f>
        <v/>
      </c>
      <c r="E113" s="4">
        <f>SUMIFS('01_異動主檔'!$F:$F,'01_異動主檔'!$B:$B,99,'01_異動主檔'!$D:$D,B113,'01_異動主檔'!$E:$E,"移入")</f>
        <v/>
      </c>
      <c r="F113" s="4">
        <f>-SUMIFS('01_異動主檔'!$F:$F,'01_異動主檔'!$B:$B,99,'01_異動主檔'!$D:$D,B113,'01_異動主檔'!$E:$E,"移出")</f>
        <v/>
      </c>
      <c r="G113" s="4">
        <f>SUMIFS('01_異動主檔'!$F:$F,'01_異動主檔'!$B:$B,99,'01_異動主檔'!$D:$D,B113,'01_異動主檔'!$E:$E,"新增")</f>
        <v/>
      </c>
      <c r="H113" s="4">
        <f>-SUMIFS('01_異動主檔'!$F:$F,'01_異動主檔'!$B:$B,99,'01_異動主檔'!$D:$D,B113,'01_異動主檔'!$E:$E,"減列")</f>
        <v/>
      </c>
      <c r="I113" s="4">
        <f>-SUMIFS('01_異動主檔'!$F:$F,'01_異動主檔'!$B:$B,99,'01_異動主檔'!$D:$D,B113,'01_異動主檔'!$E:$E,"精簡")</f>
        <v/>
      </c>
      <c r="J113" s="10">
        <f>D113+E113+F113+G113+H113+I113</f>
        <v/>
      </c>
    </row>
    <row r="114" ht="18" customHeight="1">
      <c r="A114" s="6" t="inlineStr">
        <is>
          <t>A005</t>
        </is>
      </c>
      <c r="B114" s="5" t="inlineStr">
        <is>
          <t>資訊處</t>
        </is>
      </c>
      <c r="C114" s="6" t="n">
        <v>100</v>
      </c>
      <c r="D114" s="10">
        <f>J113</f>
        <v/>
      </c>
      <c r="E114" s="4">
        <f>SUMIFS('01_異動主檔'!$F:$F,'01_異動主檔'!$B:$B,100,'01_異動主檔'!$D:$D,B114,'01_異動主檔'!$E:$E,"移入")</f>
        <v/>
      </c>
      <c r="F114" s="4">
        <f>-SUMIFS('01_異動主檔'!$F:$F,'01_異動主檔'!$B:$B,100,'01_異動主檔'!$D:$D,B114,'01_異動主檔'!$E:$E,"移出")</f>
        <v/>
      </c>
      <c r="G114" s="4">
        <f>SUMIFS('01_異動主檔'!$F:$F,'01_異動主檔'!$B:$B,100,'01_異動主檔'!$D:$D,B114,'01_異動主檔'!$E:$E,"新增")</f>
        <v/>
      </c>
      <c r="H114" s="4">
        <f>-SUMIFS('01_異動主檔'!$F:$F,'01_異動主檔'!$B:$B,100,'01_異動主檔'!$D:$D,B114,'01_異動主檔'!$E:$E,"減列")</f>
        <v/>
      </c>
      <c r="I114" s="4">
        <f>-SUMIFS('01_異動主檔'!$F:$F,'01_異動主檔'!$B:$B,100,'01_異動主檔'!$D:$D,B114,'01_異動主檔'!$E:$E,"精簡")</f>
        <v/>
      </c>
      <c r="J114" s="10">
        <f>D114+E114+F114+G114+H114+I114</f>
        <v/>
      </c>
    </row>
    <row r="115" ht="18" customHeight="1">
      <c r="A115" s="4" t="inlineStr">
        <is>
          <t>A005</t>
        </is>
      </c>
      <c r="B115" s="3" t="inlineStr">
        <is>
          <t>資訊處</t>
        </is>
      </c>
      <c r="C115" s="4" t="n">
        <v>101</v>
      </c>
      <c r="D115" s="10">
        <f>J114</f>
        <v/>
      </c>
      <c r="E115" s="4">
        <f>SUMIFS('01_異動主檔'!$F:$F,'01_異動主檔'!$B:$B,101,'01_異動主檔'!$D:$D,B115,'01_異動主檔'!$E:$E,"移入")</f>
        <v/>
      </c>
      <c r="F115" s="4">
        <f>-SUMIFS('01_異動主檔'!$F:$F,'01_異動主檔'!$B:$B,101,'01_異動主檔'!$D:$D,B115,'01_異動主檔'!$E:$E,"移出")</f>
        <v/>
      </c>
      <c r="G115" s="4">
        <f>SUMIFS('01_異動主檔'!$F:$F,'01_異動主檔'!$B:$B,101,'01_異動主檔'!$D:$D,B115,'01_異動主檔'!$E:$E,"新增")</f>
        <v/>
      </c>
      <c r="H115" s="4">
        <f>-SUMIFS('01_異動主檔'!$F:$F,'01_異動主檔'!$B:$B,101,'01_異動主檔'!$D:$D,B115,'01_異動主檔'!$E:$E,"減列")</f>
        <v/>
      </c>
      <c r="I115" s="4">
        <f>-SUMIFS('01_異動主檔'!$F:$F,'01_異動主檔'!$B:$B,101,'01_異動主檔'!$D:$D,B115,'01_異動主檔'!$E:$E,"精簡")</f>
        <v/>
      </c>
      <c r="J115" s="10">
        <f>D115+E115+F115+G115+H115+I115</f>
        <v/>
      </c>
    </row>
    <row r="116" ht="18" customHeight="1">
      <c r="A116" s="6" t="inlineStr">
        <is>
          <t>A005</t>
        </is>
      </c>
      <c r="B116" s="5" t="inlineStr">
        <is>
          <t>資訊處</t>
        </is>
      </c>
      <c r="C116" s="6" t="n">
        <v>102</v>
      </c>
      <c r="D116" s="10">
        <f>J115</f>
        <v/>
      </c>
      <c r="E116" s="4">
        <f>SUMIFS('01_異動主檔'!$F:$F,'01_異動主檔'!$B:$B,102,'01_異動主檔'!$D:$D,B116,'01_異動主檔'!$E:$E,"移入")</f>
        <v/>
      </c>
      <c r="F116" s="4">
        <f>-SUMIFS('01_異動主檔'!$F:$F,'01_異動主檔'!$B:$B,102,'01_異動主檔'!$D:$D,B116,'01_異動主檔'!$E:$E,"移出")</f>
        <v/>
      </c>
      <c r="G116" s="4">
        <f>SUMIFS('01_異動主檔'!$F:$F,'01_異動主檔'!$B:$B,102,'01_異動主檔'!$D:$D,B116,'01_異動主檔'!$E:$E,"新增")</f>
        <v/>
      </c>
      <c r="H116" s="4">
        <f>-SUMIFS('01_異動主檔'!$F:$F,'01_異動主檔'!$B:$B,102,'01_異動主檔'!$D:$D,B116,'01_異動主檔'!$E:$E,"減列")</f>
        <v/>
      </c>
      <c r="I116" s="4">
        <f>-SUMIFS('01_異動主檔'!$F:$F,'01_異動主檔'!$B:$B,102,'01_異動主檔'!$D:$D,B116,'01_異動主檔'!$E:$E,"精簡")</f>
        <v/>
      </c>
      <c r="J116" s="10">
        <f>D116+E116+F116+G116+H116+I116</f>
        <v/>
      </c>
    </row>
    <row r="117" ht="18" customHeight="1">
      <c r="A117" s="4" t="inlineStr">
        <is>
          <t>A005</t>
        </is>
      </c>
      <c r="B117" s="3" t="inlineStr">
        <is>
          <t>資訊處</t>
        </is>
      </c>
      <c r="C117" s="4" t="n">
        <v>103</v>
      </c>
      <c r="D117" s="10">
        <f>J116</f>
        <v/>
      </c>
      <c r="E117" s="4">
        <f>SUMIFS('01_異動主檔'!$F:$F,'01_異動主檔'!$B:$B,103,'01_異動主檔'!$D:$D,B117,'01_異動主檔'!$E:$E,"移入")</f>
        <v/>
      </c>
      <c r="F117" s="4">
        <f>-SUMIFS('01_異動主檔'!$F:$F,'01_異動主檔'!$B:$B,103,'01_異動主檔'!$D:$D,B117,'01_異動主檔'!$E:$E,"移出")</f>
        <v/>
      </c>
      <c r="G117" s="4">
        <f>SUMIFS('01_異動主檔'!$F:$F,'01_異動主檔'!$B:$B,103,'01_異動主檔'!$D:$D,B117,'01_異動主檔'!$E:$E,"新增")</f>
        <v/>
      </c>
      <c r="H117" s="4">
        <f>-SUMIFS('01_異動主檔'!$F:$F,'01_異動主檔'!$B:$B,103,'01_異動主檔'!$D:$D,B117,'01_異動主檔'!$E:$E,"減列")</f>
        <v/>
      </c>
      <c r="I117" s="4">
        <f>-SUMIFS('01_異動主檔'!$F:$F,'01_異動主檔'!$B:$B,103,'01_異動主檔'!$D:$D,B117,'01_異動主檔'!$E:$E,"精簡")</f>
        <v/>
      </c>
      <c r="J117" s="10">
        <f>D117+E117+F117+G117+H117+I117</f>
        <v/>
      </c>
    </row>
    <row r="118" ht="18" customHeight="1">
      <c r="A118" s="6" t="inlineStr">
        <is>
          <t>A005</t>
        </is>
      </c>
      <c r="B118" s="5" t="inlineStr">
        <is>
          <t>資訊處</t>
        </is>
      </c>
      <c r="C118" s="6" t="n">
        <v>104</v>
      </c>
      <c r="D118" s="10">
        <f>J117</f>
        <v/>
      </c>
      <c r="E118" s="4">
        <f>SUMIFS('01_異動主檔'!$F:$F,'01_異動主檔'!$B:$B,104,'01_異動主檔'!$D:$D,B118,'01_異動主檔'!$E:$E,"移入")</f>
        <v/>
      </c>
      <c r="F118" s="4">
        <f>-SUMIFS('01_異動主檔'!$F:$F,'01_異動主檔'!$B:$B,104,'01_異動主檔'!$D:$D,B118,'01_異動主檔'!$E:$E,"移出")</f>
        <v/>
      </c>
      <c r="G118" s="4">
        <f>SUMIFS('01_異動主檔'!$F:$F,'01_異動主檔'!$B:$B,104,'01_異動主檔'!$D:$D,B118,'01_異動主檔'!$E:$E,"新增")</f>
        <v/>
      </c>
      <c r="H118" s="4">
        <f>-SUMIFS('01_異動主檔'!$F:$F,'01_異動主檔'!$B:$B,104,'01_異動主檔'!$D:$D,B118,'01_異動主檔'!$E:$E,"減列")</f>
        <v/>
      </c>
      <c r="I118" s="4">
        <f>-SUMIFS('01_異動主檔'!$F:$F,'01_異動主檔'!$B:$B,104,'01_異動主檔'!$D:$D,B118,'01_異動主檔'!$E:$E,"精簡")</f>
        <v/>
      </c>
      <c r="J118" s="10">
        <f>D118+E118+F118+G118+H118+I118</f>
        <v/>
      </c>
    </row>
    <row r="119" ht="18" customHeight="1">
      <c r="A119" s="4" t="inlineStr">
        <is>
          <t>A005</t>
        </is>
      </c>
      <c r="B119" s="3" t="inlineStr">
        <is>
          <t>資訊處</t>
        </is>
      </c>
      <c r="C119" s="4" t="n">
        <v>105</v>
      </c>
      <c r="D119" s="10">
        <f>J118</f>
        <v/>
      </c>
      <c r="E119" s="4">
        <f>SUMIFS('01_異動主檔'!$F:$F,'01_異動主檔'!$B:$B,105,'01_異動主檔'!$D:$D,B119,'01_異動主檔'!$E:$E,"移入")</f>
        <v/>
      </c>
      <c r="F119" s="4">
        <f>-SUMIFS('01_異動主檔'!$F:$F,'01_異動主檔'!$B:$B,105,'01_異動主檔'!$D:$D,B119,'01_異動主檔'!$E:$E,"移出")</f>
        <v/>
      </c>
      <c r="G119" s="4">
        <f>SUMIFS('01_異動主檔'!$F:$F,'01_異動主檔'!$B:$B,105,'01_異動主檔'!$D:$D,B119,'01_異動主檔'!$E:$E,"新增")</f>
        <v/>
      </c>
      <c r="H119" s="4">
        <f>-SUMIFS('01_異動主檔'!$F:$F,'01_異動主檔'!$B:$B,105,'01_異動主檔'!$D:$D,B119,'01_異動主檔'!$E:$E,"減列")</f>
        <v/>
      </c>
      <c r="I119" s="4">
        <f>-SUMIFS('01_異動主檔'!$F:$F,'01_異動主檔'!$B:$B,105,'01_異動主檔'!$D:$D,B119,'01_異動主檔'!$E:$E,"精簡")</f>
        <v/>
      </c>
      <c r="J119" s="10">
        <f>D119+E119+F119+G119+H119+I119</f>
        <v/>
      </c>
    </row>
    <row r="120" ht="18" customHeight="1">
      <c r="A120" s="6" t="inlineStr">
        <is>
          <t>A005</t>
        </is>
      </c>
      <c r="B120" s="5" t="inlineStr">
        <is>
          <t>資訊處</t>
        </is>
      </c>
      <c r="C120" s="6" t="n">
        <v>106</v>
      </c>
      <c r="D120" s="10">
        <f>J119</f>
        <v/>
      </c>
      <c r="E120" s="4">
        <f>SUMIFS('01_異動主檔'!$F:$F,'01_異動主檔'!$B:$B,106,'01_異動主檔'!$D:$D,B120,'01_異動主檔'!$E:$E,"移入")</f>
        <v/>
      </c>
      <c r="F120" s="4">
        <f>-SUMIFS('01_異動主檔'!$F:$F,'01_異動主檔'!$B:$B,106,'01_異動主檔'!$D:$D,B120,'01_異動主檔'!$E:$E,"移出")</f>
        <v/>
      </c>
      <c r="G120" s="4">
        <f>SUMIFS('01_異動主檔'!$F:$F,'01_異動主檔'!$B:$B,106,'01_異動主檔'!$D:$D,B120,'01_異動主檔'!$E:$E,"新增")</f>
        <v/>
      </c>
      <c r="H120" s="4">
        <f>-SUMIFS('01_異動主檔'!$F:$F,'01_異動主檔'!$B:$B,106,'01_異動主檔'!$D:$D,B120,'01_異動主檔'!$E:$E,"減列")</f>
        <v/>
      </c>
      <c r="I120" s="4">
        <f>-SUMIFS('01_異動主檔'!$F:$F,'01_異動主檔'!$B:$B,106,'01_異動主檔'!$D:$D,B120,'01_異動主檔'!$E:$E,"精簡")</f>
        <v/>
      </c>
      <c r="J120" s="10">
        <f>D120+E120+F120+G120+H120+I120</f>
        <v/>
      </c>
    </row>
    <row r="121" ht="18" customHeight="1">
      <c r="A121" s="4" t="inlineStr">
        <is>
          <t>A005</t>
        </is>
      </c>
      <c r="B121" s="3" t="inlineStr">
        <is>
          <t>資訊處</t>
        </is>
      </c>
      <c r="C121" s="4" t="n">
        <v>107</v>
      </c>
      <c r="D121" s="10">
        <f>J120</f>
        <v/>
      </c>
      <c r="E121" s="4">
        <f>SUMIFS('01_異動主檔'!$F:$F,'01_異動主檔'!$B:$B,107,'01_異動主檔'!$D:$D,B121,'01_異動主檔'!$E:$E,"移入")</f>
        <v/>
      </c>
      <c r="F121" s="4">
        <f>-SUMIFS('01_異動主檔'!$F:$F,'01_異動主檔'!$B:$B,107,'01_異動主檔'!$D:$D,B121,'01_異動主檔'!$E:$E,"移出")</f>
        <v/>
      </c>
      <c r="G121" s="4">
        <f>SUMIFS('01_異動主檔'!$F:$F,'01_異動主檔'!$B:$B,107,'01_異動主檔'!$D:$D,B121,'01_異動主檔'!$E:$E,"新增")</f>
        <v/>
      </c>
      <c r="H121" s="4">
        <f>-SUMIFS('01_異動主檔'!$F:$F,'01_異動主檔'!$B:$B,107,'01_異動主檔'!$D:$D,B121,'01_異動主檔'!$E:$E,"減列")</f>
        <v/>
      </c>
      <c r="I121" s="4">
        <f>-SUMIFS('01_異動主檔'!$F:$F,'01_異動主檔'!$B:$B,107,'01_異動主檔'!$D:$D,B121,'01_異動主檔'!$E:$E,"精簡")</f>
        <v/>
      </c>
      <c r="J121" s="10">
        <f>D121+E121+F121+G121+H121+I121</f>
        <v/>
      </c>
    </row>
    <row r="122" ht="18" customHeight="1">
      <c r="A122" s="6" t="inlineStr">
        <is>
          <t>A005</t>
        </is>
      </c>
      <c r="B122" s="5" t="inlineStr">
        <is>
          <t>資訊處</t>
        </is>
      </c>
      <c r="C122" s="6" t="n">
        <v>108</v>
      </c>
      <c r="D122" s="10">
        <f>J121</f>
        <v/>
      </c>
      <c r="E122" s="4">
        <f>SUMIFS('01_異動主檔'!$F:$F,'01_異動主檔'!$B:$B,108,'01_異動主檔'!$D:$D,B122,'01_異動主檔'!$E:$E,"移入")</f>
        <v/>
      </c>
      <c r="F122" s="4">
        <f>-SUMIFS('01_異動主檔'!$F:$F,'01_異動主檔'!$B:$B,108,'01_異動主檔'!$D:$D,B122,'01_異動主檔'!$E:$E,"移出")</f>
        <v/>
      </c>
      <c r="G122" s="4">
        <f>SUMIFS('01_異動主檔'!$F:$F,'01_異動主檔'!$B:$B,108,'01_異動主檔'!$D:$D,B122,'01_異動主檔'!$E:$E,"新增")</f>
        <v/>
      </c>
      <c r="H122" s="4">
        <f>-SUMIFS('01_異動主檔'!$F:$F,'01_異動主檔'!$B:$B,108,'01_異動主檔'!$D:$D,B122,'01_異動主檔'!$E:$E,"減列")</f>
        <v/>
      </c>
      <c r="I122" s="4">
        <f>-SUMIFS('01_異動主檔'!$F:$F,'01_異動主檔'!$B:$B,108,'01_異動主檔'!$D:$D,B122,'01_異動主檔'!$E:$E,"精簡")</f>
        <v/>
      </c>
      <c r="J122" s="10">
        <f>D122+E122+F122+G122+H122+I122</f>
        <v/>
      </c>
    </row>
    <row r="123" ht="18" customHeight="1">
      <c r="A123" s="4" t="inlineStr">
        <is>
          <t>A005</t>
        </is>
      </c>
      <c r="B123" s="3" t="inlineStr">
        <is>
          <t>資訊處</t>
        </is>
      </c>
      <c r="C123" s="4" t="n">
        <v>109</v>
      </c>
      <c r="D123" s="10">
        <f>J122</f>
        <v/>
      </c>
      <c r="E123" s="4">
        <f>SUMIFS('01_異動主檔'!$F:$F,'01_異動主檔'!$B:$B,109,'01_異動主檔'!$D:$D,B123,'01_異動主檔'!$E:$E,"移入")</f>
        <v/>
      </c>
      <c r="F123" s="4">
        <f>-SUMIFS('01_異動主檔'!$F:$F,'01_異動主檔'!$B:$B,109,'01_異動主檔'!$D:$D,B123,'01_異動主檔'!$E:$E,"移出")</f>
        <v/>
      </c>
      <c r="G123" s="4">
        <f>SUMIFS('01_異動主檔'!$F:$F,'01_異動主檔'!$B:$B,109,'01_異動主檔'!$D:$D,B123,'01_異動主檔'!$E:$E,"新增")</f>
        <v/>
      </c>
      <c r="H123" s="4">
        <f>-SUMIFS('01_異動主檔'!$F:$F,'01_異動主檔'!$B:$B,109,'01_異動主檔'!$D:$D,B123,'01_異動主檔'!$E:$E,"減列")</f>
        <v/>
      </c>
      <c r="I123" s="4">
        <f>-SUMIFS('01_異動主檔'!$F:$F,'01_異動主檔'!$B:$B,109,'01_異動主檔'!$D:$D,B123,'01_異動主檔'!$E:$E,"精簡")</f>
        <v/>
      </c>
      <c r="J123" s="10">
        <f>D123+E123+F123+G123+H123+I123</f>
        <v/>
      </c>
    </row>
    <row r="124" ht="18" customHeight="1">
      <c r="A124" s="6" t="inlineStr">
        <is>
          <t>A005</t>
        </is>
      </c>
      <c r="B124" s="5" t="inlineStr">
        <is>
          <t>資訊處</t>
        </is>
      </c>
      <c r="C124" s="6" t="n">
        <v>110</v>
      </c>
      <c r="D124" s="10">
        <f>J123</f>
        <v/>
      </c>
      <c r="E124" s="4">
        <f>SUMIFS('01_異動主檔'!$F:$F,'01_異動主檔'!$B:$B,110,'01_異動主檔'!$D:$D,B124,'01_異動主檔'!$E:$E,"移入")</f>
        <v/>
      </c>
      <c r="F124" s="4">
        <f>-SUMIFS('01_異動主檔'!$F:$F,'01_異動主檔'!$B:$B,110,'01_異動主檔'!$D:$D,B124,'01_異動主檔'!$E:$E,"移出")</f>
        <v/>
      </c>
      <c r="G124" s="4">
        <f>SUMIFS('01_異動主檔'!$F:$F,'01_異動主檔'!$B:$B,110,'01_異動主檔'!$D:$D,B124,'01_異動主檔'!$E:$E,"新增")</f>
        <v/>
      </c>
      <c r="H124" s="4">
        <f>-SUMIFS('01_異動主檔'!$F:$F,'01_異動主檔'!$B:$B,110,'01_異動主檔'!$D:$D,B124,'01_異動主檔'!$E:$E,"減列")</f>
        <v/>
      </c>
      <c r="I124" s="4">
        <f>-SUMIFS('01_異動主檔'!$F:$F,'01_異動主檔'!$B:$B,110,'01_異動主檔'!$D:$D,B124,'01_異動主檔'!$E:$E,"精簡")</f>
        <v/>
      </c>
      <c r="J124" s="10">
        <f>D124+E124+F124+G124+H124+I124</f>
        <v/>
      </c>
    </row>
    <row r="125" ht="18" customHeight="1">
      <c r="A125" s="4" t="inlineStr">
        <is>
          <t>A005</t>
        </is>
      </c>
      <c r="B125" s="3" t="inlineStr">
        <is>
          <t>資訊處</t>
        </is>
      </c>
      <c r="C125" s="4" t="n">
        <v>111</v>
      </c>
      <c r="D125" s="10">
        <f>J124</f>
        <v/>
      </c>
      <c r="E125" s="4">
        <f>SUMIFS('01_異動主檔'!$F:$F,'01_異動主檔'!$B:$B,111,'01_異動主檔'!$D:$D,B125,'01_異動主檔'!$E:$E,"移入")</f>
        <v/>
      </c>
      <c r="F125" s="4">
        <f>-SUMIFS('01_異動主檔'!$F:$F,'01_異動主檔'!$B:$B,111,'01_異動主檔'!$D:$D,B125,'01_異動主檔'!$E:$E,"移出")</f>
        <v/>
      </c>
      <c r="G125" s="4">
        <f>SUMIFS('01_異動主檔'!$F:$F,'01_異動主檔'!$B:$B,111,'01_異動主檔'!$D:$D,B125,'01_異動主檔'!$E:$E,"新增")</f>
        <v/>
      </c>
      <c r="H125" s="4">
        <f>-SUMIFS('01_異動主檔'!$F:$F,'01_異動主檔'!$B:$B,111,'01_異動主檔'!$D:$D,B125,'01_異動主檔'!$E:$E,"減列")</f>
        <v/>
      </c>
      <c r="I125" s="4">
        <f>-SUMIFS('01_異動主檔'!$F:$F,'01_異動主檔'!$B:$B,111,'01_異動主檔'!$D:$D,B125,'01_異動主檔'!$E:$E,"精簡")</f>
        <v/>
      </c>
      <c r="J125" s="10">
        <f>D125+E125+F125+G125+H125+I125</f>
        <v/>
      </c>
    </row>
    <row r="126" ht="18" customHeight="1">
      <c r="A126" s="6" t="inlineStr">
        <is>
          <t>A005</t>
        </is>
      </c>
      <c r="B126" s="5" t="inlineStr">
        <is>
          <t>資訊處</t>
        </is>
      </c>
      <c r="C126" s="6" t="n">
        <v>112</v>
      </c>
      <c r="D126" s="10">
        <f>J125</f>
        <v/>
      </c>
      <c r="E126" s="4">
        <f>SUMIFS('01_異動主檔'!$F:$F,'01_異動主檔'!$B:$B,112,'01_異動主檔'!$D:$D,B126,'01_異動主檔'!$E:$E,"移入")</f>
        <v/>
      </c>
      <c r="F126" s="4">
        <f>-SUMIFS('01_異動主檔'!$F:$F,'01_異動主檔'!$B:$B,112,'01_異動主檔'!$D:$D,B126,'01_異動主檔'!$E:$E,"移出")</f>
        <v/>
      </c>
      <c r="G126" s="4">
        <f>SUMIFS('01_異動主檔'!$F:$F,'01_異動主檔'!$B:$B,112,'01_異動主檔'!$D:$D,B126,'01_異動主檔'!$E:$E,"新增")</f>
        <v/>
      </c>
      <c r="H126" s="4">
        <f>-SUMIFS('01_異動主檔'!$F:$F,'01_異動主檔'!$B:$B,112,'01_異動主檔'!$D:$D,B126,'01_異動主檔'!$E:$E,"減列")</f>
        <v/>
      </c>
      <c r="I126" s="4">
        <f>-SUMIFS('01_異動主檔'!$F:$F,'01_異動主檔'!$B:$B,112,'01_異動主檔'!$D:$D,B126,'01_異動主檔'!$E:$E,"精簡")</f>
        <v/>
      </c>
      <c r="J126" s="10">
        <f>D126+E126+F126+G126+H126+I126</f>
        <v/>
      </c>
    </row>
    <row r="127" ht="18" customHeight="1">
      <c r="A127" s="4" t="inlineStr">
        <is>
          <t>A005</t>
        </is>
      </c>
      <c r="B127" s="3" t="inlineStr">
        <is>
          <t>資訊處</t>
        </is>
      </c>
      <c r="C127" s="4" t="n">
        <v>113</v>
      </c>
      <c r="D127" s="10">
        <f>J126</f>
        <v/>
      </c>
      <c r="E127" s="4">
        <f>SUMIFS('01_異動主檔'!$F:$F,'01_異動主檔'!$B:$B,113,'01_異動主檔'!$D:$D,B127,'01_異動主檔'!$E:$E,"移入")</f>
        <v/>
      </c>
      <c r="F127" s="4">
        <f>-SUMIFS('01_異動主檔'!$F:$F,'01_異動主檔'!$B:$B,113,'01_異動主檔'!$D:$D,B127,'01_異動主檔'!$E:$E,"移出")</f>
        <v/>
      </c>
      <c r="G127" s="4">
        <f>SUMIFS('01_異動主檔'!$F:$F,'01_異動主檔'!$B:$B,113,'01_異動主檔'!$D:$D,B127,'01_異動主檔'!$E:$E,"新增")</f>
        <v/>
      </c>
      <c r="H127" s="4">
        <f>-SUMIFS('01_異動主檔'!$F:$F,'01_異動主檔'!$B:$B,113,'01_異動主檔'!$D:$D,B127,'01_異動主檔'!$E:$E,"減列")</f>
        <v/>
      </c>
      <c r="I127" s="4">
        <f>-SUMIFS('01_異動主檔'!$F:$F,'01_異動主檔'!$B:$B,113,'01_異動主檔'!$D:$D,B127,'01_異動主檔'!$E:$E,"精簡")</f>
        <v/>
      </c>
      <c r="J127" s="10">
        <f>D127+E127+F127+G127+H127+I127</f>
        <v/>
      </c>
    </row>
    <row r="128" ht="18" customHeight="1">
      <c r="A128" s="6" t="inlineStr">
        <is>
          <t>A005</t>
        </is>
      </c>
      <c r="B128" s="5" t="inlineStr">
        <is>
          <t>資訊處</t>
        </is>
      </c>
      <c r="C128" s="6" t="n">
        <v>114</v>
      </c>
      <c r="D128" s="10">
        <f>J127</f>
        <v/>
      </c>
      <c r="E128" s="4">
        <f>SUMIFS('01_異動主檔'!$F:$F,'01_異動主檔'!$B:$B,114,'01_異動主檔'!$D:$D,B128,'01_異動主檔'!$E:$E,"移入")</f>
        <v/>
      </c>
      <c r="F128" s="4">
        <f>-SUMIFS('01_異動主檔'!$F:$F,'01_異動主檔'!$B:$B,114,'01_異動主檔'!$D:$D,B128,'01_異動主檔'!$E:$E,"移出")</f>
        <v/>
      </c>
      <c r="G128" s="4">
        <f>SUMIFS('01_異動主檔'!$F:$F,'01_異動主檔'!$B:$B,114,'01_異動主檔'!$D:$D,B128,'01_異動主檔'!$E:$E,"新增")</f>
        <v/>
      </c>
      <c r="H128" s="4">
        <f>-SUMIFS('01_異動主檔'!$F:$F,'01_異動主檔'!$B:$B,114,'01_異動主檔'!$D:$D,B128,'01_異動主檔'!$E:$E,"減列")</f>
        <v/>
      </c>
      <c r="I128" s="4">
        <f>-SUMIFS('01_異動主檔'!$F:$F,'01_異動主檔'!$B:$B,114,'01_異動主檔'!$D:$D,B128,'01_異動主檔'!$E:$E,"精簡")</f>
        <v/>
      </c>
      <c r="J128" s="10">
        <f>D128+E128+F128+G128+H128+I128</f>
        <v/>
      </c>
    </row>
    <row r="129" ht="18" customHeight="1">
      <c r="A129" s="4" t="inlineStr">
        <is>
          <t>A005</t>
        </is>
      </c>
      <c r="B129" s="3" t="inlineStr">
        <is>
          <t>資訊處</t>
        </is>
      </c>
      <c r="C129" s="4" t="n">
        <v>115</v>
      </c>
      <c r="D129" s="10">
        <f>J128</f>
        <v/>
      </c>
      <c r="E129" s="4">
        <f>SUMIFS('01_異動主檔'!$F:$F,'01_異動主檔'!$B:$B,115,'01_異動主檔'!$D:$D,B129,'01_異動主檔'!$E:$E,"移入")</f>
        <v/>
      </c>
      <c r="F129" s="4">
        <f>-SUMIFS('01_異動主檔'!$F:$F,'01_異動主檔'!$B:$B,115,'01_異動主檔'!$D:$D,B129,'01_異動主檔'!$E:$E,"移出")</f>
        <v/>
      </c>
      <c r="G129" s="4">
        <f>SUMIFS('01_異動主檔'!$F:$F,'01_異動主檔'!$B:$B,115,'01_異動主檔'!$D:$D,B129,'01_異動主檔'!$E:$E,"新增")</f>
        <v/>
      </c>
      <c r="H129" s="4">
        <f>-SUMIFS('01_異動主檔'!$F:$F,'01_異動主檔'!$B:$B,115,'01_異動主檔'!$D:$D,B129,'01_異動主檔'!$E:$E,"減列")</f>
        <v/>
      </c>
      <c r="I129" s="4">
        <f>-SUMIFS('01_異動主檔'!$F:$F,'01_異動主檔'!$B:$B,115,'01_異動主檔'!$D:$D,B129,'01_異動主檔'!$E:$E,"精簡")</f>
        <v/>
      </c>
      <c r="J129" s="10">
        <f>D129+E129+F129+G129+H129+I129</f>
        <v/>
      </c>
    </row>
    <row r="130" ht="18" customHeight="1">
      <c r="A130" s="6" t="inlineStr">
        <is>
          <t>A005</t>
        </is>
      </c>
      <c r="B130" s="5" t="inlineStr">
        <is>
          <t>資訊處</t>
        </is>
      </c>
      <c r="C130" s="6" t="n">
        <v>116</v>
      </c>
      <c r="D130" s="10">
        <f>J129</f>
        <v/>
      </c>
      <c r="E130" s="4">
        <f>SUMIFS('01_異動主檔'!$F:$F,'01_異動主檔'!$B:$B,116,'01_異動主檔'!$D:$D,B130,'01_異動主檔'!$E:$E,"移入")</f>
        <v/>
      </c>
      <c r="F130" s="4">
        <f>-SUMIFS('01_異動主檔'!$F:$F,'01_異動主檔'!$B:$B,116,'01_異動主檔'!$D:$D,B130,'01_異動主檔'!$E:$E,"移出")</f>
        <v/>
      </c>
      <c r="G130" s="4">
        <f>SUMIFS('01_異動主檔'!$F:$F,'01_異動主檔'!$B:$B,116,'01_異動主檔'!$D:$D,B130,'01_異動主檔'!$E:$E,"新增")</f>
        <v/>
      </c>
      <c r="H130" s="4">
        <f>-SUMIFS('01_異動主檔'!$F:$F,'01_異動主檔'!$B:$B,116,'01_異動主檔'!$D:$D,B130,'01_異動主檔'!$E:$E,"減列")</f>
        <v/>
      </c>
      <c r="I130" s="4">
        <f>-SUMIFS('01_異動主檔'!$F:$F,'01_異動主檔'!$B:$B,116,'01_異動主檔'!$D:$D,B130,'01_異動主檔'!$E:$E,"精簡")</f>
        <v/>
      </c>
      <c r="J130" s="10">
        <f>D130+E130+F130+G130+H130+I130</f>
        <v/>
      </c>
    </row>
    <row r="131" ht="18" customHeight="1">
      <c r="A131" s="4" t="inlineStr">
        <is>
          <t>A005</t>
        </is>
      </c>
      <c r="B131" s="3" t="inlineStr">
        <is>
          <t>資訊處</t>
        </is>
      </c>
      <c r="C131" s="4" t="n">
        <v>117</v>
      </c>
      <c r="D131" s="10">
        <f>J130</f>
        <v/>
      </c>
      <c r="E131" s="4">
        <f>SUMIFS('01_異動主檔'!$F:$F,'01_異動主檔'!$B:$B,117,'01_異動主檔'!$D:$D,B131,'01_異動主檔'!$E:$E,"移入")</f>
        <v/>
      </c>
      <c r="F131" s="4">
        <f>-SUMIFS('01_異動主檔'!$F:$F,'01_異動主檔'!$B:$B,117,'01_異動主檔'!$D:$D,B131,'01_異動主檔'!$E:$E,"移出")</f>
        <v/>
      </c>
      <c r="G131" s="4">
        <f>SUMIFS('01_異動主檔'!$F:$F,'01_異動主檔'!$B:$B,117,'01_異動主檔'!$D:$D,B131,'01_異動主檔'!$E:$E,"新增")</f>
        <v/>
      </c>
      <c r="H131" s="4">
        <f>-SUMIFS('01_異動主檔'!$F:$F,'01_異動主檔'!$B:$B,117,'01_異動主檔'!$D:$D,B131,'01_異動主檔'!$E:$E,"減列")</f>
        <v/>
      </c>
      <c r="I131" s="4">
        <f>-SUMIFS('01_異動主檔'!$F:$F,'01_異動主檔'!$B:$B,117,'01_異動主檔'!$D:$D,B131,'01_異動主檔'!$E:$E,"精簡")</f>
        <v/>
      </c>
      <c r="J131" s="10">
        <f>D131+E131+F131+G131+H131+I131</f>
        <v/>
      </c>
    </row>
    <row r="132" ht="18" customHeight="1">
      <c r="A132" s="6" t="inlineStr">
        <is>
          <t>A005</t>
        </is>
      </c>
      <c r="B132" s="5" t="inlineStr">
        <is>
          <t>資訊處</t>
        </is>
      </c>
      <c r="C132" s="6" t="n">
        <v>118</v>
      </c>
      <c r="D132" s="10">
        <f>J131</f>
        <v/>
      </c>
      <c r="E132" s="4">
        <f>SUMIFS('01_異動主檔'!$F:$F,'01_異動主檔'!$B:$B,118,'01_異動主檔'!$D:$D,B132,'01_異動主檔'!$E:$E,"移入")</f>
        <v/>
      </c>
      <c r="F132" s="4">
        <f>-SUMIFS('01_異動主檔'!$F:$F,'01_異動主檔'!$B:$B,118,'01_異動主檔'!$D:$D,B132,'01_異動主檔'!$E:$E,"移出")</f>
        <v/>
      </c>
      <c r="G132" s="4">
        <f>SUMIFS('01_異動主檔'!$F:$F,'01_異動主檔'!$B:$B,118,'01_異動主檔'!$D:$D,B132,'01_異動主檔'!$E:$E,"新增")</f>
        <v/>
      </c>
      <c r="H132" s="4">
        <f>-SUMIFS('01_異動主檔'!$F:$F,'01_異動主檔'!$B:$B,118,'01_異動主檔'!$D:$D,B132,'01_異動主檔'!$E:$E,"減列")</f>
        <v/>
      </c>
      <c r="I132" s="4">
        <f>-SUMIFS('01_異動主檔'!$F:$F,'01_異動主檔'!$B:$B,118,'01_異動主檔'!$D:$D,B132,'01_異動主檔'!$E:$E,"精簡")</f>
        <v/>
      </c>
      <c r="J132" s="10">
        <f>D132+E132+F132+G132+H132+I132</f>
        <v/>
      </c>
    </row>
    <row r="133" ht="18" customHeight="1">
      <c r="A133" s="4" t="inlineStr">
        <is>
          <t>A005</t>
        </is>
      </c>
      <c r="B133" s="3" t="inlineStr">
        <is>
          <t>資訊處</t>
        </is>
      </c>
      <c r="C133" s="4" t="n">
        <v>119</v>
      </c>
      <c r="D133" s="10">
        <f>J132</f>
        <v/>
      </c>
      <c r="E133" s="4">
        <f>SUMIFS('01_異動主檔'!$F:$F,'01_異動主檔'!$B:$B,119,'01_異動主檔'!$D:$D,B133,'01_異動主檔'!$E:$E,"移入")</f>
        <v/>
      </c>
      <c r="F133" s="4">
        <f>-SUMIFS('01_異動主檔'!$F:$F,'01_異動主檔'!$B:$B,119,'01_異動主檔'!$D:$D,B133,'01_異動主檔'!$E:$E,"移出")</f>
        <v/>
      </c>
      <c r="G133" s="4">
        <f>SUMIFS('01_異動主檔'!$F:$F,'01_異動主檔'!$B:$B,119,'01_異動主檔'!$D:$D,B133,'01_異動主檔'!$E:$E,"新增")</f>
        <v/>
      </c>
      <c r="H133" s="4">
        <f>-SUMIFS('01_異動主檔'!$F:$F,'01_異動主檔'!$B:$B,119,'01_異動主檔'!$D:$D,B133,'01_異動主檔'!$E:$E,"減列")</f>
        <v/>
      </c>
      <c r="I133" s="4">
        <f>-SUMIFS('01_異動主檔'!$F:$F,'01_異動主檔'!$B:$B,119,'01_異動主檔'!$D:$D,B133,'01_異動主檔'!$E:$E,"精簡")</f>
        <v/>
      </c>
      <c r="J133" s="10">
        <f>D133+E133+F133+G133+H133+I133</f>
        <v/>
      </c>
    </row>
    <row r="134" ht="18" customHeight="1">
      <c r="A134" s="6" t="inlineStr">
        <is>
          <t>A005</t>
        </is>
      </c>
      <c r="B134" s="5" t="inlineStr">
        <is>
          <t>資訊處</t>
        </is>
      </c>
      <c r="C134" s="6" t="n">
        <v>120</v>
      </c>
      <c r="D134" s="10">
        <f>J133</f>
        <v/>
      </c>
      <c r="E134" s="4">
        <f>SUMIFS('01_異動主檔'!$F:$F,'01_異動主檔'!$B:$B,120,'01_異動主檔'!$D:$D,B134,'01_異動主檔'!$E:$E,"移入")</f>
        <v/>
      </c>
      <c r="F134" s="4">
        <f>-SUMIFS('01_異動主檔'!$F:$F,'01_異動主檔'!$B:$B,120,'01_異動主檔'!$D:$D,B134,'01_異動主檔'!$E:$E,"移出")</f>
        <v/>
      </c>
      <c r="G134" s="4">
        <f>SUMIFS('01_異動主檔'!$F:$F,'01_異動主檔'!$B:$B,120,'01_異動主檔'!$D:$D,B134,'01_異動主檔'!$E:$E,"新增")</f>
        <v/>
      </c>
      <c r="H134" s="4">
        <f>-SUMIFS('01_異動主檔'!$F:$F,'01_異動主檔'!$B:$B,120,'01_異動主檔'!$D:$D,B134,'01_異動主檔'!$E:$E,"減列")</f>
        <v/>
      </c>
      <c r="I134" s="4">
        <f>-SUMIFS('01_異動主檔'!$F:$F,'01_異動主檔'!$B:$B,120,'01_異動主檔'!$D:$D,B134,'01_異動主檔'!$E:$E,"精簡")</f>
        <v/>
      </c>
      <c r="J134" s="10">
        <f>D134+E134+F134+G134+H134+I134</f>
        <v/>
      </c>
    </row>
    <row r="135" ht="18" customHeight="1">
      <c r="A135" s="4" t="inlineStr">
        <is>
          <t>A005</t>
        </is>
      </c>
      <c r="B135" s="3" t="inlineStr">
        <is>
          <t>資訊處</t>
        </is>
      </c>
      <c r="C135" s="4" t="n">
        <v>121</v>
      </c>
      <c r="D135" s="10">
        <f>J134</f>
        <v/>
      </c>
      <c r="E135" s="4">
        <f>SUMIFS('01_異動主檔'!$F:$F,'01_異動主檔'!$B:$B,121,'01_異動主檔'!$D:$D,B135,'01_異動主檔'!$E:$E,"移入")</f>
        <v/>
      </c>
      <c r="F135" s="4">
        <f>-SUMIFS('01_異動主檔'!$F:$F,'01_異動主檔'!$B:$B,121,'01_異動主檔'!$D:$D,B135,'01_異動主檔'!$E:$E,"移出")</f>
        <v/>
      </c>
      <c r="G135" s="4">
        <f>SUMIFS('01_異動主檔'!$F:$F,'01_異動主檔'!$B:$B,121,'01_異動主檔'!$D:$D,B135,'01_異動主檔'!$E:$E,"新增")</f>
        <v/>
      </c>
      <c r="H135" s="4">
        <f>-SUMIFS('01_異動主檔'!$F:$F,'01_異動主檔'!$B:$B,121,'01_異動主檔'!$D:$D,B135,'01_異動主檔'!$E:$E,"減列")</f>
        <v/>
      </c>
      <c r="I135" s="4">
        <f>-SUMIFS('01_異動主檔'!$F:$F,'01_異動主檔'!$B:$B,121,'01_異動主檔'!$D:$D,B135,'01_異動主檔'!$E:$E,"精簡")</f>
        <v/>
      </c>
      <c r="J135" s="10">
        <f>D135+E135+F135+G135+H135+I135</f>
        <v/>
      </c>
    </row>
    <row r="136" ht="18" customHeight="1">
      <c r="A136" s="6" t="inlineStr">
        <is>
          <t>A005</t>
        </is>
      </c>
      <c r="B136" s="5" t="inlineStr">
        <is>
          <t>資訊處</t>
        </is>
      </c>
      <c r="C136" s="6" t="n">
        <v>122</v>
      </c>
      <c r="D136" s="10">
        <f>J135</f>
        <v/>
      </c>
      <c r="E136" s="4">
        <f>SUMIFS('01_異動主檔'!$F:$F,'01_異動主檔'!$B:$B,122,'01_異動主檔'!$D:$D,B136,'01_異動主檔'!$E:$E,"移入")</f>
        <v/>
      </c>
      <c r="F136" s="4">
        <f>-SUMIFS('01_異動主檔'!$F:$F,'01_異動主檔'!$B:$B,122,'01_異動主檔'!$D:$D,B136,'01_異動主檔'!$E:$E,"移出")</f>
        <v/>
      </c>
      <c r="G136" s="4">
        <f>SUMIFS('01_異動主檔'!$F:$F,'01_異動主檔'!$B:$B,122,'01_異動主檔'!$D:$D,B136,'01_異動主檔'!$E:$E,"新增")</f>
        <v/>
      </c>
      <c r="H136" s="4">
        <f>-SUMIFS('01_異動主檔'!$F:$F,'01_異動主檔'!$B:$B,122,'01_異動主檔'!$D:$D,B136,'01_異動主檔'!$E:$E,"減列")</f>
        <v/>
      </c>
      <c r="I136" s="4">
        <f>-SUMIFS('01_異動主檔'!$F:$F,'01_異動主檔'!$B:$B,122,'01_異動主檔'!$D:$D,B136,'01_異動主檔'!$E:$E,"精簡")</f>
        <v/>
      </c>
      <c r="J136" s="10">
        <f>D136+E136+F136+G136+H136+I136</f>
        <v/>
      </c>
    </row>
    <row r="137" ht="18" customHeight="1">
      <c r="A137" s="4" t="inlineStr">
        <is>
          <t>A005</t>
        </is>
      </c>
      <c r="B137" s="3" t="inlineStr">
        <is>
          <t>資訊處</t>
        </is>
      </c>
      <c r="C137" s="4" t="n">
        <v>123</v>
      </c>
      <c r="D137" s="10">
        <f>J136</f>
        <v/>
      </c>
      <c r="E137" s="4">
        <f>SUMIFS('01_異動主檔'!$F:$F,'01_異動主檔'!$B:$B,123,'01_異動主檔'!$D:$D,B137,'01_異動主檔'!$E:$E,"移入")</f>
        <v/>
      </c>
      <c r="F137" s="4">
        <f>-SUMIFS('01_異動主檔'!$F:$F,'01_異動主檔'!$B:$B,123,'01_異動主檔'!$D:$D,B137,'01_異動主檔'!$E:$E,"移出")</f>
        <v/>
      </c>
      <c r="G137" s="4">
        <f>SUMIFS('01_異動主檔'!$F:$F,'01_異動主檔'!$B:$B,123,'01_異動主檔'!$D:$D,B137,'01_異動主檔'!$E:$E,"新增")</f>
        <v/>
      </c>
      <c r="H137" s="4">
        <f>-SUMIFS('01_異動主檔'!$F:$F,'01_異動主檔'!$B:$B,123,'01_異動主檔'!$D:$D,B137,'01_異動主檔'!$E:$E,"減列")</f>
        <v/>
      </c>
      <c r="I137" s="4">
        <f>-SUMIFS('01_異動主檔'!$F:$F,'01_異動主檔'!$B:$B,123,'01_異動主檔'!$D:$D,B137,'01_異動主檔'!$E:$E,"精簡")</f>
        <v/>
      </c>
      <c r="J137" s="10">
        <f>D137+E137+F137+G137+H137+I137</f>
        <v/>
      </c>
    </row>
    <row r="138" ht="18" customHeight="1">
      <c r="A138" s="6" t="inlineStr">
        <is>
          <t>A005</t>
        </is>
      </c>
      <c r="B138" s="5" t="inlineStr">
        <is>
          <t>資訊處</t>
        </is>
      </c>
      <c r="C138" s="6" t="n">
        <v>124</v>
      </c>
      <c r="D138" s="10">
        <f>J137</f>
        <v/>
      </c>
      <c r="E138" s="4">
        <f>SUMIFS('01_異動主檔'!$F:$F,'01_異動主檔'!$B:$B,124,'01_異動主檔'!$D:$D,B138,'01_異動主檔'!$E:$E,"移入")</f>
        <v/>
      </c>
      <c r="F138" s="4">
        <f>-SUMIFS('01_異動主檔'!$F:$F,'01_異動主檔'!$B:$B,124,'01_異動主檔'!$D:$D,B138,'01_異動主檔'!$E:$E,"移出")</f>
        <v/>
      </c>
      <c r="G138" s="4">
        <f>SUMIFS('01_異動主檔'!$F:$F,'01_異動主檔'!$B:$B,124,'01_異動主檔'!$D:$D,B138,'01_異動主檔'!$E:$E,"新增")</f>
        <v/>
      </c>
      <c r="H138" s="4">
        <f>-SUMIFS('01_異動主檔'!$F:$F,'01_異動主檔'!$B:$B,124,'01_異動主檔'!$D:$D,B138,'01_異動主檔'!$E:$E,"減列")</f>
        <v/>
      </c>
      <c r="I138" s="4">
        <f>-SUMIFS('01_異動主檔'!$F:$F,'01_異動主檔'!$B:$B,124,'01_異動主檔'!$D:$D,B138,'01_異動主檔'!$E:$E,"精簡")</f>
        <v/>
      </c>
      <c r="J138" s="10">
        <f>D138+E138+F138+G138+H138+I138</f>
        <v/>
      </c>
    </row>
    <row r="139" ht="18" customHeight="1">
      <c r="A139" s="4" t="inlineStr">
        <is>
          <t>A005</t>
        </is>
      </c>
      <c r="B139" s="3" t="inlineStr">
        <is>
          <t>資訊處</t>
        </is>
      </c>
      <c r="C139" s="4" t="n">
        <v>125</v>
      </c>
      <c r="D139" s="10">
        <f>J138</f>
        <v/>
      </c>
      <c r="E139" s="4">
        <f>SUMIFS('01_異動主檔'!$F:$F,'01_異動主檔'!$B:$B,125,'01_異動主檔'!$D:$D,B139,'01_異動主檔'!$E:$E,"移入")</f>
        <v/>
      </c>
      <c r="F139" s="4">
        <f>-SUMIFS('01_異動主檔'!$F:$F,'01_異動主檔'!$B:$B,125,'01_異動主檔'!$D:$D,B139,'01_異動主檔'!$E:$E,"移出")</f>
        <v/>
      </c>
      <c r="G139" s="4">
        <f>SUMIFS('01_異動主檔'!$F:$F,'01_異動主檔'!$B:$B,125,'01_異動主檔'!$D:$D,B139,'01_異動主檔'!$E:$E,"新增")</f>
        <v/>
      </c>
      <c r="H139" s="4">
        <f>-SUMIFS('01_異動主檔'!$F:$F,'01_異動主檔'!$B:$B,125,'01_異動主檔'!$D:$D,B139,'01_異動主檔'!$E:$E,"減列")</f>
        <v/>
      </c>
      <c r="I139" s="4">
        <f>-SUMIFS('01_異動主檔'!$F:$F,'01_異動主檔'!$B:$B,125,'01_異動主檔'!$D:$D,B139,'01_異動主檔'!$E:$E,"精簡")</f>
        <v/>
      </c>
      <c r="J139" s="10">
        <f>D139+E139+F139+G139+H139+I139</f>
        <v/>
      </c>
    </row>
    <row r="140" ht="18" customHeight="1">
      <c r="A140" s="6" t="inlineStr">
        <is>
          <t>A006</t>
        </is>
      </c>
      <c r="B140" s="5" t="inlineStr">
        <is>
          <t>法制處</t>
        </is>
      </c>
      <c r="C140" s="6" t="n">
        <v>99</v>
      </c>
      <c r="D140" s="10">
        <f>'02_年初員額設定'!C10</f>
        <v/>
      </c>
      <c r="E140" s="4">
        <f>SUMIFS('01_異動主檔'!$F:$F,'01_異動主檔'!$B:$B,99,'01_異動主檔'!$D:$D,B140,'01_異動主檔'!$E:$E,"移入")</f>
        <v/>
      </c>
      <c r="F140" s="4">
        <f>-SUMIFS('01_異動主檔'!$F:$F,'01_異動主檔'!$B:$B,99,'01_異動主檔'!$D:$D,B140,'01_異動主檔'!$E:$E,"移出")</f>
        <v/>
      </c>
      <c r="G140" s="4">
        <f>SUMIFS('01_異動主檔'!$F:$F,'01_異動主檔'!$B:$B,99,'01_異動主檔'!$D:$D,B140,'01_異動主檔'!$E:$E,"新增")</f>
        <v/>
      </c>
      <c r="H140" s="4">
        <f>-SUMIFS('01_異動主檔'!$F:$F,'01_異動主檔'!$B:$B,99,'01_異動主檔'!$D:$D,B140,'01_異動主檔'!$E:$E,"減列")</f>
        <v/>
      </c>
      <c r="I140" s="4">
        <f>-SUMIFS('01_異動主檔'!$F:$F,'01_異動主檔'!$B:$B,99,'01_異動主檔'!$D:$D,B140,'01_異動主檔'!$E:$E,"精簡")</f>
        <v/>
      </c>
      <c r="J140" s="10">
        <f>D140+E140+F140+G140+H140+I140</f>
        <v/>
      </c>
    </row>
    <row r="141" ht="18" customHeight="1">
      <c r="A141" s="4" t="inlineStr">
        <is>
          <t>A006</t>
        </is>
      </c>
      <c r="B141" s="3" t="inlineStr">
        <is>
          <t>法制處</t>
        </is>
      </c>
      <c r="C141" s="4" t="n">
        <v>100</v>
      </c>
      <c r="D141" s="10">
        <f>J140</f>
        <v/>
      </c>
      <c r="E141" s="4">
        <f>SUMIFS('01_異動主檔'!$F:$F,'01_異動主檔'!$B:$B,100,'01_異動主檔'!$D:$D,B141,'01_異動主檔'!$E:$E,"移入")</f>
        <v/>
      </c>
      <c r="F141" s="4">
        <f>-SUMIFS('01_異動主檔'!$F:$F,'01_異動主檔'!$B:$B,100,'01_異動主檔'!$D:$D,B141,'01_異動主檔'!$E:$E,"移出")</f>
        <v/>
      </c>
      <c r="G141" s="4">
        <f>SUMIFS('01_異動主檔'!$F:$F,'01_異動主檔'!$B:$B,100,'01_異動主檔'!$D:$D,B141,'01_異動主檔'!$E:$E,"新增")</f>
        <v/>
      </c>
      <c r="H141" s="4">
        <f>-SUMIFS('01_異動主檔'!$F:$F,'01_異動主檔'!$B:$B,100,'01_異動主檔'!$D:$D,B141,'01_異動主檔'!$E:$E,"減列")</f>
        <v/>
      </c>
      <c r="I141" s="4">
        <f>-SUMIFS('01_異動主檔'!$F:$F,'01_異動主檔'!$B:$B,100,'01_異動主檔'!$D:$D,B141,'01_異動主檔'!$E:$E,"精簡")</f>
        <v/>
      </c>
      <c r="J141" s="10">
        <f>D141+E141+F141+G141+H141+I141</f>
        <v/>
      </c>
    </row>
    <row r="142" ht="18" customHeight="1">
      <c r="A142" s="6" t="inlineStr">
        <is>
          <t>A006</t>
        </is>
      </c>
      <c r="B142" s="5" t="inlineStr">
        <is>
          <t>法制處</t>
        </is>
      </c>
      <c r="C142" s="6" t="n">
        <v>101</v>
      </c>
      <c r="D142" s="10">
        <f>J141</f>
        <v/>
      </c>
      <c r="E142" s="4">
        <f>SUMIFS('01_異動主檔'!$F:$F,'01_異動主檔'!$B:$B,101,'01_異動主檔'!$D:$D,B142,'01_異動主檔'!$E:$E,"移入")</f>
        <v/>
      </c>
      <c r="F142" s="4">
        <f>-SUMIFS('01_異動主檔'!$F:$F,'01_異動主檔'!$B:$B,101,'01_異動主檔'!$D:$D,B142,'01_異動主檔'!$E:$E,"移出")</f>
        <v/>
      </c>
      <c r="G142" s="4">
        <f>SUMIFS('01_異動主檔'!$F:$F,'01_異動主檔'!$B:$B,101,'01_異動主檔'!$D:$D,B142,'01_異動主檔'!$E:$E,"新增")</f>
        <v/>
      </c>
      <c r="H142" s="4">
        <f>-SUMIFS('01_異動主檔'!$F:$F,'01_異動主檔'!$B:$B,101,'01_異動主檔'!$D:$D,B142,'01_異動主檔'!$E:$E,"減列")</f>
        <v/>
      </c>
      <c r="I142" s="4">
        <f>-SUMIFS('01_異動主檔'!$F:$F,'01_異動主檔'!$B:$B,101,'01_異動主檔'!$D:$D,B142,'01_異動主檔'!$E:$E,"精簡")</f>
        <v/>
      </c>
      <c r="J142" s="10">
        <f>D142+E142+F142+G142+H142+I142</f>
        <v/>
      </c>
    </row>
    <row r="143" ht="18" customHeight="1">
      <c r="A143" s="4" t="inlineStr">
        <is>
          <t>A006</t>
        </is>
      </c>
      <c r="B143" s="3" t="inlineStr">
        <is>
          <t>法制處</t>
        </is>
      </c>
      <c r="C143" s="4" t="n">
        <v>102</v>
      </c>
      <c r="D143" s="10">
        <f>J142</f>
        <v/>
      </c>
      <c r="E143" s="4">
        <f>SUMIFS('01_異動主檔'!$F:$F,'01_異動主檔'!$B:$B,102,'01_異動主檔'!$D:$D,B143,'01_異動主檔'!$E:$E,"移入")</f>
        <v/>
      </c>
      <c r="F143" s="4">
        <f>-SUMIFS('01_異動主檔'!$F:$F,'01_異動主檔'!$B:$B,102,'01_異動主檔'!$D:$D,B143,'01_異動主檔'!$E:$E,"移出")</f>
        <v/>
      </c>
      <c r="G143" s="4">
        <f>SUMIFS('01_異動主檔'!$F:$F,'01_異動主檔'!$B:$B,102,'01_異動主檔'!$D:$D,B143,'01_異動主檔'!$E:$E,"新增")</f>
        <v/>
      </c>
      <c r="H143" s="4">
        <f>-SUMIFS('01_異動主檔'!$F:$F,'01_異動主檔'!$B:$B,102,'01_異動主檔'!$D:$D,B143,'01_異動主檔'!$E:$E,"減列")</f>
        <v/>
      </c>
      <c r="I143" s="4">
        <f>-SUMIFS('01_異動主檔'!$F:$F,'01_異動主檔'!$B:$B,102,'01_異動主檔'!$D:$D,B143,'01_異動主檔'!$E:$E,"精簡")</f>
        <v/>
      </c>
      <c r="J143" s="10">
        <f>D143+E143+F143+G143+H143+I143</f>
        <v/>
      </c>
    </row>
    <row r="144" ht="18" customHeight="1">
      <c r="A144" s="6" t="inlineStr">
        <is>
          <t>A006</t>
        </is>
      </c>
      <c r="B144" s="5" t="inlineStr">
        <is>
          <t>法制處</t>
        </is>
      </c>
      <c r="C144" s="6" t="n">
        <v>103</v>
      </c>
      <c r="D144" s="10">
        <f>J143</f>
        <v/>
      </c>
      <c r="E144" s="4">
        <f>SUMIFS('01_異動主檔'!$F:$F,'01_異動主檔'!$B:$B,103,'01_異動主檔'!$D:$D,B144,'01_異動主檔'!$E:$E,"移入")</f>
        <v/>
      </c>
      <c r="F144" s="4">
        <f>-SUMIFS('01_異動主檔'!$F:$F,'01_異動主檔'!$B:$B,103,'01_異動主檔'!$D:$D,B144,'01_異動主檔'!$E:$E,"移出")</f>
        <v/>
      </c>
      <c r="G144" s="4">
        <f>SUMIFS('01_異動主檔'!$F:$F,'01_異動主檔'!$B:$B,103,'01_異動主檔'!$D:$D,B144,'01_異動主檔'!$E:$E,"新增")</f>
        <v/>
      </c>
      <c r="H144" s="4">
        <f>-SUMIFS('01_異動主檔'!$F:$F,'01_異動主檔'!$B:$B,103,'01_異動主檔'!$D:$D,B144,'01_異動主檔'!$E:$E,"減列")</f>
        <v/>
      </c>
      <c r="I144" s="4">
        <f>-SUMIFS('01_異動主檔'!$F:$F,'01_異動主檔'!$B:$B,103,'01_異動主檔'!$D:$D,B144,'01_異動主檔'!$E:$E,"精簡")</f>
        <v/>
      </c>
      <c r="J144" s="10">
        <f>D144+E144+F144+G144+H144+I144</f>
        <v/>
      </c>
    </row>
    <row r="145" ht="18" customHeight="1">
      <c r="A145" s="4" t="inlineStr">
        <is>
          <t>A006</t>
        </is>
      </c>
      <c r="B145" s="3" t="inlineStr">
        <is>
          <t>法制處</t>
        </is>
      </c>
      <c r="C145" s="4" t="n">
        <v>104</v>
      </c>
      <c r="D145" s="10">
        <f>J144</f>
        <v/>
      </c>
      <c r="E145" s="4">
        <f>SUMIFS('01_異動主檔'!$F:$F,'01_異動主檔'!$B:$B,104,'01_異動主檔'!$D:$D,B145,'01_異動主檔'!$E:$E,"移入")</f>
        <v/>
      </c>
      <c r="F145" s="4">
        <f>-SUMIFS('01_異動主檔'!$F:$F,'01_異動主檔'!$B:$B,104,'01_異動主檔'!$D:$D,B145,'01_異動主檔'!$E:$E,"移出")</f>
        <v/>
      </c>
      <c r="G145" s="4">
        <f>SUMIFS('01_異動主檔'!$F:$F,'01_異動主檔'!$B:$B,104,'01_異動主檔'!$D:$D,B145,'01_異動主檔'!$E:$E,"新增")</f>
        <v/>
      </c>
      <c r="H145" s="4">
        <f>-SUMIFS('01_異動主檔'!$F:$F,'01_異動主檔'!$B:$B,104,'01_異動主檔'!$D:$D,B145,'01_異動主檔'!$E:$E,"減列")</f>
        <v/>
      </c>
      <c r="I145" s="4">
        <f>-SUMIFS('01_異動主檔'!$F:$F,'01_異動主檔'!$B:$B,104,'01_異動主檔'!$D:$D,B145,'01_異動主檔'!$E:$E,"精簡")</f>
        <v/>
      </c>
      <c r="J145" s="10">
        <f>D145+E145+F145+G145+H145+I145</f>
        <v/>
      </c>
    </row>
    <row r="146" ht="18" customHeight="1">
      <c r="A146" s="6" t="inlineStr">
        <is>
          <t>A006</t>
        </is>
      </c>
      <c r="B146" s="5" t="inlineStr">
        <is>
          <t>法制處</t>
        </is>
      </c>
      <c r="C146" s="6" t="n">
        <v>105</v>
      </c>
      <c r="D146" s="10">
        <f>J145</f>
        <v/>
      </c>
      <c r="E146" s="4">
        <f>SUMIFS('01_異動主檔'!$F:$F,'01_異動主檔'!$B:$B,105,'01_異動主檔'!$D:$D,B146,'01_異動主檔'!$E:$E,"移入")</f>
        <v/>
      </c>
      <c r="F146" s="4">
        <f>-SUMIFS('01_異動主檔'!$F:$F,'01_異動主檔'!$B:$B,105,'01_異動主檔'!$D:$D,B146,'01_異動主檔'!$E:$E,"移出")</f>
        <v/>
      </c>
      <c r="G146" s="4">
        <f>SUMIFS('01_異動主檔'!$F:$F,'01_異動主檔'!$B:$B,105,'01_異動主檔'!$D:$D,B146,'01_異動主檔'!$E:$E,"新增")</f>
        <v/>
      </c>
      <c r="H146" s="4">
        <f>-SUMIFS('01_異動主檔'!$F:$F,'01_異動主檔'!$B:$B,105,'01_異動主檔'!$D:$D,B146,'01_異動主檔'!$E:$E,"減列")</f>
        <v/>
      </c>
      <c r="I146" s="4">
        <f>-SUMIFS('01_異動主檔'!$F:$F,'01_異動主檔'!$B:$B,105,'01_異動主檔'!$D:$D,B146,'01_異動主檔'!$E:$E,"精簡")</f>
        <v/>
      </c>
      <c r="J146" s="10">
        <f>D146+E146+F146+G146+H146+I146</f>
        <v/>
      </c>
    </row>
    <row r="147" ht="18" customHeight="1">
      <c r="A147" s="4" t="inlineStr">
        <is>
          <t>A006</t>
        </is>
      </c>
      <c r="B147" s="3" t="inlineStr">
        <is>
          <t>法制處</t>
        </is>
      </c>
      <c r="C147" s="4" t="n">
        <v>106</v>
      </c>
      <c r="D147" s="10">
        <f>J146</f>
        <v/>
      </c>
      <c r="E147" s="4">
        <f>SUMIFS('01_異動主檔'!$F:$F,'01_異動主檔'!$B:$B,106,'01_異動主檔'!$D:$D,B147,'01_異動主檔'!$E:$E,"移入")</f>
        <v/>
      </c>
      <c r="F147" s="4">
        <f>-SUMIFS('01_異動主檔'!$F:$F,'01_異動主檔'!$B:$B,106,'01_異動主檔'!$D:$D,B147,'01_異動主檔'!$E:$E,"移出")</f>
        <v/>
      </c>
      <c r="G147" s="4">
        <f>SUMIFS('01_異動主檔'!$F:$F,'01_異動主檔'!$B:$B,106,'01_異動主檔'!$D:$D,B147,'01_異動主檔'!$E:$E,"新增")</f>
        <v/>
      </c>
      <c r="H147" s="4">
        <f>-SUMIFS('01_異動主檔'!$F:$F,'01_異動主檔'!$B:$B,106,'01_異動主檔'!$D:$D,B147,'01_異動主檔'!$E:$E,"減列")</f>
        <v/>
      </c>
      <c r="I147" s="4">
        <f>-SUMIFS('01_異動主檔'!$F:$F,'01_異動主檔'!$B:$B,106,'01_異動主檔'!$D:$D,B147,'01_異動主檔'!$E:$E,"精簡")</f>
        <v/>
      </c>
      <c r="J147" s="10">
        <f>D147+E147+F147+G147+H147+I147</f>
        <v/>
      </c>
    </row>
    <row r="148" ht="18" customHeight="1">
      <c r="A148" s="6" t="inlineStr">
        <is>
          <t>A006</t>
        </is>
      </c>
      <c r="B148" s="5" t="inlineStr">
        <is>
          <t>法制處</t>
        </is>
      </c>
      <c r="C148" s="6" t="n">
        <v>107</v>
      </c>
      <c r="D148" s="10">
        <f>J147</f>
        <v/>
      </c>
      <c r="E148" s="4">
        <f>SUMIFS('01_異動主檔'!$F:$F,'01_異動主檔'!$B:$B,107,'01_異動主檔'!$D:$D,B148,'01_異動主檔'!$E:$E,"移入")</f>
        <v/>
      </c>
      <c r="F148" s="4">
        <f>-SUMIFS('01_異動主檔'!$F:$F,'01_異動主檔'!$B:$B,107,'01_異動主檔'!$D:$D,B148,'01_異動主檔'!$E:$E,"移出")</f>
        <v/>
      </c>
      <c r="G148" s="4">
        <f>SUMIFS('01_異動主檔'!$F:$F,'01_異動主檔'!$B:$B,107,'01_異動主檔'!$D:$D,B148,'01_異動主檔'!$E:$E,"新增")</f>
        <v/>
      </c>
      <c r="H148" s="4">
        <f>-SUMIFS('01_異動主檔'!$F:$F,'01_異動主檔'!$B:$B,107,'01_異動主檔'!$D:$D,B148,'01_異動主檔'!$E:$E,"減列")</f>
        <v/>
      </c>
      <c r="I148" s="4">
        <f>-SUMIFS('01_異動主檔'!$F:$F,'01_異動主檔'!$B:$B,107,'01_異動主檔'!$D:$D,B148,'01_異動主檔'!$E:$E,"精簡")</f>
        <v/>
      </c>
      <c r="J148" s="10">
        <f>D148+E148+F148+G148+H148+I148</f>
        <v/>
      </c>
    </row>
    <row r="149" ht="18" customHeight="1">
      <c r="A149" s="4" t="inlineStr">
        <is>
          <t>A006</t>
        </is>
      </c>
      <c r="B149" s="3" t="inlineStr">
        <is>
          <t>法制處</t>
        </is>
      </c>
      <c r="C149" s="4" t="n">
        <v>108</v>
      </c>
      <c r="D149" s="10">
        <f>J148</f>
        <v/>
      </c>
      <c r="E149" s="4">
        <f>SUMIFS('01_異動主檔'!$F:$F,'01_異動主檔'!$B:$B,108,'01_異動主檔'!$D:$D,B149,'01_異動主檔'!$E:$E,"移入")</f>
        <v/>
      </c>
      <c r="F149" s="4">
        <f>-SUMIFS('01_異動主檔'!$F:$F,'01_異動主檔'!$B:$B,108,'01_異動主檔'!$D:$D,B149,'01_異動主檔'!$E:$E,"移出")</f>
        <v/>
      </c>
      <c r="G149" s="4">
        <f>SUMIFS('01_異動主檔'!$F:$F,'01_異動主檔'!$B:$B,108,'01_異動主檔'!$D:$D,B149,'01_異動主檔'!$E:$E,"新增")</f>
        <v/>
      </c>
      <c r="H149" s="4">
        <f>-SUMIFS('01_異動主檔'!$F:$F,'01_異動主檔'!$B:$B,108,'01_異動主檔'!$D:$D,B149,'01_異動主檔'!$E:$E,"減列")</f>
        <v/>
      </c>
      <c r="I149" s="4">
        <f>-SUMIFS('01_異動主檔'!$F:$F,'01_異動主檔'!$B:$B,108,'01_異動主檔'!$D:$D,B149,'01_異動主檔'!$E:$E,"精簡")</f>
        <v/>
      </c>
      <c r="J149" s="10">
        <f>D149+E149+F149+G149+H149+I149</f>
        <v/>
      </c>
    </row>
    <row r="150" ht="18" customHeight="1">
      <c r="A150" s="6" t="inlineStr">
        <is>
          <t>A006</t>
        </is>
      </c>
      <c r="B150" s="5" t="inlineStr">
        <is>
          <t>法制處</t>
        </is>
      </c>
      <c r="C150" s="6" t="n">
        <v>109</v>
      </c>
      <c r="D150" s="10">
        <f>J149</f>
        <v/>
      </c>
      <c r="E150" s="4">
        <f>SUMIFS('01_異動主檔'!$F:$F,'01_異動主檔'!$B:$B,109,'01_異動主檔'!$D:$D,B150,'01_異動主檔'!$E:$E,"移入")</f>
        <v/>
      </c>
      <c r="F150" s="4">
        <f>-SUMIFS('01_異動主檔'!$F:$F,'01_異動主檔'!$B:$B,109,'01_異動主檔'!$D:$D,B150,'01_異動主檔'!$E:$E,"移出")</f>
        <v/>
      </c>
      <c r="G150" s="4">
        <f>SUMIFS('01_異動主檔'!$F:$F,'01_異動主檔'!$B:$B,109,'01_異動主檔'!$D:$D,B150,'01_異動主檔'!$E:$E,"新增")</f>
        <v/>
      </c>
      <c r="H150" s="4">
        <f>-SUMIFS('01_異動主檔'!$F:$F,'01_異動主檔'!$B:$B,109,'01_異動主檔'!$D:$D,B150,'01_異動主檔'!$E:$E,"減列")</f>
        <v/>
      </c>
      <c r="I150" s="4">
        <f>-SUMIFS('01_異動主檔'!$F:$F,'01_異動主檔'!$B:$B,109,'01_異動主檔'!$D:$D,B150,'01_異動主檔'!$E:$E,"精簡")</f>
        <v/>
      </c>
      <c r="J150" s="10">
        <f>D150+E150+F150+G150+H150+I150</f>
        <v/>
      </c>
    </row>
    <row r="151" ht="18" customHeight="1">
      <c r="A151" s="4" t="inlineStr">
        <is>
          <t>A006</t>
        </is>
      </c>
      <c r="B151" s="3" t="inlineStr">
        <is>
          <t>法制處</t>
        </is>
      </c>
      <c r="C151" s="4" t="n">
        <v>110</v>
      </c>
      <c r="D151" s="10">
        <f>J150</f>
        <v/>
      </c>
      <c r="E151" s="4">
        <f>SUMIFS('01_異動主檔'!$F:$F,'01_異動主檔'!$B:$B,110,'01_異動主檔'!$D:$D,B151,'01_異動主檔'!$E:$E,"移入")</f>
        <v/>
      </c>
      <c r="F151" s="4">
        <f>-SUMIFS('01_異動主檔'!$F:$F,'01_異動主檔'!$B:$B,110,'01_異動主檔'!$D:$D,B151,'01_異動主檔'!$E:$E,"移出")</f>
        <v/>
      </c>
      <c r="G151" s="4">
        <f>SUMIFS('01_異動主檔'!$F:$F,'01_異動主檔'!$B:$B,110,'01_異動主檔'!$D:$D,B151,'01_異動主檔'!$E:$E,"新增")</f>
        <v/>
      </c>
      <c r="H151" s="4">
        <f>-SUMIFS('01_異動主檔'!$F:$F,'01_異動主檔'!$B:$B,110,'01_異動主檔'!$D:$D,B151,'01_異動主檔'!$E:$E,"減列")</f>
        <v/>
      </c>
      <c r="I151" s="4">
        <f>-SUMIFS('01_異動主檔'!$F:$F,'01_異動主檔'!$B:$B,110,'01_異動主檔'!$D:$D,B151,'01_異動主檔'!$E:$E,"精簡")</f>
        <v/>
      </c>
      <c r="J151" s="10">
        <f>D151+E151+F151+G151+H151+I151</f>
        <v/>
      </c>
    </row>
    <row r="152" ht="18" customHeight="1">
      <c r="A152" s="6" t="inlineStr">
        <is>
          <t>A006</t>
        </is>
      </c>
      <c r="B152" s="5" t="inlineStr">
        <is>
          <t>法制處</t>
        </is>
      </c>
      <c r="C152" s="6" t="n">
        <v>111</v>
      </c>
      <c r="D152" s="10">
        <f>J151</f>
        <v/>
      </c>
      <c r="E152" s="4">
        <f>SUMIFS('01_異動主檔'!$F:$F,'01_異動主檔'!$B:$B,111,'01_異動主檔'!$D:$D,B152,'01_異動主檔'!$E:$E,"移入")</f>
        <v/>
      </c>
      <c r="F152" s="4">
        <f>-SUMIFS('01_異動主檔'!$F:$F,'01_異動主檔'!$B:$B,111,'01_異動主檔'!$D:$D,B152,'01_異動主檔'!$E:$E,"移出")</f>
        <v/>
      </c>
      <c r="G152" s="4">
        <f>SUMIFS('01_異動主檔'!$F:$F,'01_異動主檔'!$B:$B,111,'01_異動主檔'!$D:$D,B152,'01_異動主檔'!$E:$E,"新增")</f>
        <v/>
      </c>
      <c r="H152" s="4">
        <f>-SUMIFS('01_異動主檔'!$F:$F,'01_異動主檔'!$B:$B,111,'01_異動主檔'!$D:$D,B152,'01_異動主檔'!$E:$E,"減列")</f>
        <v/>
      </c>
      <c r="I152" s="4">
        <f>-SUMIFS('01_異動主檔'!$F:$F,'01_異動主檔'!$B:$B,111,'01_異動主檔'!$D:$D,B152,'01_異動主檔'!$E:$E,"精簡")</f>
        <v/>
      </c>
      <c r="J152" s="10">
        <f>D152+E152+F152+G152+H152+I152</f>
        <v/>
      </c>
    </row>
    <row r="153" ht="18" customHeight="1">
      <c r="A153" s="4" t="inlineStr">
        <is>
          <t>A006</t>
        </is>
      </c>
      <c r="B153" s="3" t="inlineStr">
        <is>
          <t>法制處</t>
        </is>
      </c>
      <c r="C153" s="4" t="n">
        <v>112</v>
      </c>
      <c r="D153" s="10">
        <f>J152</f>
        <v/>
      </c>
      <c r="E153" s="4">
        <f>SUMIFS('01_異動主檔'!$F:$F,'01_異動主檔'!$B:$B,112,'01_異動主檔'!$D:$D,B153,'01_異動主檔'!$E:$E,"移入")</f>
        <v/>
      </c>
      <c r="F153" s="4">
        <f>-SUMIFS('01_異動主檔'!$F:$F,'01_異動主檔'!$B:$B,112,'01_異動主檔'!$D:$D,B153,'01_異動主檔'!$E:$E,"移出")</f>
        <v/>
      </c>
      <c r="G153" s="4">
        <f>SUMIFS('01_異動主檔'!$F:$F,'01_異動主檔'!$B:$B,112,'01_異動主檔'!$D:$D,B153,'01_異動主檔'!$E:$E,"新增")</f>
        <v/>
      </c>
      <c r="H153" s="4">
        <f>-SUMIFS('01_異動主檔'!$F:$F,'01_異動主檔'!$B:$B,112,'01_異動主檔'!$D:$D,B153,'01_異動主檔'!$E:$E,"減列")</f>
        <v/>
      </c>
      <c r="I153" s="4">
        <f>-SUMIFS('01_異動主檔'!$F:$F,'01_異動主檔'!$B:$B,112,'01_異動主檔'!$D:$D,B153,'01_異動主檔'!$E:$E,"精簡")</f>
        <v/>
      </c>
      <c r="J153" s="10">
        <f>D153+E153+F153+G153+H153+I153</f>
        <v/>
      </c>
    </row>
    <row r="154" ht="18" customHeight="1">
      <c r="A154" s="6" t="inlineStr">
        <is>
          <t>A006</t>
        </is>
      </c>
      <c r="B154" s="5" t="inlineStr">
        <is>
          <t>法制處</t>
        </is>
      </c>
      <c r="C154" s="6" t="n">
        <v>113</v>
      </c>
      <c r="D154" s="10">
        <f>J153</f>
        <v/>
      </c>
      <c r="E154" s="4">
        <f>SUMIFS('01_異動主檔'!$F:$F,'01_異動主檔'!$B:$B,113,'01_異動主檔'!$D:$D,B154,'01_異動主檔'!$E:$E,"移入")</f>
        <v/>
      </c>
      <c r="F154" s="4">
        <f>-SUMIFS('01_異動主檔'!$F:$F,'01_異動主檔'!$B:$B,113,'01_異動主檔'!$D:$D,B154,'01_異動主檔'!$E:$E,"移出")</f>
        <v/>
      </c>
      <c r="G154" s="4">
        <f>SUMIFS('01_異動主檔'!$F:$F,'01_異動主檔'!$B:$B,113,'01_異動主檔'!$D:$D,B154,'01_異動主檔'!$E:$E,"新增")</f>
        <v/>
      </c>
      <c r="H154" s="4">
        <f>-SUMIFS('01_異動主檔'!$F:$F,'01_異動主檔'!$B:$B,113,'01_異動主檔'!$D:$D,B154,'01_異動主檔'!$E:$E,"減列")</f>
        <v/>
      </c>
      <c r="I154" s="4">
        <f>-SUMIFS('01_異動主檔'!$F:$F,'01_異動主檔'!$B:$B,113,'01_異動主檔'!$D:$D,B154,'01_異動主檔'!$E:$E,"精簡")</f>
        <v/>
      </c>
      <c r="J154" s="10">
        <f>D154+E154+F154+G154+H154+I154</f>
        <v/>
      </c>
    </row>
    <row r="155" ht="18" customHeight="1">
      <c r="A155" s="4" t="inlineStr">
        <is>
          <t>A006</t>
        </is>
      </c>
      <c r="B155" s="3" t="inlineStr">
        <is>
          <t>法制處</t>
        </is>
      </c>
      <c r="C155" s="4" t="n">
        <v>114</v>
      </c>
      <c r="D155" s="10">
        <f>J154</f>
        <v/>
      </c>
      <c r="E155" s="4">
        <f>SUMIFS('01_異動主檔'!$F:$F,'01_異動主檔'!$B:$B,114,'01_異動主檔'!$D:$D,B155,'01_異動主檔'!$E:$E,"移入")</f>
        <v/>
      </c>
      <c r="F155" s="4">
        <f>-SUMIFS('01_異動主檔'!$F:$F,'01_異動主檔'!$B:$B,114,'01_異動主檔'!$D:$D,B155,'01_異動主檔'!$E:$E,"移出")</f>
        <v/>
      </c>
      <c r="G155" s="4">
        <f>SUMIFS('01_異動主檔'!$F:$F,'01_異動主檔'!$B:$B,114,'01_異動主檔'!$D:$D,B155,'01_異動主檔'!$E:$E,"新增")</f>
        <v/>
      </c>
      <c r="H155" s="4">
        <f>-SUMIFS('01_異動主檔'!$F:$F,'01_異動主檔'!$B:$B,114,'01_異動主檔'!$D:$D,B155,'01_異動主檔'!$E:$E,"減列")</f>
        <v/>
      </c>
      <c r="I155" s="4">
        <f>-SUMIFS('01_異動主檔'!$F:$F,'01_異動主檔'!$B:$B,114,'01_異動主檔'!$D:$D,B155,'01_異動主檔'!$E:$E,"精簡")</f>
        <v/>
      </c>
      <c r="J155" s="10">
        <f>D155+E155+F155+G155+H155+I155</f>
        <v/>
      </c>
    </row>
    <row r="156" ht="18" customHeight="1">
      <c r="A156" s="6" t="inlineStr">
        <is>
          <t>A006</t>
        </is>
      </c>
      <c r="B156" s="5" t="inlineStr">
        <is>
          <t>法制處</t>
        </is>
      </c>
      <c r="C156" s="6" t="n">
        <v>115</v>
      </c>
      <c r="D156" s="10">
        <f>J155</f>
        <v/>
      </c>
      <c r="E156" s="4">
        <f>SUMIFS('01_異動主檔'!$F:$F,'01_異動主檔'!$B:$B,115,'01_異動主檔'!$D:$D,B156,'01_異動主檔'!$E:$E,"移入")</f>
        <v/>
      </c>
      <c r="F156" s="4">
        <f>-SUMIFS('01_異動主檔'!$F:$F,'01_異動主檔'!$B:$B,115,'01_異動主檔'!$D:$D,B156,'01_異動主檔'!$E:$E,"移出")</f>
        <v/>
      </c>
      <c r="G156" s="4">
        <f>SUMIFS('01_異動主檔'!$F:$F,'01_異動主檔'!$B:$B,115,'01_異動主檔'!$D:$D,B156,'01_異動主檔'!$E:$E,"新增")</f>
        <v/>
      </c>
      <c r="H156" s="4">
        <f>-SUMIFS('01_異動主檔'!$F:$F,'01_異動主檔'!$B:$B,115,'01_異動主檔'!$D:$D,B156,'01_異動主檔'!$E:$E,"減列")</f>
        <v/>
      </c>
      <c r="I156" s="4">
        <f>-SUMIFS('01_異動主檔'!$F:$F,'01_異動主檔'!$B:$B,115,'01_異動主檔'!$D:$D,B156,'01_異動主檔'!$E:$E,"精簡")</f>
        <v/>
      </c>
      <c r="J156" s="10">
        <f>D156+E156+F156+G156+H156+I156</f>
        <v/>
      </c>
    </row>
    <row r="157" ht="18" customHeight="1">
      <c r="A157" s="4" t="inlineStr">
        <is>
          <t>A006</t>
        </is>
      </c>
      <c r="B157" s="3" t="inlineStr">
        <is>
          <t>法制處</t>
        </is>
      </c>
      <c r="C157" s="4" t="n">
        <v>116</v>
      </c>
      <c r="D157" s="10">
        <f>J156</f>
        <v/>
      </c>
      <c r="E157" s="4">
        <f>SUMIFS('01_異動主檔'!$F:$F,'01_異動主檔'!$B:$B,116,'01_異動主檔'!$D:$D,B157,'01_異動主檔'!$E:$E,"移入")</f>
        <v/>
      </c>
      <c r="F157" s="4">
        <f>-SUMIFS('01_異動主檔'!$F:$F,'01_異動主檔'!$B:$B,116,'01_異動主檔'!$D:$D,B157,'01_異動主檔'!$E:$E,"移出")</f>
        <v/>
      </c>
      <c r="G157" s="4">
        <f>SUMIFS('01_異動主檔'!$F:$F,'01_異動主檔'!$B:$B,116,'01_異動主檔'!$D:$D,B157,'01_異動主檔'!$E:$E,"新增")</f>
        <v/>
      </c>
      <c r="H157" s="4">
        <f>-SUMIFS('01_異動主檔'!$F:$F,'01_異動主檔'!$B:$B,116,'01_異動主檔'!$D:$D,B157,'01_異動主檔'!$E:$E,"減列")</f>
        <v/>
      </c>
      <c r="I157" s="4">
        <f>-SUMIFS('01_異動主檔'!$F:$F,'01_異動主檔'!$B:$B,116,'01_異動主檔'!$D:$D,B157,'01_異動主檔'!$E:$E,"精簡")</f>
        <v/>
      </c>
      <c r="J157" s="10">
        <f>D157+E157+F157+G157+H157+I157</f>
        <v/>
      </c>
    </row>
    <row r="158" ht="18" customHeight="1">
      <c r="A158" s="6" t="inlineStr">
        <is>
          <t>A006</t>
        </is>
      </c>
      <c r="B158" s="5" t="inlineStr">
        <is>
          <t>法制處</t>
        </is>
      </c>
      <c r="C158" s="6" t="n">
        <v>117</v>
      </c>
      <c r="D158" s="10">
        <f>J157</f>
        <v/>
      </c>
      <c r="E158" s="4">
        <f>SUMIFS('01_異動主檔'!$F:$F,'01_異動主檔'!$B:$B,117,'01_異動主檔'!$D:$D,B158,'01_異動主檔'!$E:$E,"移入")</f>
        <v/>
      </c>
      <c r="F158" s="4">
        <f>-SUMIFS('01_異動主檔'!$F:$F,'01_異動主檔'!$B:$B,117,'01_異動主檔'!$D:$D,B158,'01_異動主檔'!$E:$E,"移出")</f>
        <v/>
      </c>
      <c r="G158" s="4">
        <f>SUMIFS('01_異動主檔'!$F:$F,'01_異動主檔'!$B:$B,117,'01_異動主檔'!$D:$D,B158,'01_異動主檔'!$E:$E,"新增")</f>
        <v/>
      </c>
      <c r="H158" s="4">
        <f>-SUMIFS('01_異動主檔'!$F:$F,'01_異動主檔'!$B:$B,117,'01_異動主檔'!$D:$D,B158,'01_異動主檔'!$E:$E,"減列")</f>
        <v/>
      </c>
      <c r="I158" s="4">
        <f>-SUMIFS('01_異動主檔'!$F:$F,'01_異動主檔'!$B:$B,117,'01_異動主檔'!$D:$D,B158,'01_異動主檔'!$E:$E,"精簡")</f>
        <v/>
      </c>
      <c r="J158" s="10">
        <f>D158+E158+F158+G158+H158+I158</f>
        <v/>
      </c>
    </row>
    <row r="159" ht="18" customHeight="1">
      <c r="A159" s="4" t="inlineStr">
        <is>
          <t>A006</t>
        </is>
      </c>
      <c r="B159" s="3" t="inlineStr">
        <is>
          <t>法制處</t>
        </is>
      </c>
      <c r="C159" s="4" t="n">
        <v>118</v>
      </c>
      <c r="D159" s="10">
        <f>J158</f>
        <v/>
      </c>
      <c r="E159" s="4">
        <f>SUMIFS('01_異動主檔'!$F:$F,'01_異動主檔'!$B:$B,118,'01_異動主檔'!$D:$D,B159,'01_異動主檔'!$E:$E,"移入")</f>
        <v/>
      </c>
      <c r="F159" s="4">
        <f>-SUMIFS('01_異動主檔'!$F:$F,'01_異動主檔'!$B:$B,118,'01_異動主檔'!$D:$D,B159,'01_異動主檔'!$E:$E,"移出")</f>
        <v/>
      </c>
      <c r="G159" s="4">
        <f>SUMIFS('01_異動主檔'!$F:$F,'01_異動主檔'!$B:$B,118,'01_異動主檔'!$D:$D,B159,'01_異動主檔'!$E:$E,"新增")</f>
        <v/>
      </c>
      <c r="H159" s="4">
        <f>-SUMIFS('01_異動主檔'!$F:$F,'01_異動主檔'!$B:$B,118,'01_異動主檔'!$D:$D,B159,'01_異動主檔'!$E:$E,"減列")</f>
        <v/>
      </c>
      <c r="I159" s="4">
        <f>-SUMIFS('01_異動主檔'!$F:$F,'01_異動主檔'!$B:$B,118,'01_異動主檔'!$D:$D,B159,'01_異動主檔'!$E:$E,"精簡")</f>
        <v/>
      </c>
      <c r="J159" s="10">
        <f>D159+E159+F159+G159+H159+I159</f>
        <v/>
      </c>
    </row>
    <row r="160" ht="18" customHeight="1">
      <c r="A160" s="6" t="inlineStr">
        <is>
          <t>A006</t>
        </is>
      </c>
      <c r="B160" s="5" t="inlineStr">
        <is>
          <t>法制處</t>
        </is>
      </c>
      <c r="C160" s="6" t="n">
        <v>119</v>
      </c>
      <c r="D160" s="10">
        <f>J159</f>
        <v/>
      </c>
      <c r="E160" s="4">
        <f>SUMIFS('01_異動主檔'!$F:$F,'01_異動主檔'!$B:$B,119,'01_異動主檔'!$D:$D,B160,'01_異動主檔'!$E:$E,"移入")</f>
        <v/>
      </c>
      <c r="F160" s="4">
        <f>-SUMIFS('01_異動主檔'!$F:$F,'01_異動主檔'!$B:$B,119,'01_異動主檔'!$D:$D,B160,'01_異動主檔'!$E:$E,"移出")</f>
        <v/>
      </c>
      <c r="G160" s="4">
        <f>SUMIFS('01_異動主檔'!$F:$F,'01_異動主檔'!$B:$B,119,'01_異動主檔'!$D:$D,B160,'01_異動主檔'!$E:$E,"新增")</f>
        <v/>
      </c>
      <c r="H160" s="4">
        <f>-SUMIFS('01_異動主檔'!$F:$F,'01_異動主檔'!$B:$B,119,'01_異動主檔'!$D:$D,B160,'01_異動主檔'!$E:$E,"減列")</f>
        <v/>
      </c>
      <c r="I160" s="4">
        <f>-SUMIFS('01_異動主檔'!$F:$F,'01_異動主檔'!$B:$B,119,'01_異動主檔'!$D:$D,B160,'01_異動主檔'!$E:$E,"精簡")</f>
        <v/>
      </c>
      <c r="J160" s="10">
        <f>D160+E160+F160+G160+H160+I160</f>
        <v/>
      </c>
    </row>
    <row r="161" ht="18" customHeight="1">
      <c r="A161" s="4" t="inlineStr">
        <is>
          <t>A006</t>
        </is>
      </c>
      <c r="B161" s="3" t="inlineStr">
        <is>
          <t>法制處</t>
        </is>
      </c>
      <c r="C161" s="4" t="n">
        <v>120</v>
      </c>
      <c r="D161" s="10">
        <f>J160</f>
        <v/>
      </c>
      <c r="E161" s="4">
        <f>SUMIFS('01_異動主檔'!$F:$F,'01_異動主檔'!$B:$B,120,'01_異動主檔'!$D:$D,B161,'01_異動主檔'!$E:$E,"移入")</f>
        <v/>
      </c>
      <c r="F161" s="4">
        <f>-SUMIFS('01_異動主檔'!$F:$F,'01_異動主檔'!$B:$B,120,'01_異動主檔'!$D:$D,B161,'01_異動主檔'!$E:$E,"移出")</f>
        <v/>
      </c>
      <c r="G161" s="4">
        <f>SUMIFS('01_異動主檔'!$F:$F,'01_異動主檔'!$B:$B,120,'01_異動主檔'!$D:$D,B161,'01_異動主檔'!$E:$E,"新增")</f>
        <v/>
      </c>
      <c r="H161" s="4">
        <f>-SUMIFS('01_異動主檔'!$F:$F,'01_異動主檔'!$B:$B,120,'01_異動主檔'!$D:$D,B161,'01_異動主檔'!$E:$E,"減列")</f>
        <v/>
      </c>
      <c r="I161" s="4">
        <f>-SUMIFS('01_異動主檔'!$F:$F,'01_異動主檔'!$B:$B,120,'01_異動主檔'!$D:$D,B161,'01_異動主檔'!$E:$E,"精簡")</f>
        <v/>
      </c>
      <c r="J161" s="10">
        <f>D161+E161+F161+G161+H161+I161</f>
        <v/>
      </c>
    </row>
    <row r="162" ht="18" customHeight="1">
      <c r="A162" s="6" t="inlineStr">
        <is>
          <t>A006</t>
        </is>
      </c>
      <c r="B162" s="5" t="inlineStr">
        <is>
          <t>法制處</t>
        </is>
      </c>
      <c r="C162" s="6" t="n">
        <v>121</v>
      </c>
      <c r="D162" s="10">
        <f>J161</f>
        <v/>
      </c>
      <c r="E162" s="4">
        <f>SUMIFS('01_異動主檔'!$F:$F,'01_異動主檔'!$B:$B,121,'01_異動主檔'!$D:$D,B162,'01_異動主檔'!$E:$E,"移入")</f>
        <v/>
      </c>
      <c r="F162" s="4">
        <f>-SUMIFS('01_異動主檔'!$F:$F,'01_異動主檔'!$B:$B,121,'01_異動主檔'!$D:$D,B162,'01_異動主檔'!$E:$E,"移出")</f>
        <v/>
      </c>
      <c r="G162" s="4">
        <f>SUMIFS('01_異動主檔'!$F:$F,'01_異動主檔'!$B:$B,121,'01_異動主檔'!$D:$D,B162,'01_異動主檔'!$E:$E,"新增")</f>
        <v/>
      </c>
      <c r="H162" s="4">
        <f>-SUMIFS('01_異動主檔'!$F:$F,'01_異動主檔'!$B:$B,121,'01_異動主檔'!$D:$D,B162,'01_異動主檔'!$E:$E,"減列")</f>
        <v/>
      </c>
      <c r="I162" s="4">
        <f>-SUMIFS('01_異動主檔'!$F:$F,'01_異動主檔'!$B:$B,121,'01_異動主檔'!$D:$D,B162,'01_異動主檔'!$E:$E,"精簡")</f>
        <v/>
      </c>
      <c r="J162" s="10">
        <f>D162+E162+F162+G162+H162+I162</f>
        <v/>
      </c>
    </row>
    <row r="163" ht="18" customHeight="1">
      <c r="A163" s="4" t="inlineStr">
        <is>
          <t>A006</t>
        </is>
      </c>
      <c r="B163" s="3" t="inlineStr">
        <is>
          <t>法制處</t>
        </is>
      </c>
      <c r="C163" s="4" t="n">
        <v>122</v>
      </c>
      <c r="D163" s="10">
        <f>J162</f>
        <v/>
      </c>
      <c r="E163" s="4">
        <f>SUMIFS('01_異動主檔'!$F:$F,'01_異動主檔'!$B:$B,122,'01_異動主檔'!$D:$D,B163,'01_異動主檔'!$E:$E,"移入")</f>
        <v/>
      </c>
      <c r="F163" s="4">
        <f>-SUMIFS('01_異動主檔'!$F:$F,'01_異動主檔'!$B:$B,122,'01_異動主檔'!$D:$D,B163,'01_異動主檔'!$E:$E,"移出")</f>
        <v/>
      </c>
      <c r="G163" s="4">
        <f>SUMIFS('01_異動主檔'!$F:$F,'01_異動主檔'!$B:$B,122,'01_異動主檔'!$D:$D,B163,'01_異動主檔'!$E:$E,"新增")</f>
        <v/>
      </c>
      <c r="H163" s="4">
        <f>-SUMIFS('01_異動主檔'!$F:$F,'01_異動主檔'!$B:$B,122,'01_異動主檔'!$D:$D,B163,'01_異動主檔'!$E:$E,"減列")</f>
        <v/>
      </c>
      <c r="I163" s="4">
        <f>-SUMIFS('01_異動主檔'!$F:$F,'01_異動主檔'!$B:$B,122,'01_異動主檔'!$D:$D,B163,'01_異動主檔'!$E:$E,"精簡")</f>
        <v/>
      </c>
      <c r="J163" s="10">
        <f>D163+E163+F163+G163+H163+I163</f>
        <v/>
      </c>
    </row>
    <row r="164" ht="18" customHeight="1">
      <c r="A164" s="6" t="inlineStr">
        <is>
          <t>A006</t>
        </is>
      </c>
      <c r="B164" s="5" t="inlineStr">
        <is>
          <t>法制處</t>
        </is>
      </c>
      <c r="C164" s="6" t="n">
        <v>123</v>
      </c>
      <c r="D164" s="10">
        <f>J163</f>
        <v/>
      </c>
      <c r="E164" s="4">
        <f>SUMIFS('01_異動主檔'!$F:$F,'01_異動主檔'!$B:$B,123,'01_異動主檔'!$D:$D,B164,'01_異動主檔'!$E:$E,"移入")</f>
        <v/>
      </c>
      <c r="F164" s="4">
        <f>-SUMIFS('01_異動主檔'!$F:$F,'01_異動主檔'!$B:$B,123,'01_異動主檔'!$D:$D,B164,'01_異動主檔'!$E:$E,"移出")</f>
        <v/>
      </c>
      <c r="G164" s="4">
        <f>SUMIFS('01_異動主檔'!$F:$F,'01_異動主檔'!$B:$B,123,'01_異動主檔'!$D:$D,B164,'01_異動主檔'!$E:$E,"新增")</f>
        <v/>
      </c>
      <c r="H164" s="4">
        <f>-SUMIFS('01_異動主檔'!$F:$F,'01_異動主檔'!$B:$B,123,'01_異動主檔'!$D:$D,B164,'01_異動主檔'!$E:$E,"減列")</f>
        <v/>
      </c>
      <c r="I164" s="4">
        <f>-SUMIFS('01_異動主檔'!$F:$F,'01_異動主檔'!$B:$B,123,'01_異動主檔'!$D:$D,B164,'01_異動主檔'!$E:$E,"精簡")</f>
        <v/>
      </c>
      <c r="J164" s="10">
        <f>D164+E164+F164+G164+H164+I164</f>
        <v/>
      </c>
    </row>
    <row r="165" ht="18" customHeight="1">
      <c r="A165" s="4" t="inlineStr">
        <is>
          <t>A006</t>
        </is>
      </c>
      <c r="B165" s="3" t="inlineStr">
        <is>
          <t>法制處</t>
        </is>
      </c>
      <c r="C165" s="4" t="n">
        <v>124</v>
      </c>
      <c r="D165" s="10">
        <f>J164</f>
        <v/>
      </c>
      <c r="E165" s="4">
        <f>SUMIFS('01_異動主檔'!$F:$F,'01_異動主檔'!$B:$B,124,'01_異動主檔'!$D:$D,B165,'01_異動主檔'!$E:$E,"移入")</f>
        <v/>
      </c>
      <c r="F165" s="4">
        <f>-SUMIFS('01_異動主檔'!$F:$F,'01_異動主檔'!$B:$B,124,'01_異動主檔'!$D:$D,B165,'01_異動主檔'!$E:$E,"移出")</f>
        <v/>
      </c>
      <c r="G165" s="4">
        <f>SUMIFS('01_異動主檔'!$F:$F,'01_異動主檔'!$B:$B,124,'01_異動主檔'!$D:$D,B165,'01_異動主檔'!$E:$E,"新增")</f>
        <v/>
      </c>
      <c r="H165" s="4">
        <f>-SUMIFS('01_異動主檔'!$F:$F,'01_異動主檔'!$B:$B,124,'01_異動主檔'!$D:$D,B165,'01_異動主檔'!$E:$E,"減列")</f>
        <v/>
      </c>
      <c r="I165" s="4">
        <f>-SUMIFS('01_異動主檔'!$F:$F,'01_異動主檔'!$B:$B,124,'01_異動主檔'!$D:$D,B165,'01_異動主檔'!$E:$E,"精簡")</f>
        <v/>
      </c>
      <c r="J165" s="10">
        <f>D165+E165+F165+G165+H165+I165</f>
        <v/>
      </c>
    </row>
    <row r="166" ht="18" customHeight="1">
      <c r="A166" s="6" t="inlineStr">
        <is>
          <t>A006</t>
        </is>
      </c>
      <c r="B166" s="5" t="inlineStr">
        <is>
          <t>法制處</t>
        </is>
      </c>
      <c r="C166" s="6" t="n">
        <v>125</v>
      </c>
      <c r="D166" s="10">
        <f>J165</f>
        <v/>
      </c>
      <c r="E166" s="4">
        <f>SUMIFS('01_異動主檔'!$F:$F,'01_異動主檔'!$B:$B,125,'01_異動主檔'!$D:$D,B166,'01_異動主檔'!$E:$E,"移入")</f>
        <v/>
      </c>
      <c r="F166" s="4">
        <f>-SUMIFS('01_異動主檔'!$F:$F,'01_異動主檔'!$B:$B,125,'01_異動主檔'!$D:$D,B166,'01_異動主檔'!$E:$E,"移出")</f>
        <v/>
      </c>
      <c r="G166" s="4">
        <f>SUMIFS('01_異動主檔'!$F:$F,'01_異動主檔'!$B:$B,125,'01_異動主檔'!$D:$D,B166,'01_異動主檔'!$E:$E,"新增")</f>
        <v/>
      </c>
      <c r="H166" s="4">
        <f>-SUMIFS('01_異動主檔'!$F:$F,'01_異動主檔'!$B:$B,125,'01_異動主檔'!$D:$D,B166,'01_異動主檔'!$E:$E,"減列")</f>
        <v/>
      </c>
      <c r="I166" s="4">
        <f>-SUMIFS('01_異動主檔'!$F:$F,'01_異動主檔'!$B:$B,125,'01_異動主檔'!$D:$D,B166,'01_異動主檔'!$E:$E,"精簡")</f>
        <v/>
      </c>
      <c r="J166" s="10">
        <f>D166+E166+F166+G166+H166+I166</f>
        <v/>
      </c>
    </row>
    <row r="167" ht="18" customHeight="1">
      <c r="A167" s="4" t="inlineStr">
        <is>
          <t>A007</t>
        </is>
      </c>
      <c r="B167" s="3" t="inlineStr">
        <is>
          <t>秘書處</t>
        </is>
      </c>
      <c r="C167" s="4" t="n">
        <v>99</v>
      </c>
      <c r="D167" s="10">
        <f>'02_年初員額設定'!C11</f>
        <v/>
      </c>
      <c r="E167" s="4">
        <f>SUMIFS('01_異動主檔'!$F:$F,'01_異動主檔'!$B:$B,99,'01_異動主檔'!$D:$D,B167,'01_異動主檔'!$E:$E,"移入")</f>
        <v/>
      </c>
      <c r="F167" s="4">
        <f>-SUMIFS('01_異動主檔'!$F:$F,'01_異動主檔'!$B:$B,99,'01_異動主檔'!$D:$D,B167,'01_異動主檔'!$E:$E,"移出")</f>
        <v/>
      </c>
      <c r="G167" s="4">
        <f>SUMIFS('01_異動主檔'!$F:$F,'01_異動主檔'!$B:$B,99,'01_異動主檔'!$D:$D,B167,'01_異動主檔'!$E:$E,"新增")</f>
        <v/>
      </c>
      <c r="H167" s="4">
        <f>-SUMIFS('01_異動主檔'!$F:$F,'01_異動主檔'!$B:$B,99,'01_異動主檔'!$D:$D,B167,'01_異動主檔'!$E:$E,"減列")</f>
        <v/>
      </c>
      <c r="I167" s="4">
        <f>-SUMIFS('01_異動主檔'!$F:$F,'01_異動主檔'!$B:$B,99,'01_異動主檔'!$D:$D,B167,'01_異動主檔'!$E:$E,"精簡")</f>
        <v/>
      </c>
      <c r="J167" s="10">
        <f>D167+E167+F167+G167+H167+I167</f>
        <v/>
      </c>
    </row>
    <row r="168" ht="18" customHeight="1">
      <c r="A168" s="6" t="inlineStr">
        <is>
          <t>A007</t>
        </is>
      </c>
      <c r="B168" s="5" t="inlineStr">
        <is>
          <t>秘書處</t>
        </is>
      </c>
      <c r="C168" s="6" t="n">
        <v>100</v>
      </c>
      <c r="D168" s="10">
        <f>J167</f>
        <v/>
      </c>
      <c r="E168" s="4">
        <f>SUMIFS('01_異動主檔'!$F:$F,'01_異動主檔'!$B:$B,100,'01_異動主檔'!$D:$D,B168,'01_異動主檔'!$E:$E,"移入")</f>
        <v/>
      </c>
      <c r="F168" s="4">
        <f>-SUMIFS('01_異動主檔'!$F:$F,'01_異動主檔'!$B:$B,100,'01_異動主檔'!$D:$D,B168,'01_異動主檔'!$E:$E,"移出")</f>
        <v/>
      </c>
      <c r="G168" s="4">
        <f>SUMIFS('01_異動主檔'!$F:$F,'01_異動主檔'!$B:$B,100,'01_異動主檔'!$D:$D,B168,'01_異動主檔'!$E:$E,"新增")</f>
        <v/>
      </c>
      <c r="H168" s="4">
        <f>-SUMIFS('01_異動主檔'!$F:$F,'01_異動主檔'!$B:$B,100,'01_異動主檔'!$D:$D,B168,'01_異動主檔'!$E:$E,"減列")</f>
        <v/>
      </c>
      <c r="I168" s="4">
        <f>-SUMIFS('01_異動主檔'!$F:$F,'01_異動主檔'!$B:$B,100,'01_異動主檔'!$D:$D,B168,'01_異動主檔'!$E:$E,"精簡")</f>
        <v/>
      </c>
      <c r="J168" s="10">
        <f>D168+E168+F168+G168+H168+I168</f>
        <v/>
      </c>
    </row>
    <row r="169" ht="18" customHeight="1">
      <c r="A169" s="4" t="inlineStr">
        <is>
          <t>A007</t>
        </is>
      </c>
      <c r="B169" s="3" t="inlineStr">
        <is>
          <t>秘書處</t>
        </is>
      </c>
      <c r="C169" s="4" t="n">
        <v>101</v>
      </c>
      <c r="D169" s="10">
        <f>J168</f>
        <v/>
      </c>
      <c r="E169" s="4">
        <f>SUMIFS('01_異動主檔'!$F:$F,'01_異動主檔'!$B:$B,101,'01_異動主檔'!$D:$D,B169,'01_異動主檔'!$E:$E,"移入")</f>
        <v/>
      </c>
      <c r="F169" s="4">
        <f>-SUMIFS('01_異動主檔'!$F:$F,'01_異動主檔'!$B:$B,101,'01_異動主檔'!$D:$D,B169,'01_異動主檔'!$E:$E,"移出")</f>
        <v/>
      </c>
      <c r="G169" s="4">
        <f>SUMIFS('01_異動主檔'!$F:$F,'01_異動主檔'!$B:$B,101,'01_異動主檔'!$D:$D,B169,'01_異動主檔'!$E:$E,"新增")</f>
        <v/>
      </c>
      <c r="H169" s="4">
        <f>-SUMIFS('01_異動主檔'!$F:$F,'01_異動主檔'!$B:$B,101,'01_異動主檔'!$D:$D,B169,'01_異動主檔'!$E:$E,"減列")</f>
        <v/>
      </c>
      <c r="I169" s="4">
        <f>-SUMIFS('01_異動主檔'!$F:$F,'01_異動主檔'!$B:$B,101,'01_異動主檔'!$D:$D,B169,'01_異動主檔'!$E:$E,"精簡")</f>
        <v/>
      </c>
      <c r="J169" s="10">
        <f>D169+E169+F169+G169+H169+I169</f>
        <v/>
      </c>
    </row>
    <row r="170" ht="18" customHeight="1">
      <c r="A170" s="6" t="inlineStr">
        <is>
          <t>A007</t>
        </is>
      </c>
      <c r="B170" s="5" t="inlineStr">
        <is>
          <t>秘書處</t>
        </is>
      </c>
      <c r="C170" s="6" t="n">
        <v>102</v>
      </c>
      <c r="D170" s="10">
        <f>J169</f>
        <v/>
      </c>
      <c r="E170" s="4">
        <f>SUMIFS('01_異動主檔'!$F:$F,'01_異動主檔'!$B:$B,102,'01_異動主檔'!$D:$D,B170,'01_異動主檔'!$E:$E,"移入")</f>
        <v/>
      </c>
      <c r="F170" s="4">
        <f>-SUMIFS('01_異動主檔'!$F:$F,'01_異動主檔'!$B:$B,102,'01_異動主檔'!$D:$D,B170,'01_異動主檔'!$E:$E,"移出")</f>
        <v/>
      </c>
      <c r="G170" s="4">
        <f>SUMIFS('01_異動主檔'!$F:$F,'01_異動主檔'!$B:$B,102,'01_異動主檔'!$D:$D,B170,'01_異動主檔'!$E:$E,"新增")</f>
        <v/>
      </c>
      <c r="H170" s="4">
        <f>-SUMIFS('01_異動主檔'!$F:$F,'01_異動主檔'!$B:$B,102,'01_異動主檔'!$D:$D,B170,'01_異動主檔'!$E:$E,"減列")</f>
        <v/>
      </c>
      <c r="I170" s="4">
        <f>-SUMIFS('01_異動主檔'!$F:$F,'01_異動主檔'!$B:$B,102,'01_異動主檔'!$D:$D,B170,'01_異動主檔'!$E:$E,"精簡")</f>
        <v/>
      </c>
      <c r="J170" s="10">
        <f>D170+E170+F170+G170+H170+I170</f>
        <v/>
      </c>
    </row>
    <row r="171" ht="18" customHeight="1">
      <c r="A171" s="4" t="inlineStr">
        <is>
          <t>A007</t>
        </is>
      </c>
      <c r="B171" s="3" t="inlineStr">
        <is>
          <t>秘書處</t>
        </is>
      </c>
      <c r="C171" s="4" t="n">
        <v>103</v>
      </c>
      <c r="D171" s="10">
        <f>J170</f>
        <v/>
      </c>
      <c r="E171" s="4">
        <f>SUMIFS('01_異動主檔'!$F:$F,'01_異動主檔'!$B:$B,103,'01_異動主檔'!$D:$D,B171,'01_異動主檔'!$E:$E,"移入")</f>
        <v/>
      </c>
      <c r="F171" s="4">
        <f>-SUMIFS('01_異動主檔'!$F:$F,'01_異動主檔'!$B:$B,103,'01_異動主檔'!$D:$D,B171,'01_異動主檔'!$E:$E,"移出")</f>
        <v/>
      </c>
      <c r="G171" s="4">
        <f>SUMIFS('01_異動主檔'!$F:$F,'01_異動主檔'!$B:$B,103,'01_異動主檔'!$D:$D,B171,'01_異動主檔'!$E:$E,"新增")</f>
        <v/>
      </c>
      <c r="H171" s="4">
        <f>-SUMIFS('01_異動主檔'!$F:$F,'01_異動主檔'!$B:$B,103,'01_異動主檔'!$D:$D,B171,'01_異動主檔'!$E:$E,"減列")</f>
        <v/>
      </c>
      <c r="I171" s="4">
        <f>-SUMIFS('01_異動主檔'!$F:$F,'01_異動主檔'!$B:$B,103,'01_異動主檔'!$D:$D,B171,'01_異動主檔'!$E:$E,"精簡")</f>
        <v/>
      </c>
      <c r="J171" s="10">
        <f>D171+E171+F171+G171+H171+I171</f>
        <v/>
      </c>
    </row>
    <row r="172" ht="18" customHeight="1">
      <c r="A172" s="6" t="inlineStr">
        <is>
          <t>A007</t>
        </is>
      </c>
      <c r="B172" s="5" t="inlineStr">
        <is>
          <t>秘書處</t>
        </is>
      </c>
      <c r="C172" s="6" t="n">
        <v>104</v>
      </c>
      <c r="D172" s="10">
        <f>J171</f>
        <v/>
      </c>
      <c r="E172" s="4">
        <f>SUMIFS('01_異動主檔'!$F:$F,'01_異動主檔'!$B:$B,104,'01_異動主檔'!$D:$D,B172,'01_異動主檔'!$E:$E,"移入")</f>
        <v/>
      </c>
      <c r="F172" s="4">
        <f>-SUMIFS('01_異動主檔'!$F:$F,'01_異動主檔'!$B:$B,104,'01_異動主檔'!$D:$D,B172,'01_異動主檔'!$E:$E,"移出")</f>
        <v/>
      </c>
      <c r="G172" s="4">
        <f>SUMIFS('01_異動主檔'!$F:$F,'01_異動主檔'!$B:$B,104,'01_異動主檔'!$D:$D,B172,'01_異動主檔'!$E:$E,"新增")</f>
        <v/>
      </c>
      <c r="H172" s="4">
        <f>-SUMIFS('01_異動主檔'!$F:$F,'01_異動主檔'!$B:$B,104,'01_異動主檔'!$D:$D,B172,'01_異動主檔'!$E:$E,"減列")</f>
        <v/>
      </c>
      <c r="I172" s="4">
        <f>-SUMIFS('01_異動主檔'!$F:$F,'01_異動主檔'!$B:$B,104,'01_異動主檔'!$D:$D,B172,'01_異動主檔'!$E:$E,"精簡")</f>
        <v/>
      </c>
      <c r="J172" s="10">
        <f>D172+E172+F172+G172+H172+I172</f>
        <v/>
      </c>
    </row>
    <row r="173" ht="18" customHeight="1">
      <c r="A173" s="4" t="inlineStr">
        <is>
          <t>A007</t>
        </is>
      </c>
      <c r="B173" s="3" t="inlineStr">
        <is>
          <t>秘書處</t>
        </is>
      </c>
      <c r="C173" s="4" t="n">
        <v>105</v>
      </c>
      <c r="D173" s="10">
        <f>J172</f>
        <v/>
      </c>
      <c r="E173" s="4">
        <f>SUMIFS('01_異動主檔'!$F:$F,'01_異動主檔'!$B:$B,105,'01_異動主檔'!$D:$D,B173,'01_異動主檔'!$E:$E,"移入")</f>
        <v/>
      </c>
      <c r="F173" s="4">
        <f>-SUMIFS('01_異動主檔'!$F:$F,'01_異動主檔'!$B:$B,105,'01_異動主檔'!$D:$D,B173,'01_異動主檔'!$E:$E,"移出")</f>
        <v/>
      </c>
      <c r="G173" s="4">
        <f>SUMIFS('01_異動主檔'!$F:$F,'01_異動主檔'!$B:$B,105,'01_異動主檔'!$D:$D,B173,'01_異動主檔'!$E:$E,"新增")</f>
        <v/>
      </c>
      <c r="H173" s="4">
        <f>-SUMIFS('01_異動主檔'!$F:$F,'01_異動主檔'!$B:$B,105,'01_異動主檔'!$D:$D,B173,'01_異動主檔'!$E:$E,"減列")</f>
        <v/>
      </c>
      <c r="I173" s="4">
        <f>-SUMIFS('01_異動主檔'!$F:$F,'01_異動主檔'!$B:$B,105,'01_異動主檔'!$D:$D,B173,'01_異動主檔'!$E:$E,"精簡")</f>
        <v/>
      </c>
      <c r="J173" s="10">
        <f>D173+E173+F173+G173+H173+I173</f>
        <v/>
      </c>
    </row>
    <row r="174" ht="18" customHeight="1">
      <c r="A174" s="6" t="inlineStr">
        <is>
          <t>A007</t>
        </is>
      </c>
      <c r="B174" s="5" t="inlineStr">
        <is>
          <t>秘書處</t>
        </is>
      </c>
      <c r="C174" s="6" t="n">
        <v>106</v>
      </c>
      <c r="D174" s="10">
        <f>J173</f>
        <v/>
      </c>
      <c r="E174" s="4">
        <f>SUMIFS('01_異動主檔'!$F:$F,'01_異動主檔'!$B:$B,106,'01_異動主檔'!$D:$D,B174,'01_異動主檔'!$E:$E,"移入")</f>
        <v/>
      </c>
      <c r="F174" s="4">
        <f>-SUMIFS('01_異動主檔'!$F:$F,'01_異動主檔'!$B:$B,106,'01_異動主檔'!$D:$D,B174,'01_異動主檔'!$E:$E,"移出")</f>
        <v/>
      </c>
      <c r="G174" s="4">
        <f>SUMIFS('01_異動主檔'!$F:$F,'01_異動主檔'!$B:$B,106,'01_異動主檔'!$D:$D,B174,'01_異動主檔'!$E:$E,"新增")</f>
        <v/>
      </c>
      <c r="H174" s="4">
        <f>-SUMIFS('01_異動主檔'!$F:$F,'01_異動主檔'!$B:$B,106,'01_異動主檔'!$D:$D,B174,'01_異動主檔'!$E:$E,"減列")</f>
        <v/>
      </c>
      <c r="I174" s="4">
        <f>-SUMIFS('01_異動主檔'!$F:$F,'01_異動主檔'!$B:$B,106,'01_異動主檔'!$D:$D,B174,'01_異動主檔'!$E:$E,"精簡")</f>
        <v/>
      </c>
      <c r="J174" s="10">
        <f>D174+E174+F174+G174+H174+I174</f>
        <v/>
      </c>
    </row>
    <row r="175" ht="18" customHeight="1">
      <c r="A175" s="4" t="inlineStr">
        <is>
          <t>A007</t>
        </is>
      </c>
      <c r="B175" s="3" t="inlineStr">
        <is>
          <t>秘書處</t>
        </is>
      </c>
      <c r="C175" s="4" t="n">
        <v>107</v>
      </c>
      <c r="D175" s="10">
        <f>J174</f>
        <v/>
      </c>
      <c r="E175" s="4">
        <f>SUMIFS('01_異動主檔'!$F:$F,'01_異動主檔'!$B:$B,107,'01_異動主檔'!$D:$D,B175,'01_異動主檔'!$E:$E,"移入")</f>
        <v/>
      </c>
      <c r="F175" s="4">
        <f>-SUMIFS('01_異動主檔'!$F:$F,'01_異動主檔'!$B:$B,107,'01_異動主檔'!$D:$D,B175,'01_異動主檔'!$E:$E,"移出")</f>
        <v/>
      </c>
      <c r="G175" s="4">
        <f>SUMIFS('01_異動主檔'!$F:$F,'01_異動主檔'!$B:$B,107,'01_異動主檔'!$D:$D,B175,'01_異動主檔'!$E:$E,"新增")</f>
        <v/>
      </c>
      <c r="H175" s="4">
        <f>-SUMIFS('01_異動主檔'!$F:$F,'01_異動主檔'!$B:$B,107,'01_異動主檔'!$D:$D,B175,'01_異動主檔'!$E:$E,"減列")</f>
        <v/>
      </c>
      <c r="I175" s="4">
        <f>-SUMIFS('01_異動主檔'!$F:$F,'01_異動主檔'!$B:$B,107,'01_異動主檔'!$D:$D,B175,'01_異動主檔'!$E:$E,"精簡")</f>
        <v/>
      </c>
      <c r="J175" s="10">
        <f>D175+E175+F175+G175+H175+I175</f>
        <v/>
      </c>
    </row>
    <row r="176" ht="18" customHeight="1">
      <c r="A176" s="6" t="inlineStr">
        <is>
          <t>A007</t>
        </is>
      </c>
      <c r="B176" s="5" t="inlineStr">
        <is>
          <t>秘書處</t>
        </is>
      </c>
      <c r="C176" s="6" t="n">
        <v>108</v>
      </c>
      <c r="D176" s="10">
        <f>J175</f>
        <v/>
      </c>
      <c r="E176" s="4">
        <f>SUMIFS('01_異動主檔'!$F:$F,'01_異動主檔'!$B:$B,108,'01_異動主檔'!$D:$D,B176,'01_異動主檔'!$E:$E,"移入")</f>
        <v/>
      </c>
      <c r="F176" s="4">
        <f>-SUMIFS('01_異動主檔'!$F:$F,'01_異動主檔'!$B:$B,108,'01_異動主檔'!$D:$D,B176,'01_異動主檔'!$E:$E,"移出")</f>
        <v/>
      </c>
      <c r="G176" s="4">
        <f>SUMIFS('01_異動主檔'!$F:$F,'01_異動主檔'!$B:$B,108,'01_異動主檔'!$D:$D,B176,'01_異動主檔'!$E:$E,"新增")</f>
        <v/>
      </c>
      <c r="H176" s="4">
        <f>-SUMIFS('01_異動主檔'!$F:$F,'01_異動主檔'!$B:$B,108,'01_異動主檔'!$D:$D,B176,'01_異動主檔'!$E:$E,"減列")</f>
        <v/>
      </c>
      <c r="I176" s="4">
        <f>-SUMIFS('01_異動主檔'!$F:$F,'01_異動主檔'!$B:$B,108,'01_異動主檔'!$D:$D,B176,'01_異動主檔'!$E:$E,"精簡")</f>
        <v/>
      </c>
      <c r="J176" s="10">
        <f>D176+E176+F176+G176+H176+I176</f>
        <v/>
      </c>
    </row>
    <row r="177" ht="18" customHeight="1">
      <c r="A177" s="4" t="inlineStr">
        <is>
          <t>A007</t>
        </is>
      </c>
      <c r="B177" s="3" t="inlineStr">
        <is>
          <t>秘書處</t>
        </is>
      </c>
      <c r="C177" s="4" t="n">
        <v>109</v>
      </c>
      <c r="D177" s="10">
        <f>J176</f>
        <v/>
      </c>
      <c r="E177" s="4">
        <f>SUMIFS('01_異動主檔'!$F:$F,'01_異動主檔'!$B:$B,109,'01_異動主檔'!$D:$D,B177,'01_異動主檔'!$E:$E,"移入")</f>
        <v/>
      </c>
      <c r="F177" s="4">
        <f>-SUMIFS('01_異動主檔'!$F:$F,'01_異動主檔'!$B:$B,109,'01_異動主檔'!$D:$D,B177,'01_異動主檔'!$E:$E,"移出")</f>
        <v/>
      </c>
      <c r="G177" s="4">
        <f>SUMIFS('01_異動主檔'!$F:$F,'01_異動主檔'!$B:$B,109,'01_異動主檔'!$D:$D,B177,'01_異動主檔'!$E:$E,"新增")</f>
        <v/>
      </c>
      <c r="H177" s="4">
        <f>-SUMIFS('01_異動主檔'!$F:$F,'01_異動主檔'!$B:$B,109,'01_異動主檔'!$D:$D,B177,'01_異動主檔'!$E:$E,"減列")</f>
        <v/>
      </c>
      <c r="I177" s="4">
        <f>-SUMIFS('01_異動主檔'!$F:$F,'01_異動主檔'!$B:$B,109,'01_異動主檔'!$D:$D,B177,'01_異動主檔'!$E:$E,"精簡")</f>
        <v/>
      </c>
      <c r="J177" s="10">
        <f>D177+E177+F177+G177+H177+I177</f>
        <v/>
      </c>
    </row>
    <row r="178" ht="18" customHeight="1">
      <c r="A178" s="6" t="inlineStr">
        <is>
          <t>A007</t>
        </is>
      </c>
      <c r="B178" s="5" t="inlineStr">
        <is>
          <t>秘書處</t>
        </is>
      </c>
      <c r="C178" s="6" t="n">
        <v>110</v>
      </c>
      <c r="D178" s="10">
        <f>J177</f>
        <v/>
      </c>
      <c r="E178" s="4">
        <f>SUMIFS('01_異動主檔'!$F:$F,'01_異動主檔'!$B:$B,110,'01_異動主檔'!$D:$D,B178,'01_異動主檔'!$E:$E,"移入")</f>
        <v/>
      </c>
      <c r="F178" s="4">
        <f>-SUMIFS('01_異動主檔'!$F:$F,'01_異動主檔'!$B:$B,110,'01_異動主檔'!$D:$D,B178,'01_異動主檔'!$E:$E,"移出")</f>
        <v/>
      </c>
      <c r="G178" s="4">
        <f>SUMIFS('01_異動主檔'!$F:$F,'01_異動主檔'!$B:$B,110,'01_異動主檔'!$D:$D,B178,'01_異動主檔'!$E:$E,"新增")</f>
        <v/>
      </c>
      <c r="H178" s="4">
        <f>-SUMIFS('01_異動主檔'!$F:$F,'01_異動主檔'!$B:$B,110,'01_異動主檔'!$D:$D,B178,'01_異動主檔'!$E:$E,"減列")</f>
        <v/>
      </c>
      <c r="I178" s="4">
        <f>-SUMIFS('01_異動主檔'!$F:$F,'01_異動主檔'!$B:$B,110,'01_異動主檔'!$D:$D,B178,'01_異動主檔'!$E:$E,"精簡")</f>
        <v/>
      </c>
      <c r="J178" s="10">
        <f>D178+E178+F178+G178+H178+I178</f>
        <v/>
      </c>
    </row>
    <row r="179" ht="18" customHeight="1">
      <c r="A179" s="4" t="inlineStr">
        <is>
          <t>A007</t>
        </is>
      </c>
      <c r="B179" s="3" t="inlineStr">
        <is>
          <t>秘書處</t>
        </is>
      </c>
      <c r="C179" s="4" t="n">
        <v>111</v>
      </c>
      <c r="D179" s="10">
        <f>J178</f>
        <v/>
      </c>
      <c r="E179" s="4">
        <f>SUMIFS('01_異動主檔'!$F:$F,'01_異動主檔'!$B:$B,111,'01_異動主檔'!$D:$D,B179,'01_異動主檔'!$E:$E,"移入")</f>
        <v/>
      </c>
      <c r="F179" s="4">
        <f>-SUMIFS('01_異動主檔'!$F:$F,'01_異動主檔'!$B:$B,111,'01_異動主檔'!$D:$D,B179,'01_異動主檔'!$E:$E,"移出")</f>
        <v/>
      </c>
      <c r="G179" s="4">
        <f>SUMIFS('01_異動主檔'!$F:$F,'01_異動主檔'!$B:$B,111,'01_異動主檔'!$D:$D,B179,'01_異動主檔'!$E:$E,"新增")</f>
        <v/>
      </c>
      <c r="H179" s="4">
        <f>-SUMIFS('01_異動主檔'!$F:$F,'01_異動主檔'!$B:$B,111,'01_異動主檔'!$D:$D,B179,'01_異動主檔'!$E:$E,"減列")</f>
        <v/>
      </c>
      <c r="I179" s="4">
        <f>-SUMIFS('01_異動主檔'!$F:$F,'01_異動主檔'!$B:$B,111,'01_異動主檔'!$D:$D,B179,'01_異動主檔'!$E:$E,"精簡")</f>
        <v/>
      </c>
      <c r="J179" s="10">
        <f>D179+E179+F179+G179+H179+I179</f>
        <v/>
      </c>
    </row>
    <row r="180" ht="18" customHeight="1">
      <c r="A180" s="6" t="inlineStr">
        <is>
          <t>A007</t>
        </is>
      </c>
      <c r="B180" s="5" t="inlineStr">
        <is>
          <t>秘書處</t>
        </is>
      </c>
      <c r="C180" s="6" t="n">
        <v>112</v>
      </c>
      <c r="D180" s="10">
        <f>J179</f>
        <v/>
      </c>
      <c r="E180" s="4">
        <f>SUMIFS('01_異動主檔'!$F:$F,'01_異動主檔'!$B:$B,112,'01_異動主檔'!$D:$D,B180,'01_異動主檔'!$E:$E,"移入")</f>
        <v/>
      </c>
      <c r="F180" s="4">
        <f>-SUMIFS('01_異動主檔'!$F:$F,'01_異動主檔'!$B:$B,112,'01_異動主檔'!$D:$D,B180,'01_異動主檔'!$E:$E,"移出")</f>
        <v/>
      </c>
      <c r="G180" s="4">
        <f>SUMIFS('01_異動主檔'!$F:$F,'01_異動主檔'!$B:$B,112,'01_異動主檔'!$D:$D,B180,'01_異動主檔'!$E:$E,"新增")</f>
        <v/>
      </c>
      <c r="H180" s="4">
        <f>-SUMIFS('01_異動主檔'!$F:$F,'01_異動主檔'!$B:$B,112,'01_異動主檔'!$D:$D,B180,'01_異動主檔'!$E:$E,"減列")</f>
        <v/>
      </c>
      <c r="I180" s="4">
        <f>-SUMIFS('01_異動主檔'!$F:$F,'01_異動主檔'!$B:$B,112,'01_異動主檔'!$D:$D,B180,'01_異動主檔'!$E:$E,"精簡")</f>
        <v/>
      </c>
      <c r="J180" s="10">
        <f>D180+E180+F180+G180+H180+I180</f>
        <v/>
      </c>
    </row>
    <row r="181" ht="18" customHeight="1">
      <c r="A181" s="4" t="inlineStr">
        <is>
          <t>A007</t>
        </is>
      </c>
      <c r="B181" s="3" t="inlineStr">
        <is>
          <t>秘書處</t>
        </is>
      </c>
      <c r="C181" s="4" t="n">
        <v>113</v>
      </c>
      <c r="D181" s="10">
        <f>J180</f>
        <v/>
      </c>
      <c r="E181" s="4">
        <f>SUMIFS('01_異動主檔'!$F:$F,'01_異動主檔'!$B:$B,113,'01_異動主檔'!$D:$D,B181,'01_異動主檔'!$E:$E,"移入")</f>
        <v/>
      </c>
      <c r="F181" s="4">
        <f>-SUMIFS('01_異動主檔'!$F:$F,'01_異動主檔'!$B:$B,113,'01_異動主檔'!$D:$D,B181,'01_異動主檔'!$E:$E,"移出")</f>
        <v/>
      </c>
      <c r="G181" s="4">
        <f>SUMIFS('01_異動主檔'!$F:$F,'01_異動主檔'!$B:$B,113,'01_異動主檔'!$D:$D,B181,'01_異動主檔'!$E:$E,"新增")</f>
        <v/>
      </c>
      <c r="H181" s="4">
        <f>-SUMIFS('01_異動主檔'!$F:$F,'01_異動主檔'!$B:$B,113,'01_異動主檔'!$D:$D,B181,'01_異動主檔'!$E:$E,"減列")</f>
        <v/>
      </c>
      <c r="I181" s="4">
        <f>-SUMIFS('01_異動主檔'!$F:$F,'01_異動主檔'!$B:$B,113,'01_異動主檔'!$D:$D,B181,'01_異動主檔'!$E:$E,"精簡")</f>
        <v/>
      </c>
      <c r="J181" s="10">
        <f>D181+E181+F181+G181+H181+I181</f>
        <v/>
      </c>
    </row>
    <row r="182" ht="18" customHeight="1">
      <c r="A182" s="6" t="inlineStr">
        <is>
          <t>A007</t>
        </is>
      </c>
      <c r="B182" s="5" t="inlineStr">
        <is>
          <t>秘書處</t>
        </is>
      </c>
      <c r="C182" s="6" t="n">
        <v>114</v>
      </c>
      <c r="D182" s="10">
        <f>J181</f>
        <v/>
      </c>
      <c r="E182" s="4">
        <f>SUMIFS('01_異動主檔'!$F:$F,'01_異動主檔'!$B:$B,114,'01_異動主檔'!$D:$D,B182,'01_異動主檔'!$E:$E,"移入")</f>
        <v/>
      </c>
      <c r="F182" s="4">
        <f>-SUMIFS('01_異動主檔'!$F:$F,'01_異動主檔'!$B:$B,114,'01_異動主檔'!$D:$D,B182,'01_異動主檔'!$E:$E,"移出")</f>
        <v/>
      </c>
      <c r="G182" s="4">
        <f>SUMIFS('01_異動主檔'!$F:$F,'01_異動主檔'!$B:$B,114,'01_異動主檔'!$D:$D,B182,'01_異動主檔'!$E:$E,"新增")</f>
        <v/>
      </c>
      <c r="H182" s="4">
        <f>-SUMIFS('01_異動主檔'!$F:$F,'01_異動主檔'!$B:$B,114,'01_異動主檔'!$D:$D,B182,'01_異動主檔'!$E:$E,"減列")</f>
        <v/>
      </c>
      <c r="I182" s="4">
        <f>-SUMIFS('01_異動主檔'!$F:$F,'01_異動主檔'!$B:$B,114,'01_異動主檔'!$D:$D,B182,'01_異動主檔'!$E:$E,"精簡")</f>
        <v/>
      </c>
      <c r="J182" s="10">
        <f>D182+E182+F182+G182+H182+I182</f>
        <v/>
      </c>
    </row>
    <row r="183" ht="18" customHeight="1">
      <c r="A183" s="4" t="inlineStr">
        <is>
          <t>A007</t>
        </is>
      </c>
      <c r="B183" s="3" t="inlineStr">
        <is>
          <t>秘書處</t>
        </is>
      </c>
      <c r="C183" s="4" t="n">
        <v>115</v>
      </c>
      <c r="D183" s="10">
        <f>J182</f>
        <v/>
      </c>
      <c r="E183" s="4">
        <f>SUMIFS('01_異動主檔'!$F:$F,'01_異動主檔'!$B:$B,115,'01_異動主檔'!$D:$D,B183,'01_異動主檔'!$E:$E,"移入")</f>
        <v/>
      </c>
      <c r="F183" s="4">
        <f>-SUMIFS('01_異動主檔'!$F:$F,'01_異動主檔'!$B:$B,115,'01_異動主檔'!$D:$D,B183,'01_異動主檔'!$E:$E,"移出")</f>
        <v/>
      </c>
      <c r="G183" s="4">
        <f>SUMIFS('01_異動主檔'!$F:$F,'01_異動主檔'!$B:$B,115,'01_異動主檔'!$D:$D,B183,'01_異動主檔'!$E:$E,"新增")</f>
        <v/>
      </c>
      <c r="H183" s="4">
        <f>-SUMIFS('01_異動主檔'!$F:$F,'01_異動主檔'!$B:$B,115,'01_異動主檔'!$D:$D,B183,'01_異動主檔'!$E:$E,"減列")</f>
        <v/>
      </c>
      <c r="I183" s="4">
        <f>-SUMIFS('01_異動主檔'!$F:$F,'01_異動主檔'!$B:$B,115,'01_異動主檔'!$D:$D,B183,'01_異動主檔'!$E:$E,"精簡")</f>
        <v/>
      </c>
      <c r="J183" s="10">
        <f>D183+E183+F183+G183+H183+I183</f>
        <v/>
      </c>
    </row>
    <row r="184" ht="18" customHeight="1">
      <c r="A184" s="6" t="inlineStr">
        <is>
          <t>A007</t>
        </is>
      </c>
      <c r="B184" s="5" t="inlineStr">
        <is>
          <t>秘書處</t>
        </is>
      </c>
      <c r="C184" s="6" t="n">
        <v>116</v>
      </c>
      <c r="D184" s="10">
        <f>J183</f>
        <v/>
      </c>
      <c r="E184" s="4">
        <f>SUMIFS('01_異動主檔'!$F:$F,'01_異動主檔'!$B:$B,116,'01_異動主檔'!$D:$D,B184,'01_異動主檔'!$E:$E,"移入")</f>
        <v/>
      </c>
      <c r="F184" s="4">
        <f>-SUMIFS('01_異動主檔'!$F:$F,'01_異動主檔'!$B:$B,116,'01_異動主檔'!$D:$D,B184,'01_異動主檔'!$E:$E,"移出")</f>
        <v/>
      </c>
      <c r="G184" s="4">
        <f>SUMIFS('01_異動主檔'!$F:$F,'01_異動主檔'!$B:$B,116,'01_異動主檔'!$D:$D,B184,'01_異動主檔'!$E:$E,"新增")</f>
        <v/>
      </c>
      <c r="H184" s="4">
        <f>-SUMIFS('01_異動主檔'!$F:$F,'01_異動主檔'!$B:$B,116,'01_異動主檔'!$D:$D,B184,'01_異動主檔'!$E:$E,"減列")</f>
        <v/>
      </c>
      <c r="I184" s="4">
        <f>-SUMIFS('01_異動主檔'!$F:$F,'01_異動主檔'!$B:$B,116,'01_異動主檔'!$D:$D,B184,'01_異動主檔'!$E:$E,"精簡")</f>
        <v/>
      </c>
      <c r="J184" s="10">
        <f>D184+E184+F184+G184+H184+I184</f>
        <v/>
      </c>
    </row>
    <row r="185" ht="18" customHeight="1">
      <c r="A185" s="4" t="inlineStr">
        <is>
          <t>A007</t>
        </is>
      </c>
      <c r="B185" s="3" t="inlineStr">
        <is>
          <t>秘書處</t>
        </is>
      </c>
      <c r="C185" s="4" t="n">
        <v>117</v>
      </c>
      <c r="D185" s="10">
        <f>J184</f>
        <v/>
      </c>
      <c r="E185" s="4">
        <f>SUMIFS('01_異動主檔'!$F:$F,'01_異動主檔'!$B:$B,117,'01_異動主檔'!$D:$D,B185,'01_異動主檔'!$E:$E,"移入")</f>
        <v/>
      </c>
      <c r="F185" s="4">
        <f>-SUMIFS('01_異動主檔'!$F:$F,'01_異動主檔'!$B:$B,117,'01_異動主檔'!$D:$D,B185,'01_異動主檔'!$E:$E,"移出")</f>
        <v/>
      </c>
      <c r="G185" s="4">
        <f>SUMIFS('01_異動主檔'!$F:$F,'01_異動主檔'!$B:$B,117,'01_異動主檔'!$D:$D,B185,'01_異動主檔'!$E:$E,"新增")</f>
        <v/>
      </c>
      <c r="H185" s="4">
        <f>-SUMIFS('01_異動主檔'!$F:$F,'01_異動主檔'!$B:$B,117,'01_異動主檔'!$D:$D,B185,'01_異動主檔'!$E:$E,"減列")</f>
        <v/>
      </c>
      <c r="I185" s="4">
        <f>-SUMIFS('01_異動主檔'!$F:$F,'01_異動主檔'!$B:$B,117,'01_異動主檔'!$D:$D,B185,'01_異動主檔'!$E:$E,"精簡")</f>
        <v/>
      </c>
      <c r="J185" s="10">
        <f>D185+E185+F185+G185+H185+I185</f>
        <v/>
      </c>
    </row>
    <row r="186" ht="18" customHeight="1">
      <c r="A186" s="6" t="inlineStr">
        <is>
          <t>A007</t>
        </is>
      </c>
      <c r="B186" s="5" t="inlineStr">
        <is>
          <t>秘書處</t>
        </is>
      </c>
      <c r="C186" s="6" t="n">
        <v>118</v>
      </c>
      <c r="D186" s="10">
        <f>J185</f>
        <v/>
      </c>
      <c r="E186" s="4">
        <f>SUMIFS('01_異動主檔'!$F:$F,'01_異動主檔'!$B:$B,118,'01_異動主檔'!$D:$D,B186,'01_異動主檔'!$E:$E,"移入")</f>
        <v/>
      </c>
      <c r="F186" s="4">
        <f>-SUMIFS('01_異動主檔'!$F:$F,'01_異動主檔'!$B:$B,118,'01_異動主檔'!$D:$D,B186,'01_異動主檔'!$E:$E,"移出")</f>
        <v/>
      </c>
      <c r="G186" s="4">
        <f>SUMIFS('01_異動主檔'!$F:$F,'01_異動主檔'!$B:$B,118,'01_異動主檔'!$D:$D,B186,'01_異動主檔'!$E:$E,"新增")</f>
        <v/>
      </c>
      <c r="H186" s="4">
        <f>-SUMIFS('01_異動主檔'!$F:$F,'01_異動主檔'!$B:$B,118,'01_異動主檔'!$D:$D,B186,'01_異動主檔'!$E:$E,"減列")</f>
        <v/>
      </c>
      <c r="I186" s="4">
        <f>-SUMIFS('01_異動主檔'!$F:$F,'01_異動主檔'!$B:$B,118,'01_異動主檔'!$D:$D,B186,'01_異動主檔'!$E:$E,"精簡")</f>
        <v/>
      </c>
      <c r="J186" s="10">
        <f>D186+E186+F186+G186+H186+I186</f>
        <v/>
      </c>
    </row>
    <row r="187" ht="18" customHeight="1">
      <c r="A187" s="4" t="inlineStr">
        <is>
          <t>A007</t>
        </is>
      </c>
      <c r="B187" s="3" t="inlineStr">
        <is>
          <t>秘書處</t>
        </is>
      </c>
      <c r="C187" s="4" t="n">
        <v>119</v>
      </c>
      <c r="D187" s="10">
        <f>J186</f>
        <v/>
      </c>
      <c r="E187" s="4">
        <f>SUMIFS('01_異動主檔'!$F:$F,'01_異動主檔'!$B:$B,119,'01_異動主檔'!$D:$D,B187,'01_異動主檔'!$E:$E,"移入")</f>
        <v/>
      </c>
      <c r="F187" s="4">
        <f>-SUMIFS('01_異動主檔'!$F:$F,'01_異動主檔'!$B:$B,119,'01_異動主檔'!$D:$D,B187,'01_異動主檔'!$E:$E,"移出")</f>
        <v/>
      </c>
      <c r="G187" s="4">
        <f>SUMIFS('01_異動主檔'!$F:$F,'01_異動主檔'!$B:$B,119,'01_異動主檔'!$D:$D,B187,'01_異動主檔'!$E:$E,"新增")</f>
        <v/>
      </c>
      <c r="H187" s="4">
        <f>-SUMIFS('01_異動主檔'!$F:$F,'01_異動主檔'!$B:$B,119,'01_異動主檔'!$D:$D,B187,'01_異動主檔'!$E:$E,"減列")</f>
        <v/>
      </c>
      <c r="I187" s="4">
        <f>-SUMIFS('01_異動主檔'!$F:$F,'01_異動主檔'!$B:$B,119,'01_異動主檔'!$D:$D,B187,'01_異動主檔'!$E:$E,"精簡")</f>
        <v/>
      </c>
      <c r="J187" s="10">
        <f>D187+E187+F187+G187+H187+I187</f>
        <v/>
      </c>
    </row>
    <row r="188" ht="18" customHeight="1">
      <c r="A188" s="6" t="inlineStr">
        <is>
          <t>A007</t>
        </is>
      </c>
      <c r="B188" s="5" t="inlineStr">
        <is>
          <t>秘書處</t>
        </is>
      </c>
      <c r="C188" s="6" t="n">
        <v>120</v>
      </c>
      <c r="D188" s="10">
        <f>J187</f>
        <v/>
      </c>
      <c r="E188" s="4">
        <f>SUMIFS('01_異動主檔'!$F:$F,'01_異動主檔'!$B:$B,120,'01_異動主檔'!$D:$D,B188,'01_異動主檔'!$E:$E,"移入")</f>
        <v/>
      </c>
      <c r="F188" s="4">
        <f>-SUMIFS('01_異動主檔'!$F:$F,'01_異動主檔'!$B:$B,120,'01_異動主檔'!$D:$D,B188,'01_異動主檔'!$E:$E,"移出")</f>
        <v/>
      </c>
      <c r="G188" s="4">
        <f>SUMIFS('01_異動主檔'!$F:$F,'01_異動主檔'!$B:$B,120,'01_異動主檔'!$D:$D,B188,'01_異動主檔'!$E:$E,"新增")</f>
        <v/>
      </c>
      <c r="H188" s="4">
        <f>-SUMIFS('01_異動主檔'!$F:$F,'01_異動主檔'!$B:$B,120,'01_異動主檔'!$D:$D,B188,'01_異動主檔'!$E:$E,"減列")</f>
        <v/>
      </c>
      <c r="I188" s="4">
        <f>-SUMIFS('01_異動主檔'!$F:$F,'01_異動主檔'!$B:$B,120,'01_異動主檔'!$D:$D,B188,'01_異動主檔'!$E:$E,"精簡")</f>
        <v/>
      </c>
      <c r="J188" s="10">
        <f>D188+E188+F188+G188+H188+I188</f>
        <v/>
      </c>
    </row>
    <row r="189" ht="18" customHeight="1">
      <c r="A189" s="4" t="inlineStr">
        <is>
          <t>A007</t>
        </is>
      </c>
      <c r="B189" s="3" t="inlineStr">
        <is>
          <t>秘書處</t>
        </is>
      </c>
      <c r="C189" s="4" t="n">
        <v>121</v>
      </c>
      <c r="D189" s="10">
        <f>J188</f>
        <v/>
      </c>
      <c r="E189" s="4">
        <f>SUMIFS('01_異動主檔'!$F:$F,'01_異動主檔'!$B:$B,121,'01_異動主檔'!$D:$D,B189,'01_異動主檔'!$E:$E,"移入")</f>
        <v/>
      </c>
      <c r="F189" s="4">
        <f>-SUMIFS('01_異動主檔'!$F:$F,'01_異動主檔'!$B:$B,121,'01_異動主檔'!$D:$D,B189,'01_異動主檔'!$E:$E,"移出")</f>
        <v/>
      </c>
      <c r="G189" s="4">
        <f>SUMIFS('01_異動主檔'!$F:$F,'01_異動主檔'!$B:$B,121,'01_異動主檔'!$D:$D,B189,'01_異動主檔'!$E:$E,"新增")</f>
        <v/>
      </c>
      <c r="H189" s="4">
        <f>-SUMIFS('01_異動主檔'!$F:$F,'01_異動主檔'!$B:$B,121,'01_異動主檔'!$D:$D,B189,'01_異動主檔'!$E:$E,"減列")</f>
        <v/>
      </c>
      <c r="I189" s="4">
        <f>-SUMIFS('01_異動主檔'!$F:$F,'01_異動主檔'!$B:$B,121,'01_異動主檔'!$D:$D,B189,'01_異動主檔'!$E:$E,"精簡")</f>
        <v/>
      </c>
      <c r="J189" s="10">
        <f>D189+E189+F189+G189+H189+I189</f>
        <v/>
      </c>
    </row>
    <row r="190" ht="18" customHeight="1">
      <c r="A190" s="6" t="inlineStr">
        <is>
          <t>A007</t>
        </is>
      </c>
      <c r="B190" s="5" t="inlineStr">
        <is>
          <t>秘書處</t>
        </is>
      </c>
      <c r="C190" s="6" t="n">
        <v>122</v>
      </c>
      <c r="D190" s="10">
        <f>J189</f>
        <v/>
      </c>
      <c r="E190" s="4">
        <f>SUMIFS('01_異動主檔'!$F:$F,'01_異動主檔'!$B:$B,122,'01_異動主檔'!$D:$D,B190,'01_異動主檔'!$E:$E,"移入")</f>
        <v/>
      </c>
      <c r="F190" s="4">
        <f>-SUMIFS('01_異動主檔'!$F:$F,'01_異動主檔'!$B:$B,122,'01_異動主檔'!$D:$D,B190,'01_異動主檔'!$E:$E,"移出")</f>
        <v/>
      </c>
      <c r="G190" s="4">
        <f>SUMIFS('01_異動主檔'!$F:$F,'01_異動主檔'!$B:$B,122,'01_異動主檔'!$D:$D,B190,'01_異動主檔'!$E:$E,"新增")</f>
        <v/>
      </c>
      <c r="H190" s="4">
        <f>-SUMIFS('01_異動主檔'!$F:$F,'01_異動主檔'!$B:$B,122,'01_異動主檔'!$D:$D,B190,'01_異動主檔'!$E:$E,"減列")</f>
        <v/>
      </c>
      <c r="I190" s="4">
        <f>-SUMIFS('01_異動主檔'!$F:$F,'01_異動主檔'!$B:$B,122,'01_異動主檔'!$D:$D,B190,'01_異動主檔'!$E:$E,"精簡")</f>
        <v/>
      </c>
      <c r="J190" s="10">
        <f>D190+E190+F190+G190+H190+I190</f>
        <v/>
      </c>
    </row>
    <row r="191" ht="18" customHeight="1">
      <c r="A191" s="4" t="inlineStr">
        <is>
          <t>A007</t>
        </is>
      </c>
      <c r="B191" s="3" t="inlineStr">
        <is>
          <t>秘書處</t>
        </is>
      </c>
      <c r="C191" s="4" t="n">
        <v>123</v>
      </c>
      <c r="D191" s="10">
        <f>J190</f>
        <v/>
      </c>
      <c r="E191" s="4">
        <f>SUMIFS('01_異動主檔'!$F:$F,'01_異動主檔'!$B:$B,123,'01_異動主檔'!$D:$D,B191,'01_異動主檔'!$E:$E,"移入")</f>
        <v/>
      </c>
      <c r="F191" s="4">
        <f>-SUMIFS('01_異動主檔'!$F:$F,'01_異動主檔'!$B:$B,123,'01_異動主檔'!$D:$D,B191,'01_異動主檔'!$E:$E,"移出")</f>
        <v/>
      </c>
      <c r="G191" s="4">
        <f>SUMIFS('01_異動主檔'!$F:$F,'01_異動主檔'!$B:$B,123,'01_異動主檔'!$D:$D,B191,'01_異動主檔'!$E:$E,"新增")</f>
        <v/>
      </c>
      <c r="H191" s="4">
        <f>-SUMIFS('01_異動主檔'!$F:$F,'01_異動主檔'!$B:$B,123,'01_異動主檔'!$D:$D,B191,'01_異動主檔'!$E:$E,"減列")</f>
        <v/>
      </c>
      <c r="I191" s="4">
        <f>-SUMIFS('01_異動主檔'!$F:$F,'01_異動主檔'!$B:$B,123,'01_異動主檔'!$D:$D,B191,'01_異動主檔'!$E:$E,"精簡")</f>
        <v/>
      </c>
      <c r="J191" s="10">
        <f>D191+E191+F191+G191+H191+I191</f>
        <v/>
      </c>
    </row>
    <row r="192" ht="18" customHeight="1">
      <c r="A192" s="6" t="inlineStr">
        <is>
          <t>A007</t>
        </is>
      </c>
      <c r="B192" s="5" t="inlineStr">
        <is>
          <t>秘書處</t>
        </is>
      </c>
      <c r="C192" s="6" t="n">
        <v>124</v>
      </c>
      <c r="D192" s="10">
        <f>J191</f>
        <v/>
      </c>
      <c r="E192" s="4">
        <f>SUMIFS('01_異動主檔'!$F:$F,'01_異動主檔'!$B:$B,124,'01_異動主檔'!$D:$D,B192,'01_異動主檔'!$E:$E,"移入")</f>
        <v/>
      </c>
      <c r="F192" s="4">
        <f>-SUMIFS('01_異動主檔'!$F:$F,'01_異動主檔'!$B:$B,124,'01_異動主檔'!$D:$D,B192,'01_異動主檔'!$E:$E,"移出")</f>
        <v/>
      </c>
      <c r="G192" s="4">
        <f>SUMIFS('01_異動主檔'!$F:$F,'01_異動主檔'!$B:$B,124,'01_異動主檔'!$D:$D,B192,'01_異動主檔'!$E:$E,"新增")</f>
        <v/>
      </c>
      <c r="H192" s="4">
        <f>-SUMIFS('01_異動主檔'!$F:$F,'01_異動主檔'!$B:$B,124,'01_異動主檔'!$D:$D,B192,'01_異動主檔'!$E:$E,"減列")</f>
        <v/>
      </c>
      <c r="I192" s="4">
        <f>-SUMIFS('01_異動主檔'!$F:$F,'01_異動主檔'!$B:$B,124,'01_異動主檔'!$D:$D,B192,'01_異動主檔'!$E:$E,"精簡")</f>
        <v/>
      </c>
      <c r="J192" s="10">
        <f>D192+E192+F192+G192+H192+I192</f>
        <v/>
      </c>
    </row>
    <row r="193" ht="18" customHeight="1">
      <c r="A193" s="4" t="inlineStr">
        <is>
          <t>A007</t>
        </is>
      </c>
      <c r="B193" s="3" t="inlineStr">
        <is>
          <t>秘書處</t>
        </is>
      </c>
      <c r="C193" s="4" t="n">
        <v>125</v>
      </c>
      <c r="D193" s="10">
        <f>J192</f>
        <v/>
      </c>
      <c r="E193" s="4">
        <f>SUMIFS('01_異動主檔'!$F:$F,'01_異動主檔'!$B:$B,125,'01_異動主檔'!$D:$D,B193,'01_異動主檔'!$E:$E,"移入")</f>
        <v/>
      </c>
      <c r="F193" s="4">
        <f>-SUMIFS('01_異動主檔'!$F:$F,'01_異動主檔'!$B:$B,125,'01_異動主檔'!$D:$D,B193,'01_異動主檔'!$E:$E,"移出")</f>
        <v/>
      </c>
      <c r="G193" s="4">
        <f>SUMIFS('01_異動主檔'!$F:$F,'01_異動主檔'!$B:$B,125,'01_異動主檔'!$D:$D,B193,'01_異動主檔'!$E:$E,"新增")</f>
        <v/>
      </c>
      <c r="H193" s="4">
        <f>-SUMIFS('01_異動主檔'!$F:$F,'01_異動主檔'!$B:$B,125,'01_異動主檔'!$D:$D,B193,'01_異動主檔'!$E:$E,"減列")</f>
        <v/>
      </c>
      <c r="I193" s="4">
        <f>-SUMIFS('01_異動主檔'!$F:$F,'01_異動主檔'!$B:$B,125,'01_異動主檔'!$D:$D,B193,'01_異動主檔'!$E:$E,"精簡")</f>
        <v/>
      </c>
      <c r="J193" s="10">
        <f>D193+E193+F193+G193+H193+I193</f>
        <v/>
      </c>
    </row>
    <row r="194" ht="18" customHeight="1">
      <c r="A194" s="6" t="inlineStr">
        <is>
          <t>A008</t>
        </is>
      </c>
      <c r="B194" s="5" t="inlineStr">
        <is>
          <t>公關室</t>
        </is>
      </c>
      <c r="C194" s="6" t="n">
        <v>99</v>
      </c>
      <c r="D194" s="10">
        <f>'02_年初員額設定'!C12</f>
        <v/>
      </c>
      <c r="E194" s="4">
        <f>SUMIFS('01_異動主檔'!$F:$F,'01_異動主檔'!$B:$B,99,'01_異動主檔'!$D:$D,B194,'01_異動主檔'!$E:$E,"移入")</f>
        <v/>
      </c>
      <c r="F194" s="4">
        <f>-SUMIFS('01_異動主檔'!$F:$F,'01_異動主檔'!$B:$B,99,'01_異動主檔'!$D:$D,B194,'01_異動主檔'!$E:$E,"移出")</f>
        <v/>
      </c>
      <c r="G194" s="4">
        <f>SUMIFS('01_異動主檔'!$F:$F,'01_異動主檔'!$B:$B,99,'01_異動主檔'!$D:$D,B194,'01_異動主檔'!$E:$E,"新增")</f>
        <v/>
      </c>
      <c r="H194" s="4">
        <f>-SUMIFS('01_異動主檔'!$F:$F,'01_異動主檔'!$B:$B,99,'01_異動主檔'!$D:$D,B194,'01_異動主檔'!$E:$E,"減列")</f>
        <v/>
      </c>
      <c r="I194" s="4">
        <f>-SUMIFS('01_異動主檔'!$F:$F,'01_異動主檔'!$B:$B,99,'01_異動主檔'!$D:$D,B194,'01_異動主檔'!$E:$E,"精簡")</f>
        <v/>
      </c>
      <c r="J194" s="10">
        <f>D194+E194+F194+G194+H194+I194</f>
        <v/>
      </c>
    </row>
    <row r="195" ht="18" customHeight="1">
      <c r="A195" s="4" t="inlineStr">
        <is>
          <t>A008</t>
        </is>
      </c>
      <c r="B195" s="3" t="inlineStr">
        <is>
          <t>公關室</t>
        </is>
      </c>
      <c r="C195" s="4" t="n">
        <v>100</v>
      </c>
      <c r="D195" s="10">
        <f>J194</f>
        <v/>
      </c>
      <c r="E195" s="4">
        <f>SUMIFS('01_異動主檔'!$F:$F,'01_異動主檔'!$B:$B,100,'01_異動主檔'!$D:$D,B195,'01_異動主檔'!$E:$E,"移入")</f>
        <v/>
      </c>
      <c r="F195" s="4">
        <f>-SUMIFS('01_異動主檔'!$F:$F,'01_異動主檔'!$B:$B,100,'01_異動主檔'!$D:$D,B195,'01_異動主檔'!$E:$E,"移出")</f>
        <v/>
      </c>
      <c r="G195" s="4">
        <f>SUMIFS('01_異動主檔'!$F:$F,'01_異動主檔'!$B:$B,100,'01_異動主檔'!$D:$D,B195,'01_異動主檔'!$E:$E,"新增")</f>
        <v/>
      </c>
      <c r="H195" s="4">
        <f>-SUMIFS('01_異動主檔'!$F:$F,'01_異動主檔'!$B:$B,100,'01_異動主檔'!$D:$D,B195,'01_異動主檔'!$E:$E,"減列")</f>
        <v/>
      </c>
      <c r="I195" s="4">
        <f>-SUMIFS('01_異動主檔'!$F:$F,'01_異動主檔'!$B:$B,100,'01_異動主檔'!$D:$D,B195,'01_異動主檔'!$E:$E,"精簡")</f>
        <v/>
      </c>
      <c r="J195" s="10">
        <f>D195+E195+F195+G195+H195+I195</f>
        <v/>
      </c>
    </row>
    <row r="196" ht="18" customHeight="1">
      <c r="A196" s="6" t="inlineStr">
        <is>
          <t>A008</t>
        </is>
      </c>
      <c r="B196" s="5" t="inlineStr">
        <is>
          <t>公關室</t>
        </is>
      </c>
      <c r="C196" s="6" t="n">
        <v>101</v>
      </c>
      <c r="D196" s="10">
        <f>J195</f>
        <v/>
      </c>
      <c r="E196" s="4">
        <f>SUMIFS('01_異動主檔'!$F:$F,'01_異動主檔'!$B:$B,101,'01_異動主檔'!$D:$D,B196,'01_異動主檔'!$E:$E,"移入")</f>
        <v/>
      </c>
      <c r="F196" s="4">
        <f>-SUMIFS('01_異動主檔'!$F:$F,'01_異動主檔'!$B:$B,101,'01_異動主檔'!$D:$D,B196,'01_異動主檔'!$E:$E,"移出")</f>
        <v/>
      </c>
      <c r="G196" s="4">
        <f>SUMIFS('01_異動主檔'!$F:$F,'01_異動主檔'!$B:$B,101,'01_異動主檔'!$D:$D,B196,'01_異動主檔'!$E:$E,"新增")</f>
        <v/>
      </c>
      <c r="H196" s="4">
        <f>-SUMIFS('01_異動主檔'!$F:$F,'01_異動主檔'!$B:$B,101,'01_異動主檔'!$D:$D,B196,'01_異動主檔'!$E:$E,"減列")</f>
        <v/>
      </c>
      <c r="I196" s="4">
        <f>-SUMIFS('01_異動主檔'!$F:$F,'01_異動主檔'!$B:$B,101,'01_異動主檔'!$D:$D,B196,'01_異動主檔'!$E:$E,"精簡")</f>
        <v/>
      </c>
      <c r="J196" s="10">
        <f>D196+E196+F196+G196+H196+I196</f>
        <v/>
      </c>
    </row>
    <row r="197" ht="18" customHeight="1">
      <c r="A197" s="4" t="inlineStr">
        <is>
          <t>A008</t>
        </is>
      </c>
      <c r="B197" s="3" t="inlineStr">
        <is>
          <t>公關室</t>
        </is>
      </c>
      <c r="C197" s="4" t="n">
        <v>102</v>
      </c>
      <c r="D197" s="10">
        <f>J196</f>
        <v/>
      </c>
      <c r="E197" s="4">
        <f>SUMIFS('01_異動主檔'!$F:$F,'01_異動主檔'!$B:$B,102,'01_異動主檔'!$D:$D,B197,'01_異動主檔'!$E:$E,"移入")</f>
        <v/>
      </c>
      <c r="F197" s="4">
        <f>-SUMIFS('01_異動主檔'!$F:$F,'01_異動主檔'!$B:$B,102,'01_異動主檔'!$D:$D,B197,'01_異動主檔'!$E:$E,"移出")</f>
        <v/>
      </c>
      <c r="G197" s="4">
        <f>SUMIFS('01_異動主檔'!$F:$F,'01_異動主檔'!$B:$B,102,'01_異動主檔'!$D:$D,B197,'01_異動主檔'!$E:$E,"新增")</f>
        <v/>
      </c>
      <c r="H197" s="4">
        <f>-SUMIFS('01_異動主檔'!$F:$F,'01_異動主檔'!$B:$B,102,'01_異動主檔'!$D:$D,B197,'01_異動主檔'!$E:$E,"減列")</f>
        <v/>
      </c>
      <c r="I197" s="4">
        <f>-SUMIFS('01_異動主檔'!$F:$F,'01_異動主檔'!$B:$B,102,'01_異動主檔'!$D:$D,B197,'01_異動主檔'!$E:$E,"精簡")</f>
        <v/>
      </c>
      <c r="J197" s="10">
        <f>D197+E197+F197+G197+H197+I197</f>
        <v/>
      </c>
    </row>
    <row r="198" ht="18" customHeight="1">
      <c r="A198" s="6" t="inlineStr">
        <is>
          <t>A008</t>
        </is>
      </c>
      <c r="B198" s="5" t="inlineStr">
        <is>
          <t>公關室</t>
        </is>
      </c>
      <c r="C198" s="6" t="n">
        <v>103</v>
      </c>
      <c r="D198" s="10">
        <f>J197</f>
        <v/>
      </c>
      <c r="E198" s="4">
        <f>SUMIFS('01_異動主檔'!$F:$F,'01_異動主檔'!$B:$B,103,'01_異動主檔'!$D:$D,B198,'01_異動主檔'!$E:$E,"移入")</f>
        <v/>
      </c>
      <c r="F198" s="4">
        <f>-SUMIFS('01_異動主檔'!$F:$F,'01_異動主檔'!$B:$B,103,'01_異動主檔'!$D:$D,B198,'01_異動主檔'!$E:$E,"移出")</f>
        <v/>
      </c>
      <c r="G198" s="4">
        <f>SUMIFS('01_異動主檔'!$F:$F,'01_異動主檔'!$B:$B,103,'01_異動主檔'!$D:$D,B198,'01_異動主檔'!$E:$E,"新增")</f>
        <v/>
      </c>
      <c r="H198" s="4">
        <f>-SUMIFS('01_異動主檔'!$F:$F,'01_異動主檔'!$B:$B,103,'01_異動主檔'!$D:$D,B198,'01_異動主檔'!$E:$E,"減列")</f>
        <v/>
      </c>
      <c r="I198" s="4">
        <f>-SUMIFS('01_異動主檔'!$F:$F,'01_異動主檔'!$B:$B,103,'01_異動主檔'!$D:$D,B198,'01_異動主檔'!$E:$E,"精簡")</f>
        <v/>
      </c>
      <c r="J198" s="10">
        <f>D198+E198+F198+G198+H198+I198</f>
        <v/>
      </c>
    </row>
    <row r="199" ht="18" customHeight="1">
      <c r="A199" s="4" t="inlineStr">
        <is>
          <t>A008</t>
        </is>
      </c>
      <c r="B199" s="3" t="inlineStr">
        <is>
          <t>公關室</t>
        </is>
      </c>
      <c r="C199" s="4" t="n">
        <v>104</v>
      </c>
      <c r="D199" s="10">
        <f>J198</f>
        <v/>
      </c>
      <c r="E199" s="4">
        <f>SUMIFS('01_異動主檔'!$F:$F,'01_異動主檔'!$B:$B,104,'01_異動主檔'!$D:$D,B199,'01_異動主檔'!$E:$E,"移入")</f>
        <v/>
      </c>
      <c r="F199" s="4">
        <f>-SUMIFS('01_異動主檔'!$F:$F,'01_異動主檔'!$B:$B,104,'01_異動主檔'!$D:$D,B199,'01_異動主檔'!$E:$E,"移出")</f>
        <v/>
      </c>
      <c r="G199" s="4">
        <f>SUMIFS('01_異動主檔'!$F:$F,'01_異動主檔'!$B:$B,104,'01_異動主檔'!$D:$D,B199,'01_異動主檔'!$E:$E,"新增")</f>
        <v/>
      </c>
      <c r="H199" s="4">
        <f>-SUMIFS('01_異動主檔'!$F:$F,'01_異動主檔'!$B:$B,104,'01_異動主檔'!$D:$D,B199,'01_異動主檔'!$E:$E,"減列")</f>
        <v/>
      </c>
      <c r="I199" s="4">
        <f>-SUMIFS('01_異動主檔'!$F:$F,'01_異動主檔'!$B:$B,104,'01_異動主檔'!$D:$D,B199,'01_異動主檔'!$E:$E,"精簡")</f>
        <v/>
      </c>
      <c r="J199" s="10">
        <f>D199+E199+F199+G199+H199+I199</f>
        <v/>
      </c>
    </row>
    <row r="200" ht="18" customHeight="1">
      <c r="A200" s="6" t="inlineStr">
        <is>
          <t>A008</t>
        </is>
      </c>
      <c r="B200" s="5" t="inlineStr">
        <is>
          <t>公關室</t>
        </is>
      </c>
      <c r="C200" s="6" t="n">
        <v>105</v>
      </c>
      <c r="D200" s="10">
        <f>J199</f>
        <v/>
      </c>
      <c r="E200" s="4">
        <f>SUMIFS('01_異動主檔'!$F:$F,'01_異動主檔'!$B:$B,105,'01_異動主檔'!$D:$D,B200,'01_異動主檔'!$E:$E,"移入")</f>
        <v/>
      </c>
      <c r="F200" s="4">
        <f>-SUMIFS('01_異動主檔'!$F:$F,'01_異動主檔'!$B:$B,105,'01_異動主檔'!$D:$D,B200,'01_異動主檔'!$E:$E,"移出")</f>
        <v/>
      </c>
      <c r="G200" s="4">
        <f>SUMIFS('01_異動主檔'!$F:$F,'01_異動主檔'!$B:$B,105,'01_異動主檔'!$D:$D,B200,'01_異動主檔'!$E:$E,"新增")</f>
        <v/>
      </c>
      <c r="H200" s="4">
        <f>-SUMIFS('01_異動主檔'!$F:$F,'01_異動主檔'!$B:$B,105,'01_異動主檔'!$D:$D,B200,'01_異動主檔'!$E:$E,"減列")</f>
        <v/>
      </c>
      <c r="I200" s="4">
        <f>-SUMIFS('01_異動主檔'!$F:$F,'01_異動主檔'!$B:$B,105,'01_異動主檔'!$D:$D,B200,'01_異動主檔'!$E:$E,"精簡")</f>
        <v/>
      </c>
      <c r="J200" s="10">
        <f>D200+E200+F200+G200+H200+I200</f>
        <v/>
      </c>
    </row>
    <row r="201" ht="18" customHeight="1">
      <c r="A201" s="4" t="inlineStr">
        <is>
          <t>A008</t>
        </is>
      </c>
      <c r="B201" s="3" t="inlineStr">
        <is>
          <t>公關室</t>
        </is>
      </c>
      <c r="C201" s="4" t="n">
        <v>106</v>
      </c>
      <c r="D201" s="10">
        <f>J200</f>
        <v/>
      </c>
      <c r="E201" s="4">
        <f>SUMIFS('01_異動主檔'!$F:$F,'01_異動主檔'!$B:$B,106,'01_異動主檔'!$D:$D,B201,'01_異動主檔'!$E:$E,"移入")</f>
        <v/>
      </c>
      <c r="F201" s="4">
        <f>-SUMIFS('01_異動主檔'!$F:$F,'01_異動主檔'!$B:$B,106,'01_異動主檔'!$D:$D,B201,'01_異動主檔'!$E:$E,"移出")</f>
        <v/>
      </c>
      <c r="G201" s="4">
        <f>SUMIFS('01_異動主檔'!$F:$F,'01_異動主檔'!$B:$B,106,'01_異動主檔'!$D:$D,B201,'01_異動主檔'!$E:$E,"新增")</f>
        <v/>
      </c>
      <c r="H201" s="4">
        <f>-SUMIFS('01_異動主檔'!$F:$F,'01_異動主檔'!$B:$B,106,'01_異動主檔'!$D:$D,B201,'01_異動主檔'!$E:$E,"減列")</f>
        <v/>
      </c>
      <c r="I201" s="4">
        <f>-SUMIFS('01_異動主檔'!$F:$F,'01_異動主檔'!$B:$B,106,'01_異動主檔'!$D:$D,B201,'01_異動主檔'!$E:$E,"精簡")</f>
        <v/>
      </c>
      <c r="J201" s="10">
        <f>D201+E201+F201+G201+H201+I201</f>
        <v/>
      </c>
    </row>
    <row r="202" ht="18" customHeight="1">
      <c r="A202" s="6" t="inlineStr">
        <is>
          <t>A008</t>
        </is>
      </c>
      <c r="B202" s="5" t="inlineStr">
        <is>
          <t>公關室</t>
        </is>
      </c>
      <c r="C202" s="6" t="n">
        <v>107</v>
      </c>
      <c r="D202" s="10">
        <f>J201</f>
        <v/>
      </c>
      <c r="E202" s="4">
        <f>SUMIFS('01_異動主檔'!$F:$F,'01_異動主檔'!$B:$B,107,'01_異動主檔'!$D:$D,B202,'01_異動主檔'!$E:$E,"移入")</f>
        <v/>
      </c>
      <c r="F202" s="4">
        <f>-SUMIFS('01_異動主檔'!$F:$F,'01_異動主檔'!$B:$B,107,'01_異動主檔'!$D:$D,B202,'01_異動主檔'!$E:$E,"移出")</f>
        <v/>
      </c>
      <c r="G202" s="4">
        <f>SUMIFS('01_異動主檔'!$F:$F,'01_異動主檔'!$B:$B,107,'01_異動主檔'!$D:$D,B202,'01_異動主檔'!$E:$E,"新增")</f>
        <v/>
      </c>
      <c r="H202" s="4">
        <f>-SUMIFS('01_異動主檔'!$F:$F,'01_異動主檔'!$B:$B,107,'01_異動主檔'!$D:$D,B202,'01_異動主檔'!$E:$E,"減列")</f>
        <v/>
      </c>
      <c r="I202" s="4">
        <f>-SUMIFS('01_異動主檔'!$F:$F,'01_異動主檔'!$B:$B,107,'01_異動主檔'!$D:$D,B202,'01_異動主檔'!$E:$E,"精簡")</f>
        <v/>
      </c>
      <c r="J202" s="10">
        <f>D202+E202+F202+G202+H202+I202</f>
        <v/>
      </c>
    </row>
    <row r="203" ht="18" customHeight="1">
      <c r="A203" s="4" t="inlineStr">
        <is>
          <t>A008</t>
        </is>
      </c>
      <c r="B203" s="3" t="inlineStr">
        <is>
          <t>公關室</t>
        </is>
      </c>
      <c r="C203" s="4" t="n">
        <v>108</v>
      </c>
      <c r="D203" s="10">
        <f>J202</f>
        <v/>
      </c>
      <c r="E203" s="4">
        <f>SUMIFS('01_異動主檔'!$F:$F,'01_異動主檔'!$B:$B,108,'01_異動主檔'!$D:$D,B203,'01_異動主檔'!$E:$E,"移入")</f>
        <v/>
      </c>
      <c r="F203" s="4">
        <f>-SUMIFS('01_異動主檔'!$F:$F,'01_異動主檔'!$B:$B,108,'01_異動主檔'!$D:$D,B203,'01_異動主檔'!$E:$E,"移出")</f>
        <v/>
      </c>
      <c r="G203" s="4">
        <f>SUMIFS('01_異動主檔'!$F:$F,'01_異動主檔'!$B:$B,108,'01_異動主檔'!$D:$D,B203,'01_異動主檔'!$E:$E,"新增")</f>
        <v/>
      </c>
      <c r="H203" s="4">
        <f>-SUMIFS('01_異動主檔'!$F:$F,'01_異動主檔'!$B:$B,108,'01_異動主檔'!$D:$D,B203,'01_異動主檔'!$E:$E,"減列")</f>
        <v/>
      </c>
      <c r="I203" s="4">
        <f>-SUMIFS('01_異動主檔'!$F:$F,'01_異動主檔'!$B:$B,108,'01_異動主檔'!$D:$D,B203,'01_異動主檔'!$E:$E,"精簡")</f>
        <v/>
      </c>
      <c r="J203" s="10">
        <f>D203+E203+F203+G203+H203+I203</f>
        <v/>
      </c>
    </row>
    <row r="204" ht="18" customHeight="1">
      <c r="A204" s="6" t="inlineStr">
        <is>
          <t>A008</t>
        </is>
      </c>
      <c r="B204" s="5" t="inlineStr">
        <is>
          <t>公關室</t>
        </is>
      </c>
      <c r="C204" s="6" t="n">
        <v>109</v>
      </c>
      <c r="D204" s="10">
        <f>J203</f>
        <v/>
      </c>
      <c r="E204" s="4">
        <f>SUMIFS('01_異動主檔'!$F:$F,'01_異動主檔'!$B:$B,109,'01_異動主檔'!$D:$D,B204,'01_異動主檔'!$E:$E,"移入")</f>
        <v/>
      </c>
      <c r="F204" s="4">
        <f>-SUMIFS('01_異動主檔'!$F:$F,'01_異動主檔'!$B:$B,109,'01_異動主檔'!$D:$D,B204,'01_異動主檔'!$E:$E,"移出")</f>
        <v/>
      </c>
      <c r="G204" s="4">
        <f>SUMIFS('01_異動主檔'!$F:$F,'01_異動主檔'!$B:$B,109,'01_異動主檔'!$D:$D,B204,'01_異動主檔'!$E:$E,"新增")</f>
        <v/>
      </c>
      <c r="H204" s="4">
        <f>-SUMIFS('01_異動主檔'!$F:$F,'01_異動主檔'!$B:$B,109,'01_異動主檔'!$D:$D,B204,'01_異動主檔'!$E:$E,"減列")</f>
        <v/>
      </c>
      <c r="I204" s="4">
        <f>-SUMIFS('01_異動主檔'!$F:$F,'01_異動主檔'!$B:$B,109,'01_異動主檔'!$D:$D,B204,'01_異動主檔'!$E:$E,"精簡")</f>
        <v/>
      </c>
      <c r="J204" s="10">
        <f>D204+E204+F204+G204+H204+I204</f>
        <v/>
      </c>
    </row>
    <row r="205" ht="18" customHeight="1">
      <c r="A205" s="4" t="inlineStr">
        <is>
          <t>A008</t>
        </is>
      </c>
      <c r="B205" s="3" t="inlineStr">
        <is>
          <t>公關室</t>
        </is>
      </c>
      <c r="C205" s="4" t="n">
        <v>110</v>
      </c>
      <c r="D205" s="10">
        <f>J204</f>
        <v/>
      </c>
      <c r="E205" s="4">
        <f>SUMIFS('01_異動主檔'!$F:$F,'01_異動主檔'!$B:$B,110,'01_異動主檔'!$D:$D,B205,'01_異動主檔'!$E:$E,"移入")</f>
        <v/>
      </c>
      <c r="F205" s="4">
        <f>-SUMIFS('01_異動主檔'!$F:$F,'01_異動主檔'!$B:$B,110,'01_異動主檔'!$D:$D,B205,'01_異動主檔'!$E:$E,"移出")</f>
        <v/>
      </c>
      <c r="G205" s="4">
        <f>SUMIFS('01_異動主檔'!$F:$F,'01_異動主檔'!$B:$B,110,'01_異動主檔'!$D:$D,B205,'01_異動主檔'!$E:$E,"新增")</f>
        <v/>
      </c>
      <c r="H205" s="4">
        <f>-SUMIFS('01_異動主檔'!$F:$F,'01_異動主檔'!$B:$B,110,'01_異動主檔'!$D:$D,B205,'01_異動主檔'!$E:$E,"減列")</f>
        <v/>
      </c>
      <c r="I205" s="4">
        <f>-SUMIFS('01_異動主檔'!$F:$F,'01_異動主檔'!$B:$B,110,'01_異動主檔'!$D:$D,B205,'01_異動主檔'!$E:$E,"精簡")</f>
        <v/>
      </c>
      <c r="J205" s="10">
        <f>D205+E205+F205+G205+H205+I205</f>
        <v/>
      </c>
    </row>
    <row r="206" ht="18" customHeight="1">
      <c r="A206" s="6" t="inlineStr">
        <is>
          <t>A008</t>
        </is>
      </c>
      <c r="B206" s="5" t="inlineStr">
        <is>
          <t>公關室</t>
        </is>
      </c>
      <c r="C206" s="6" t="n">
        <v>111</v>
      </c>
      <c r="D206" s="10">
        <f>J205</f>
        <v/>
      </c>
      <c r="E206" s="4">
        <f>SUMIFS('01_異動主檔'!$F:$F,'01_異動主檔'!$B:$B,111,'01_異動主檔'!$D:$D,B206,'01_異動主檔'!$E:$E,"移入")</f>
        <v/>
      </c>
      <c r="F206" s="4">
        <f>-SUMIFS('01_異動主檔'!$F:$F,'01_異動主檔'!$B:$B,111,'01_異動主檔'!$D:$D,B206,'01_異動主檔'!$E:$E,"移出")</f>
        <v/>
      </c>
      <c r="G206" s="4">
        <f>SUMIFS('01_異動主檔'!$F:$F,'01_異動主檔'!$B:$B,111,'01_異動主檔'!$D:$D,B206,'01_異動主檔'!$E:$E,"新增")</f>
        <v/>
      </c>
      <c r="H206" s="4">
        <f>-SUMIFS('01_異動主檔'!$F:$F,'01_異動主檔'!$B:$B,111,'01_異動主檔'!$D:$D,B206,'01_異動主檔'!$E:$E,"減列")</f>
        <v/>
      </c>
      <c r="I206" s="4">
        <f>-SUMIFS('01_異動主檔'!$F:$F,'01_異動主檔'!$B:$B,111,'01_異動主檔'!$D:$D,B206,'01_異動主檔'!$E:$E,"精簡")</f>
        <v/>
      </c>
      <c r="J206" s="10">
        <f>D206+E206+F206+G206+H206+I206</f>
        <v/>
      </c>
    </row>
    <row r="207" ht="18" customHeight="1">
      <c r="A207" s="4" t="inlineStr">
        <is>
          <t>A008</t>
        </is>
      </c>
      <c r="B207" s="3" t="inlineStr">
        <is>
          <t>公關室</t>
        </is>
      </c>
      <c r="C207" s="4" t="n">
        <v>112</v>
      </c>
      <c r="D207" s="10">
        <f>J206</f>
        <v/>
      </c>
      <c r="E207" s="4">
        <f>SUMIFS('01_異動主檔'!$F:$F,'01_異動主檔'!$B:$B,112,'01_異動主檔'!$D:$D,B207,'01_異動主檔'!$E:$E,"移入")</f>
        <v/>
      </c>
      <c r="F207" s="4">
        <f>-SUMIFS('01_異動主檔'!$F:$F,'01_異動主檔'!$B:$B,112,'01_異動主檔'!$D:$D,B207,'01_異動主檔'!$E:$E,"移出")</f>
        <v/>
      </c>
      <c r="G207" s="4">
        <f>SUMIFS('01_異動主檔'!$F:$F,'01_異動主檔'!$B:$B,112,'01_異動主檔'!$D:$D,B207,'01_異動主檔'!$E:$E,"新增")</f>
        <v/>
      </c>
      <c r="H207" s="4">
        <f>-SUMIFS('01_異動主檔'!$F:$F,'01_異動主檔'!$B:$B,112,'01_異動主檔'!$D:$D,B207,'01_異動主檔'!$E:$E,"減列")</f>
        <v/>
      </c>
      <c r="I207" s="4">
        <f>-SUMIFS('01_異動主檔'!$F:$F,'01_異動主檔'!$B:$B,112,'01_異動主檔'!$D:$D,B207,'01_異動主檔'!$E:$E,"精簡")</f>
        <v/>
      </c>
      <c r="J207" s="10">
        <f>D207+E207+F207+G207+H207+I207</f>
        <v/>
      </c>
    </row>
    <row r="208" ht="18" customHeight="1">
      <c r="A208" s="6" t="inlineStr">
        <is>
          <t>A008</t>
        </is>
      </c>
      <c r="B208" s="5" t="inlineStr">
        <is>
          <t>公關室</t>
        </is>
      </c>
      <c r="C208" s="6" t="n">
        <v>113</v>
      </c>
      <c r="D208" s="10">
        <f>J207</f>
        <v/>
      </c>
      <c r="E208" s="4">
        <f>SUMIFS('01_異動主檔'!$F:$F,'01_異動主檔'!$B:$B,113,'01_異動主檔'!$D:$D,B208,'01_異動主檔'!$E:$E,"移入")</f>
        <v/>
      </c>
      <c r="F208" s="4">
        <f>-SUMIFS('01_異動主檔'!$F:$F,'01_異動主檔'!$B:$B,113,'01_異動主檔'!$D:$D,B208,'01_異動主檔'!$E:$E,"移出")</f>
        <v/>
      </c>
      <c r="G208" s="4">
        <f>SUMIFS('01_異動主檔'!$F:$F,'01_異動主檔'!$B:$B,113,'01_異動主檔'!$D:$D,B208,'01_異動主檔'!$E:$E,"新增")</f>
        <v/>
      </c>
      <c r="H208" s="4">
        <f>-SUMIFS('01_異動主檔'!$F:$F,'01_異動主檔'!$B:$B,113,'01_異動主檔'!$D:$D,B208,'01_異動主檔'!$E:$E,"減列")</f>
        <v/>
      </c>
      <c r="I208" s="4">
        <f>-SUMIFS('01_異動主檔'!$F:$F,'01_異動主檔'!$B:$B,113,'01_異動主檔'!$D:$D,B208,'01_異動主檔'!$E:$E,"精簡")</f>
        <v/>
      </c>
      <c r="J208" s="10">
        <f>D208+E208+F208+G208+H208+I208</f>
        <v/>
      </c>
    </row>
    <row r="209" ht="18" customHeight="1">
      <c r="A209" s="4" t="inlineStr">
        <is>
          <t>A008</t>
        </is>
      </c>
      <c r="B209" s="3" t="inlineStr">
        <is>
          <t>公關室</t>
        </is>
      </c>
      <c r="C209" s="4" t="n">
        <v>114</v>
      </c>
      <c r="D209" s="10">
        <f>J208</f>
        <v/>
      </c>
      <c r="E209" s="4">
        <f>SUMIFS('01_異動主檔'!$F:$F,'01_異動主檔'!$B:$B,114,'01_異動主檔'!$D:$D,B209,'01_異動主檔'!$E:$E,"移入")</f>
        <v/>
      </c>
      <c r="F209" s="4">
        <f>-SUMIFS('01_異動主檔'!$F:$F,'01_異動主檔'!$B:$B,114,'01_異動主檔'!$D:$D,B209,'01_異動主檔'!$E:$E,"移出")</f>
        <v/>
      </c>
      <c r="G209" s="4">
        <f>SUMIFS('01_異動主檔'!$F:$F,'01_異動主檔'!$B:$B,114,'01_異動主檔'!$D:$D,B209,'01_異動主檔'!$E:$E,"新增")</f>
        <v/>
      </c>
      <c r="H209" s="4">
        <f>-SUMIFS('01_異動主檔'!$F:$F,'01_異動主檔'!$B:$B,114,'01_異動主檔'!$D:$D,B209,'01_異動主檔'!$E:$E,"減列")</f>
        <v/>
      </c>
      <c r="I209" s="4">
        <f>-SUMIFS('01_異動主檔'!$F:$F,'01_異動主檔'!$B:$B,114,'01_異動主檔'!$D:$D,B209,'01_異動主檔'!$E:$E,"精簡")</f>
        <v/>
      </c>
      <c r="J209" s="10">
        <f>D209+E209+F209+G209+H209+I209</f>
        <v/>
      </c>
    </row>
    <row r="210" ht="18" customHeight="1">
      <c r="A210" s="6" t="inlineStr">
        <is>
          <t>A008</t>
        </is>
      </c>
      <c r="B210" s="5" t="inlineStr">
        <is>
          <t>公關室</t>
        </is>
      </c>
      <c r="C210" s="6" t="n">
        <v>115</v>
      </c>
      <c r="D210" s="10">
        <f>J209</f>
        <v/>
      </c>
      <c r="E210" s="4">
        <f>SUMIFS('01_異動主檔'!$F:$F,'01_異動主檔'!$B:$B,115,'01_異動主檔'!$D:$D,B210,'01_異動主檔'!$E:$E,"移入")</f>
        <v/>
      </c>
      <c r="F210" s="4">
        <f>-SUMIFS('01_異動主檔'!$F:$F,'01_異動主檔'!$B:$B,115,'01_異動主檔'!$D:$D,B210,'01_異動主檔'!$E:$E,"移出")</f>
        <v/>
      </c>
      <c r="G210" s="4">
        <f>SUMIFS('01_異動主檔'!$F:$F,'01_異動主檔'!$B:$B,115,'01_異動主檔'!$D:$D,B210,'01_異動主檔'!$E:$E,"新增")</f>
        <v/>
      </c>
      <c r="H210" s="4">
        <f>-SUMIFS('01_異動主檔'!$F:$F,'01_異動主檔'!$B:$B,115,'01_異動主檔'!$D:$D,B210,'01_異動主檔'!$E:$E,"減列")</f>
        <v/>
      </c>
      <c r="I210" s="4">
        <f>-SUMIFS('01_異動主檔'!$F:$F,'01_異動主檔'!$B:$B,115,'01_異動主檔'!$D:$D,B210,'01_異動主檔'!$E:$E,"精簡")</f>
        <v/>
      </c>
      <c r="J210" s="10">
        <f>D210+E210+F210+G210+H210+I210</f>
        <v/>
      </c>
    </row>
    <row r="211" ht="18" customHeight="1">
      <c r="A211" s="4" t="inlineStr">
        <is>
          <t>A008</t>
        </is>
      </c>
      <c r="B211" s="3" t="inlineStr">
        <is>
          <t>公關室</t>
        </is>
      </c>
      <c r="C211" s="4" t="n">
        <v>116</v>
      </c>
      <c r="D211" s="10">
        <f>J210</f>
        <v/>
      </c>
      <c r="E211" s="4">
        <f>SUMIFS('01_異動主檔'!$F:$F,'01_異動主檔'!$B:$B,116,'01_異動主檔'!$D:$D,B211,'01_異動主檔'!$E:$E,"移入")</f>
        <v/>
      </c>
      <c r="F211" s="4">
        <f>-SUMIFS('01_異動主檔'!$F:$F,'01_異動主檔'!$B:$B,116,'01_異動主檔'!$D:$D,B211,'01_異動主檔'!$E:$E,"移出")</f>
        <v/>
      </c>
      <c r="G211" s="4">
        <f>SUMIFS('01_異動主檔'!$F:$F,'01_異動主檔'!$B:$B,116,'01_異動主檔'!$D:$D,B211,'01_異動主檔'!$E:$E,"新增")</f>
        <v/>
      </c>
      <c r="H211" s="4">
        <f>-SUMIFS('01_異動主檔'!$F:$F,'01_異動主檔'!$B:$B,116,'01_異動主檔'!$D:$D,B211,'01_異動主檔'!$E:$E,"減列")</f>
        <v/>
      </c>
      <c r="I211" s="4">
        <f>-SUMIFS('01_異動主檔'!$F:$F,'01_異動主檔'!$B:$B,116,'01_異動主檔'!$D:$D,B211,'01_異動主檔'!$E:$E,"精簡")</f>
        <v/>
      </c>
      <c r="J211" s="10">
        <f>D211+E211+F211+G211+H211+I211</f>
        <v/>
      </c>
    </row>
    <row r="212" ht="18" customHeight="1">
      <c r="A212" s="6" t="inlineStr">
        <is>
          <t>A008</t>
        </is>
      </c>
      <c r="B212" s="5" t="inlineStr">
        <is>
          <t>公關室</t>
        </is>
      </c>
      <c r="C212" s="6" t="n">
        <v>117</v>
      </c>
      <c r="D212" s="10">
        <f>J211</f>
        <v/>
      </c>
      <c r="E212" s="4">
        <f>SUMIFS('01_異動主檔'!$F:$F,'01_異動主檔'!$B:$B,117,'01_異動主檔'!$D:$D,B212,'01_異動主檔'!$E:$E,"移入")</f>
        <v/>
      </c>
      <c r="F212" s="4">
        <f>-SUMIFS('01_異動主檔'!$F:$F,'01_異動主檔'!$B:$B,117,'01_異動主檔'!$D:$D,B212,'01_異動主檔'!$E:$E,"移出")</f>
        <v/>
      </c>
      <c r="G212" s="4">
        <f>SUMIFS('01_異動主檔'!$F:$F,'01_異動主檔'!$B:$B,117,'01_異動主檔'!$D:$D,B212,'01_異動主檔'!$E:$E,"新增")</f>
        <v/>
      </c>
      <c r="H212" s="4">
        <f>-SUMIFS('01_異動主檔'!$F:$F,'01_異動主檔'!$B:$B,117,'01_異動主檔'!$D:$D,B212,'01_異動主檔'!$E:$E,"減列")</f>
        <v/>
      </c>
      <c r="I212" s="4">
        <f>-SUMIFS('01_異動主檔'!$F:$F,'01_異動主檔'!$B:$B,117,'01_異動主檔'!$D:$D,B212,'01_異動主檔'!$E:$E,"精簡")</f>
        <v/>
      </c>
      <c r="J212" s="10">
        <f>D212+E212+F212+G212+H212+I212</f>
        <v/>
      </c>
    </row>
    <row r="213" ht="18" customHeight="1">
      <c r="A213" s="4" t="inlineStr">
        <is>
          <t>A008</t>
        </is>
      </c>
      <c r="B213" s="3" t="inlineStr">
        <is>
          <t>公關室</t>
        </is>
      </c>
      <c r="C213" s="4" t="n">
        <v>118</v>
      </c>
      <c r="D213" s="10">
        <f>J212</f>
        <v/>
      </c>
      <c r="E213" s="4">
        <f>SUMIFS('01_異動主檔'!$F:$F,'01_異動主檔'!$B:$B,118,'01_異動主檔'!$D:$D,B213,'01_異動主檔'!$E:$E,"移入")</f>
        <v/>
      </c>
      <c r="F213" s="4">
        <f>-SUMIFS('01_異動主檔'!$F:$F,'01_異動主檔'!$B:$B,118,'01_異動主檔'!$D:$D,B213,'01_異動主檔'!$E:$E,"移出")</f>
        <v/>
      </c>
      <c r="G213" s="4">
        <f>SUMIFS('01_異動主檔'!$F:$F,'01_異動主檔'!$B:$B,118,'01_異動主檔'!$D:$D,B213,'01_異動主檔'!$E:$E,"新增")</f>
        <v/>
      </c>
      <c r="H213" s="4">
        <f>-SUMIFS('01_異動主檔'!$F:$F,'01_異動主檔'!$B:$B,118,'01_異動主檔'!$D:$D,B213,'01_異動主檔'!$E:$E,"減列")</f>
        <v/>
      </c>
      <c r="I213" s="4">
        <f>-SUMIFS('01_異動主檔'!$F:$F,'01_異動主檔'!$B:$B,118,'01_異動主檔'!$D:$D,B213,'01_異動主檔'!$E:$E,"精簡")</f>
        <v/>
      </c>
      <c r="J213" s="10">
        <f>D213+E213+F213+G213+H213+I213</f>
        <v/>
      </c>
    </row>
    <row r="214" ht="18" customHeight="1">
      <c r="A214" s="6" t="inlineStr">
        <is>
          <t>A008</t>
        </is>
      </c>
      <c r="B214" s="5" t="inlineStr">
        <is>
          <t>公關室</t>
        </is>
      </c>
      <c r="C214" s="6" t="n">
        <v>119</v>
      </c>
      <c r="D214" s="10">
        <f>J213</f>
        <v/>
      </c>
      <c r="E214" s="4">
        <f>SUMIFS('01_異動主檔'!$F:$F,'01_異動主檔'!$B:$B,119,'01_異動主檔'!$D:$D,B214,'01_異動主檔'!$E:$E,"移入")</f>
        <v/>
      </c>
      <c r="F214" s="4">
        <f>-SUMIFS('01_異動主檔'!$F:$F,'01_異動主檔'!$B:$B,119,'01_異動主檔'!$D:$D,B214,'01_異動主檔'!$E:$E,"移出")</f>
        <v/>
      </c>
      <c r="G214" s="4">
        <f>SUMIFS('01_異動主檔'!$F:$F,'01_異動主檔'!$B:$B,119,'01_異動主檔'!$D:$D,B214,'01_異動主檔'!$E:$E,"新增")</f>
        <v/>
      </c>
      <c r="H214" s="4">
        <f>-SUMIFS('01_異動主檔'!$F:$F,'01_異動主檔'!$B:$B,119,'01_異動主檔'!$D:$D,B214,'01_異動主檔'!$E:$E,"減列")</f>
        <v/>
      </c>
      <c r="I214" s="4">
        <f>-SUMIFS('01_異動主檔'!$F:$F,'01_異動主檔'!$B:$B,119,'01_異動主檔'!$D:$D,B214,'01_異動主檔'!$E:$E,"精簡")</f>
        <v/>
      </c>
      <c r="J214" s="10">
        <f>D214+E214+F214+G214+H214+I214</f>
        <v/>
      </c>
    </row>
    <row r="215" ht="18" customHeight="1">
      <c r="A215" s="4" t="inlineStr">
        <is>
          <t>A008</t>
        </is>
      </c>
      <c r="B215" s="3" t="inlineStr">
        <is>
          <t>公關室</t>
        </is>
      </c>
      <c r="C215" s="4" t="n">
        <v>120</v>
      </c>
      <c r="D215" s="10">
        <f>J214</f>
        <v/>
      </c>
      <c r="E215" s="4">
        <f>SUMIFS('01_異動主檔'!$F:$F,'01_異動主檔'!$B:$B,120,'01_異動主檔'!$D:$D,B215,'01_異動主檔'!$E:$E,"移入")</f>
        <v/>
      </c>
      <c r="F215" s="4">
        <f>-SUMIFS('01_異動主檔'!$F:$F,'01_異動主檔'!$B:$B,120,'01_異動主檔'!$D:$D,B215,'01_異動主檔'!$E:$E,"移出")</f>
        <v/>
      </c>
      <c r="G215" s="4">
        <f>SUMIFS('01_異動主檔'!$F:$F,'01_異動主檔'!$B:$B,120,'01_異動主檔'!$D:$D,B215,'01_異動主檔'!$E:$E,"新增")</f>
        <v/>
      </c>
      <c r="H215" s="4">
        <f>-SUMIFS('01_異動主檔'!$F:$F,'01_異動主檔'!$B:$B,120,'01_異動主檔'!$D:$D,B215,'01_異動主檔'!$E:$E,"減列")</f>
        <v/>
      </c>
      <c r="I215" s="4">
        <f>-SUMIFS('01_異動主檔'!$F:$F,'01_異動主檔'!$B:$B,120,'01_異動主檔'!$D:$D,B215,'01_異動主檔'!$E:$E,"精簡")</f>
        <v/>
      </c>
      <c r="J215" s="10">
        <f>D215+E215+F215+G215+H215+I215</f>
        <v/>
      </c>
    </row>
    <row r="216" ht="18" customHeight="1">
      <c r="A216" s="6" t="inlineStr">
        <is>
          <t>A008</t>
        </is>
      </c>
      <c r="B216" s="5" t="inlineStr">
        <is>
          <t>公關室</t>
        </is>
      </c>
      <c r="C216" s="6" t="n">
        <v>121</v>
      </c>
      <c r="D216" s="10">
        <f>J215</f>
        <v/>
      </c>
      <c r="E216" s="4">
        <f>SUMIFS('01_異動主檔'!$F:$F,'01_異動主檔'!$B:$B,121,'01_異動主檔'!$D:$D,B216,'01_異動主檔'!$E:$E,"移入")</f>
        <v/>
      </c>
      <c r="F216" s="4">
        <f>-SUMIFS('01_異動主檔'!$F:$F,'01_異動主檔'!$B:$B,121,'01_異動主檔'!$D:$D,B216,'01_異動主檔'!$E:$E,"移出")</f>
        <v/>
      </c>
      <c r="G216" s="4">
        <f>SUMIFS('01_異動主檔'!$F:$F,'01_異動主檔'!$B:$B,121,'01_異動主檔'!$D:$D,B216,'01_異動主檔'!$E:$E,"新增")</f>
        <v/>
      </c>
      <c r="H216" s="4">
        <f>-SUMIFS('01_異動主檔'!$F:$F,'01_異動主檔'!$B:$B,121,'01_異動主檔'!$D:$D,B216,'01_異動主檔'!$E:$E,"減列")</f>
        <v/>
      </c>
      <c r="I216" s="4">
        <f>-SUMIFS('01_異動主檔'!$F:$F,'01_異動主檔'!$B:$B,121,'01_異動主檔'!$D:$D,B216,'01_異動主檔'!$E:$E,"精簡")</f>
        <v/>
      </c>
      <c r="J216" s="10">
        <f>D216+E216+F216+G216+H216+I216</f>
        <v/>
      </c>
    </row>
    <row r="217" ht="18" customHeight="1">
      <c r="A217" s="4" t="inlineStr">
        <is>
          <t>A008</t>
        </is>
      </c>
      <c r="B217" s="3" t="inlineStr">
        <is>
          <t>公關室</t>
        </is>
      </c>
      <c r="C217" s="4" t="n">
        <v>122</v>
      </c>
      <c r="D217" s="10">
        <f>J216</f>
        <v/>
      </c>
      <c r="E217" s="4">
        <f>SUMIFS('01_異動主檔'!$F:$F,'01_異動主檔'!$B:$B,122,'01_異動主檔'!$D:$D,B217,'01_異動主檔'!$E:$E,"移入")</f>
        <v/>
      </c>
      <c r="F217" s="4">
        <f>-SUMIFS('01_異動主檔'!$F:$F,'01_異動主檔'!$B:$B,122,'01_異動主檔'!$D:$D,B217,'01_異動主檔'!$E:$E,"移出")</f>
        <v/>
      </c>
      <c r="G217" s="4">
        <f>SUMIFS('01_異動主檔'!$F:$F,'01_異動主檔'!$B:$B,122,'01_異動主檔'!$D:$D,B217,'01_異動主檔'!$E:$E,"新增")</f>
        <v/>
      </c>
      <c r="H217" s="4">
        <f>-SUMIFS('01_異動主檔'!$F:$F,'01_異動主檔'!$B:$B,122,'01_異動主檔'!$D:$D,B217,'01_異動主檔'!$E:$E,"減列")</f>
        <v/>
      </c>
      <c r="I217" s="4">
        <f>-SUMIFS('01_異動主檔'!$F:$F,'01_異動主檔'!$B:$B,122,'01_異動主檔'!$D:$D,B217,'01_異動主檔'!$E:$E,"精簡")</f>
        <v/>
      </c>
      <c r="J217" s="10">
        <f>D217+E217+F217+G217+H217+I217</f>
        <v/>
      </c>
    </row>
    <row r="218" ht="18" customHeight="1">
      <c r="A218" s="6" t="inlineStr">
        <is>
          <t>A008</t>
        </is>
      </c>
      <c r="B218" s="5" t="inlineStr">
        <is>
          <t>公關室</t>
        </is>
      </c>
      <c r="C218" s="6" t="n">
        <v>123</v>
      </c>
      <c r="D218" s="10">
        <f>J217</f>
        <v/>
      </c>
      <c r="E218" s="4">
        <f>SUMIFS('01_異動主檔'!$F:$F,'01_異動主檔'!$B:$B,123,'01_異動主檔'!$D:$D,B218,'01_異動主檔'!$E:$E,"移入")</f>
        <v/>
      </c>
      <c r="F218" s="4">
        <f>-SUMIFS('01_異動主檔'!$F:$F,'01_異動主檔'!$B:$B,123,'01_異動主檔'!$D:$D,B218,'01_異動主檔'!$E:$E,"移出")</f>
        <v/>
      </c>
      <c r="G218" s="4">
        <f>SUMIFS('01_異動主檔'!$F:$F,'01_異動主檔'!$B:$B,123,'01_異動主檔'!$D:$D,B218,'01_異動主檔'!$E:$E,"新增")</f>
        <v/>
      </c>
      <c r="H218" s="4">
        <f>-SUMIFS('01_異動主檔'!$F:$F,'01_異動主檔'!$B:$B,123,'01_異動主檔'!$D:$D,B218,'01_異動主檔'!$E:$E,"減列")</f>
        <v/>
      </c>
      <c r="I218" s="4">
        <f>-SUMIFS('01_異動主檔'!$F:$F,'01_異動主檔'!$B:$B,123,'01_異動主檔'!$D:$D,B218,'01_異動主檔'!$E:$E,"精簡")</f>
        <v/>
      </c>
      <c r="J218" s="10">
        <f>D218+E218+F218+G218+H218+I218</f>
        <v/>
      </c>
    </row>
    <row r="219" ht="18" customHeight="1">
      <c r="A219" s="4" t="inlineStr">
        <is>
          <t>A008</t>
        </is>
      </c>
      <c r="B219" s="3" t="inlineStr">
        <is>
          <t>公關室</t>
        </is>
      </c>
      <c r="C219" s="4" t="n">
        <v>124</v>
      </c>
      <c r="D219" s="10">
        <f>J218</f>
        <v/>
      </c>
      <c r="E219" s="4">
        <f>SUMIFS('01_異動主檔'!$F:$F,'01_異動主檔'!$B:$B,124,'01_異動主檔'!$D:$D,B219,'01_異動主檔'!$E:$E,"移入")</f>
        <v/>
      </c>
      <c r="F219" s="4">
        <f>-SUMIFS('01_異動主檔'!$F:$F,'01_異動主檔'!$B:$B,124,'01_異動主檔'!$D:$D,B219,'01_異動主檔'!$E:$E,"移出")</f>
        <v/>
      </c>
      <c r="G219" s="4">
        <f>SUMIFS('01_異動主檔'!$F:$F,'01_異動主檔'!$B:$B,124,'01_異動主檔'!$D:$D,B219,'01_異動主檔'!$E:$E,"新增")</f>
        <v/>
      </c>
      <c r="H219" s="4">
        <f>-SUMIFS('01_異動主檔'!$F:$F,'01_異動主檔'!$B:$B,124,'01_異動主檔'!$D:$D,B219,'01_異動主檔'!$E:$E,"減列")</f>
        <v/>
      </c>
      <c r="I219" s="4">
        <f>-SUMIFS('01_異動主檔'!$F:$F,'01_異動主檔'!$B:$B,124,'01_異動主檔'!$D:$D,B219,'01_異動主檔'!$E:$E,"精簡")</f>
        <v/>
      </c>
      <c r="J219" s="10">
        <f>D219+E219+F219+G219+H219+I219</f>
        <v/>
      </c>
    </row>
    <row r="220" ht="18" customHeight="1">
      <c r="A220" s="6" t="inlineStr">
        <is>
          <t>A008</t>
        </is>
      </c>
      <c r="B220" s="5" t="inlineStr">
        <is>
          <t>公關室</t>
        </is>
      </c>
      <c r="C220" s="6" t="n">
        <v>125</v>
      </c>
      <c r="D220" s="10">
        <f>J219</f>
        <v/>
      </c>
      <c r="E220" s="4">
        <f>SUMIFS('01_異動主檔'!$F:$F,'01_異動主檔'!$B:$B,125,'01_異動主檔'!$D:$D,B220,'01_異動主檔'!$E:$E,"移入")</f>
        <v/>
      </c>
      <c r="F220" s="4">
        <f>-SUMIFS('01_異動主檔'!$F:$F,'01_異動主檔'!$B:$B,125,'01_異動主檔'!$D:$D,B220,'01_異動主檔'!$E:$E,"移出")</f>
        <v/>
      </c>
      <c r="G220" s="4">
        <f>SUMIFS('01_異動主檔'!$F:$F,'01_異動主檔'!$B:$B,125,'01_異動主檔'!$D:$D,B220,'01_異動主檔'!$E:$E,"新增")</f>
        <v/>
      </c>
      <c r="H220" s="4">
        <f>-SUMIFS('01_異動主檔'!$F:$F,'01_異動主檔'!$B:$B,125,'01_異動主檔'!$D:$D,B220,'01_異動主檔'!$E:$E,"減列")</f>
        <v/>
      </c>
      <c r="I220" s="4">
        <f>-SUMIFS('01_異動主檔'!$F:$F,'01_異動主檔'!$B:$B,125,'01_異動主檔'!$D:$D,B220,'01_異動主檔'!$E:$E,"精簡")</f>
        <v/>
      </c>
      <c r="J220" s="10">
        <f>D220+E220+F220+G220+H220+I220</f>
        <v/>
      </c>
    </row>
    <row r="221" ht="18" customHeight="1">
      <c r="A221" s="4" t="inlineStr">
        <is>
          <t>B001</t>
        </is>
      </c>
      <c r="B221" s="3" t="inlineStr">
        <is>
          <t>第一組</t>
        </is>
      </c>
      <c r="C221" s="4" t="n">
        <v>99</v>
      </c>
      <c r="D221" s="10">
        <f>'02_年初員額設定'!C13</f>
        <v/>
      </c>
      <c r="E221" s="4">
        <f>SUMIFS('01_異動主檔'!$F:$F,'01_異動主檔'!$B:$B,99,'01_異動主檔'!$D:$D,B221,'01_異動主檔'!$E:$E,"移入")</f>
        <v/>
      </c>
      <c r="F221" s="4">
        <f>-SUMIFS('01_異動主檔'!$F:$F,'01_異動主檔'!$B:$B,99,'01_異動主檔'!$D:$D,B221,'01_異動主檔'!$E:$E,"移出")</f>
        <v/>
      </c>
      <c r="G221" s="4">
        <f>SUMIFS('01_異動主檔'!$F:$F,'01_異動主檔'!$B:$B,99,'01_異動主檔'!$D:$D,B221,'01_異動主檔'!$E:$E,"新增")</f>
        <v/>
      </c>
      <c r="H221" s="4">
        <f>-SUMIFS('01_異動主檔'!$F:$F,'01_異動主檔'!$B:$B,99,'01_異動主檔'!$D:$D,B221,'01_異動主檔'!$E:$E,"減列")</f>
        <v/>
      </c>
      <c r="I221" s="4">
        <f>-SUMIFS('01_異動主檔'!$F:$F,'01_異動主檔'!$B:$B,99,'01_異動主檔'!$D:$D,B221,'01_異動主檔'!$E:$E,"精簡")</f>
        <v/>
      </c>
      <c r="J221" s="10">
        <f>D221+E221+F221+G221+H221+I221</f>
        <v/>
      </c>
    </row>
    <row r="222" ht="18" customHeight="1">
      <c r="A222" s="6" t="inlineStr">
        <is>
          <t>B001</t>
        </is>
      </c>
      <c r="B222" s="5" t="inlineStr">
        <is>
          <t>第一組</t>
        </is>
      </c>
      <c r="C222" s="6" t="n">
        <v>100</v>
      </c>
      <c r="D222" s="10">
        <f>J221</f>
        <v/>
      </c>
      <c r="E222" s="4">
        <f>SUMIFS('01_異動主檔'!$F:$F,'01_異動主檔'!$B:$B,100,'01_異動主檔'!$D:$D,B222,'01_異動主檔'!$E:$E,"移入")</f>
        <v/>
      </c>
      <c r="F222" s="4">
        <f>-SUMIFS('01_異動主檔'!$F:$F,'01_異動主檔'!$B:$B,100,'01_異動主檔'!$D:$D,B222,'01_異動主檔'!$E:$E,"移出")</f>
        <v/>
      </c>
      <c r="G222" s="4">
        <f>SUMIFS('01_異動主檔'!$F:$F,'01_異動主檔'!$B:$B,100,'01_異動主檔'!$D:$D,B222,'01_異動主檔'!$E:$E,"新增")</f>
        <v/>
      </c>
      <c r="H222" s="4">
        <f>-SUMIFS('01_異動主檔'!$F:$F,'01_異動主檔'!$B:$B,100,'01_異動主檔'!$D:$D,B222,'01_異動主檔'!$E:$E,"減列")</f>
        <v/>
      </c>
      <c r="I222" s="4">
        <f>-SUMIFS('01_異動主檔'!$F:$F,'01_異動主檔'!$B:$B,100,'01_異動主檔'!$D:$D,B222,'01_異動主檔'!$E:$E,"精簡")</f>
        <v/>
      </c>
      <c r="J222" s="10">
        <f>D222+E222+F222+G222+H222+I222</f>
        <v/>
      </c>
    </row>
    <row r="223" ht="18" customHeight="1">
      <c r="A223" s="4" t="inlineStr">
        <is>
          <t>B001</t>
        </is>
      </c>
      <c r="B223" s="3" t="inlineStr">
        <is>
          <t>第一組</t>
        </is>
      </c>
      <c r="C223" s="4" t="n">
        <v>101</v>
      </c>
      <c r="D223" s="10">
        <f>J222</f>
        <v/>
      </c>
      <c r="E223" s="4">
        <f>SUMIFS('01_異動主檔'!$F:$F,'01_異動主檔'!$B:$B,101,'01_異動主檔'!$D:$D,B223,'01_異動主檔'!$E:$E,"移入")</f>
        <v/>
      </c>
      <c r="F223" s="4">
        <f>-SUMIFS('01_異動主檔'!$F:$F,'01_異動主檔'!$B:$B,101,'01_異動主檔'!$D:$D,B223,'01_異動主檔'!$E:$E,"移出")</f>
        <v/>
      </c>
      <c r="G223" s="4">
        <f>SUMIFS('01_異動主檔'!$F:$F,'01_異動主檔'!$B:$B,101,'01_異動主檔'!$D:$D,B223,'01_異動主檔'!$E:$E,"新增")</f>
        <v/>
      </c>
      <c r="H223" s="4">
        <f>-SUMIFS('01_異動主檔'!$F:$F,'01_異動主檔'!$B:$B,101,'01_異動主檔'!$D:$D,B223,'01_異動主檔'!$E:$E,"減列")</f>
        <v/>
      </c>
      <c r="I223" s="4">
        <f>-SUMIFS('01_異動主檔'!$F:$F,'01_異動主檔'!$B:$B,101,'01_異動主檔'!$D:$D,B223,'01_異動主檔'!$E:$E,"精簡")</f>
        <v/>
      </c>
      <c r="J223" s="10">
        <f>D223+E223+F223+G223+H223+I223</f>
        <v/>
      </c>
    </row>
    <row r="224" ht="18" customHeight="1">
      <c r="A224" s="6" t="inlineStr">
        <is>
          <t>B001</t>
        </is>
      </c>
      <c r="B224" s="5" t="inlineStr">
        <is>
          <t>第一組</t>
        </is>
      </c>
      <c r="C224" s="6" t="n">
        <v>102</v>
      </c>
      <c r="D224" s="10">
        <f>J223</f>
        <v/>
      </c>
      <c r="E224" s="4">
        <f>SUMIFS('01_異動主檔'!$F:$F,'01_異動主檔'!$B:$B,102,'01_異動主檔'!$D:$D,B224,'01_異動主檔'!$E:$E,"移入")</f>
        <v/>
      </c>
      <c r="F224" s="4">
        <f>-SUMIFS('01_異動主檔'!$F:$F,'01_異動主檔'!$B:$B,102,'01_異動主檔'!$D:$D,B224,'01_異動主檔'!$E:$E,"移出")</f>
        <v/>
      </c>
      <c r="G224" s="4">
        <f>SUMIFS('01_異動主檔'!$F:$F,'01_異動主檔'!$B:$B,102,'01_異動主檔'!$D:$D,B224,'01_異動主檔'!$E:$E,"新增")</f>
        <v/>
      </c>
      <c r="H224" s="4">
        <f>-SUMIFS('01_異動主檔'!$F:$F,'01_異動主檔'!$B:$B,102,'01_異動主檔'!$D:$D,B224,'01_異動主檔'!$E:$E,"減列")</f>
        <v/>
      </c>
      <c r="I224" s="4">
        <f>-SUMIFS('01_異動主檔'!$F:$F,'01_異動主檔'!$B:$B,102,'01_異動主檔'!$D:$D,B224,'01_異動主檔'!$E:$E,"精簡")</f>
        <v/>
      </c>
      <c r="J224" s="10">
        <f>D224+E224+F224+G224+H224+I224</f>
        <v/>
      </c>
    </row>
    <row r="225" ht="18" customHeight="1">
      <c r="A225" s="4" t="inlineStr">
        <is>
          <t>B001</t>
        </is>
      </c>
      <c r="B225" s="3" t="inlineStr">
        <is>
          <t>第一組</t>
        </is>
      </c>
      <c r="C225" s="4" t="n">
        <v>103</v>
      </c>
      <c r="D225" s="10">
        <f>J224</f>
        <v/>
      </c>
      <c r="E225" s="4">
        <f>SUMIFS('01_異動主檔'!$F:$F,'01_異動主檔'!$B:$B,103,'01_異動主檔'!$D:$D,B225,'01_異動主檔'!$E:$E,"移入")</f>
        <v/>
      </c>
      <c r="F225" s="4">
        <f>-SUMIFS('01_異動主檔'!$F:$F,'01_異動主檔'!$B:$B,103,'01_異動主檔'!$D:$D,B225,'01_異動主檔'!$E:$E,"移出")</f>
        <v/>
      </c>
      <c r="G225" s="4">
        <f>SUMIFS('01_異動主檔'!$F:$F,'01_異動主檔'!$B:$B,103,'01_異動主檔'!$D:$D,B225,'01_異動主檔'!$E:$E,"新增")</f>
        <v/>
      </c>
      <c r="H225" s="4">
        <f>-SUMIFS('01_異動主檔'!$F:$F,'01_異動主檔'!$B:$B,103,'01_異動主檔'!$D:$D,B225,'01_異動主檔'!$E:$E,"減列")</f>
        <v/>
      </c>
      <c r="I225" s="4">
        <f>-SUMIFS('01_異動主檔'!$F:$F,'01_異動主檔'!$B:$B,103,'01_異動主檔'!$D:$D,B225,'01_異動主檔'!$E:$E,"精簡")</f>
        <v/>
      </c>
      <c r="J225" s="10">
        <f>D225+E225+F225+G225+H225+I225</f>
        <v/>
      </c>
    </row>
    <row r="226" ht="18" customHeight="1">
      <c r="A226" s="6" t="inlineStr">
        <is>
          <t>B001</t>
        </is>
      </c>
      <c r="B226" s="5" t="inlineStr">
        <is>
          <t>第一組</t>
        </is>
      </c>
      <c r="C226" s="6" t="n">
        <v>104</v>
      </c>
      <c r="D226" s="10">
        <f>J225</f>
        <v/>
      </c>
      <c r="E226" s="4">
        <f>SUMIFS('01_異動主檔'!$F:$F,'01_異動主檔'!$B:$B,104,'01_異動主檔'!$D:$D,B226,'01_異動主檔'!$E:$E,"移入")</f>
        <v/>
      </c>
      <c r="F226" s="4">
        <f>-SUMIFS('01_異動主檔'!$F:$F,'01_異動主檔'!$B:$B,104,'01_異動主檔'!$D:$D,B226,'01_異動主檔'!$E:$E,"移出")</f>
        <v/>
      </c>
      <c r="G226" s="4">
        <f>SUMIFS('01_異動主檔'!$F:$F,'01_異動主檔'!$B:$B,104,'01_異動主檔'!$D:$D,B226,'01_異動主檔'!$E:$E,"新增")</f>
        <v/>
      </c>
      <c r="H226" s="4">
        <f>-SUMIFS('01_異動主檔'!$F:$F,'01_異動主檔'!$B:$B,104,'01_異動主檔'!$D:$D,B226,'01_異動主檔'!$E:$E,"減列")</f>
        <v/>
      </c>
      <c r="I226" s="4">
        <f>-SUMIFS('01_異動主檔'!$F:$F,'01_異動主檔'!$B:$B,104,'01_異動主檔'!$D:$D,B226,'01_異動主檔'!$E:$E,"精簡")</f>
        <v/>
      </c>
      <c r="J226" s="10">
        <f>D226+E226+F226+G226+H226+I226</f>
        <v/>
      </c>
    </row>
    <row r="227" ht="18" customHeight="1">
      <c r="A227" s="4" t="inlineStr">
        <is>
          <t>B001</t>
        </is>
      </c>
      <c r="B227" s="3" t="inlineStr">
        <is>
          <t>第一組</t>
        </is>
      </c>
      <c r="C227" s="4" t="n">
        <v>105</v>
      </c>
      <c r="D227" s="10">
        <f>J226</f>
        <v/>
      </c>
      <c r="E227" s="4">
        <f>SUMIFS('01_異動主檔'!$F:$F,'01_異動主檔'!$B:$B,105,'01_異動主檔'!$D:$D,B227,'01_異動主檔'!$E:$E,"移入")</f>
        <v/>
      </c>
      <c r="F227" s="4">
        <f>-SUMIFS('01_異動主檔'!$F:$F,'01_異動主檔'!$B:$B,105,'01_異動主檔'!$D:$D,B227,'01_異動主檔'!$E:$E,"移出")</f>
        <v/>
      </c>
      <c r="G227" s="4">
        <f>SUMIFS('01_異動主檔'!$F:$F,'01_異動主檔'!$B:$B,105,'01_異動主檔'!$D:$D,B227,'01_異動主檔'!$E:$E,"新增")</f>
        <v/>
      </c>
      <c r="H227" s="4">
        <f>-SUMIFS('01_異動主檔'!$F:$F,'01_異動主檔'!$B:$B,105,'01_異動主檔'!$D:$D,B227,'01_異動主檔'!$E:$E,"減列")</f>
        <v/>
      </c>
      <c r="I227" s="4">
        <f>-SUMIFS('01_異動主檔'!$F:$F,'01_異動主檔'!$B:$B,105,'01_異動主檔'!$D:$D,B227,'01_異動主檔'!$E:$E,"精簡")</f>
        <v/>
      </c>
      <c r="J227" s="10">
        <f>D227+E227+F227+G227+H227+I227</f>
        <v/>
      </c>
    </row>
    <row r="228" ht="18" customHeight="1">
      <c r="A228" s="6" t="inlineStr">
        <is>
          <t>B001</t>
        </is>
      </c>
      <c r="B228" s="5" t="inlineStr">
        <is>
          <t>第一組</t>
        </is>
      </c>
      <c r="C228" s="6" t="n">
        <v>106</v>
      </c>
      <c r="D228" s="10">
        <f>J227</f>
        <v/>
      </c>
      <c r="E228" s="4">
        <f>SUMIFS('01_異動主檔'!$F:$F,'01_異動主檔'!$B:$B,106,'01_異動主檔'!$D:$D,B228,'01_異動主檔'!$E:$E,"移入")</f>
        <v/>
      </c>
      <c r="F228" s="4">
        <f>-SUMIFS('01_異動主檔'!$F:$F,'01_異動主檔'!$B:$B,106,'01_異動主檔'!$D:$D,B228,'01_異動主檔'!$E:$E,"移出")</f>
        <v/>
      </c>
      <c r="G228" s="4">
        <f>SUMIFS('01_異動主檔'!$F:$F,'01_異動主檔'!$B:$B,106,'01_異動主檔'!$D:$D,B228,'01_異動主檔'!$E:$E,"新增")</f>
        <v/>
      </c>
      <c r="H228" s="4">
        <f>-SUMIFS('01_異動主檔'!$F:$F,'01_異動主檔'!$B:$B,106,'01_異動主檔'!$D:$D,B228,'01_異動主檔'!$E:$E,"減列")</f>
        <v/>
      </c>
      <c r="I228" s="4">
        <f>-SUMIFS('01_異動主檔'!$F:$F,'01_異動主檔'!$B:$B,106,'01_異動主檔'!$D:$D,B228,'01_異動主檔'!$E:$E,"精簡")</f>
        <v/>
      </c>
      <c r="J228" s="10">
        <f>D228+E228+F228+G228+H228+I228</f>
        <v/>
      </c>
    </row>
    <row r="229" ht="18" customHeight="1">
      <c r="A229" s="4" t="inlineStr">
        <is>
          <t>B001</t>
        </is>
      </c>
      <c r="B229" s="3" t="inlineStr">
        <is>
          <t>第一組</t>
        </is>
      </c>
      <c r="C229" s="4" t="n">
        <v>107</v>
      </c>
      <c r="D229" s="10">
        <f>J228</f>
        <v/>
      </c>
      <c r="E229" s="4">
        <f>SUMIFS('01_異動主檔'!$F:$F,'01_異動主檔'!$B:$B,107,'01_異動主檔'!$D:$D,B229,'01_異動主檔'!$E:$E,"移入")</f>
        <v/>
      </c>
      <c r="F229" s="4">
        <f>-SUMIFS('01_異動主檔'!$F:$F,'01_異動主檔'!$B:$B,107,'01_異動主檔'!$D:$D,B229,'01_異動主檔'!$E:$E,"移出")</f>
        <v/>
      </c>
      <c r="G229" s="4">
        <f>SUMIFS('01_異動主檔'!$F:$F,'01_異動主檔'!$B:$B,107,'01_異動主檔'!$D:$D,B229,'01_異動主檔'!$E:$E,"新增")</f>
        <v/>
      </c>
      <c r="H229" s="4">
        <f>-SUMIFS('01_異動主檔'!$F:$F,'01_異動主檔'!$B:$B,107,'01_異動主檔'!$D:$D,B229,'01_異動主檔'!$E:$E,"減列")</f>
        <v/>
      </c>
      <c r="I229" s="4">
        <f>-SUMIFS('01_異動主檔'!$F:$F,'01_異動主檔'!$B:$B,107,'01_異動主檔'!$D:$D,B229,'01_異動主檔'!$E:$E,"精簡")</f>
        <v/>
      </c>
      <c r="J229" s="10">
        <f>D229+E229+F229+G229+H229+I229</f>
        <v/>
      </c>
    </row>
    <row r="230" ht="18" customHeight="1">
      <c r="A230" s="6" t="inlineStr">
        <is>
          <t>B001</t>
        </is>
      </c>
      <c r="B230" s="5" t="inlineStr">
        <is>
          <t>第一組</t>
        </is>
      </c>
      <c r="C230" s="6" t="n">
        <v>108</v>
      </c>
      <c r="D230" s="10">
        <f>J229</f>
        <v/>
      </c>
      <c r="E230" s="4">
        <f>SUMIFS('01_異動主檔'!$F:$F,'01_異動主檔'!$B:$B,108,'01_異動主檔'!$D:$D,B230,'01_異動主檔'!$E:$E,"移入")</f>
        <v/>
      </c>
      <c r="F230" s="4">
        <f>-SUMIFS('01_異動主檔'!$F:$F,'01_異動主檔'!$B:$B,108,'01_異動主檔'!$D:$D,B230,'01_異動主檔'!$E:$E,"移出")</f>
        <v/>
      </c>
      <c r="G230" s="4">
        <f>SUMIFS('01_異動主檔'!$F:$F,'01_異動主檔'!$B:$B,108,'01_異動主檔'!$D:$D,B230,'01_異動主檔'!$E:$E,"新增")</f>
        <v/>
      </c>
      <c r="H230" s="4">
        <f>-SUMIFS('01_異動主檔'!$F:$F,'01_異動主檔'!$B:$B,108,'01_異動主檔'!$D:$D,B230,'01_異動主檔'!$E:$E,"減列")</f>
        <v/>
      </c>
      <c r="I230" s="4">
        <f>-SUMIFS('01_異動主檔'!$F:$F,'01_異動主檔'!$B:$B,108,'01_異動主檔'!$D:$D,B230,'01_異動主檔'!$E:$E,"精簡")</f>
        <v/>
      </c>
      <c r="J230" s="10">
        <f>D230+E230+F230+G230+H230+I230</f>
        <v/>
      </c>
    </row>
    <row r="231" ht="18" customHeight="1">
      <c r="A231" s="4" t="inlineStr">
        <is>
          <t>B001</t>
        </is>
      </c>
      <c r="B231" s="3" t="inlineStr">
        <is>
          <t>第一組</t>
        </is>
      </c>
      <c r="C231" s="4" t="n">
        <v>109</v>
      </c>
      <c r="D231" s="10">
        <f>J230</f>
        <v/>
      </c>
      <c r="E231" s="4">
        <f>SUMIFS('01_異動主檔'!$F:$F,'01_異動主檔'!$B:$B,109,'01_異動主檔'!$D:$D,B231,'01_異動主檔'!$E:$E,"移入")</f>
        <v/>
      </c>
      <c r="F231" s="4">
        <f>-SUMIFS('01_異動主檔'!$F:$F,'01_異動主檔'!$B:$B,109,'01_異動主檔'!$D:$D,B231,'01_異動主檔'!$E:$E,"移出")</f>
        <v/>
      </c>
      <c r="G231" s="4">
        <f>SUMIFS('01_異動主檔'!$F:$F,'01_異動主檔'!$B:$B,109,'01_異動主檔'!$D:$D,B231,'01_異動主檔'!$E:$E,"新增")</f>
        <v/>
      </c>
      <c r="H231" s="4">
        <f>-SUMIFS('01_異動主檔'!$F:$F,'01_異動主檔'!$B:$B,109,'01_異動主檔'!$D:$D,B231,'01_異動主檔'!$E:$E,"減列")</f>
        <v/>
      </c>
      <c r="I231" s="4">
        <f>-SUMIFS('01_異動主檔'!$F:$F,'01_異動主檔'!$B:$B,109,'01_異動主檔'!$D:$D,B231,'01_異動主檔'!$E:$E,"精簡")</f>
        <v/>
      </c>
      <c r="J231" s="10">
        <f>D231+E231+F231+G231+H231+I231</f>
        <v/>
      </c>
    </row>
    <row r="232" ht="18" customHeight="1">
      <c r="A232" s="6" t="inlineStr">
        <is>
          <t>B001</t>
        </is>
      </c>
      <c r="B232" s="5" t="inlineStr">
        <is>
          <t>第一組</t>
        </is>
      </c>
      <c r="C232" s="6" t="n">
        <v>110</v>
      </c>
      <c r="D232" s="10">
        <f>J231</f>
        <v/>
      </c>
      <c r="E232" s="4">
        <f>SUMIFS('01_異動主檔'!$F:$F,'01_異動主檔'!$B:$B,110,'01_異動主檔'!$D:$D,B232,'01_異動主檔'!$E:$E,"移入")</f>
        <v/>
      </c>
      <c r="F232" s="4">
        <f>-SUMIFS('01_異動主檔'!$F:$F,'01_異動主檔'!$B:$B,110,'01_異動主檔'!$D:$D,B232,'01_異動主檔'!$E:$E,"移出")</f>
        <v/>
      </c>
      <c r="G232" s="4">
        <f>SUMIFS('01_異動主檔'!$F:$F,'01_異動主檔'!$B:$B,110,'01_異動主檔'!$D:$D,B232,'01_異動主檔'!$E:$E,"新增")</f>
        <v/>
      </c>
      <c r="H232" s="4">
        <f>-SUMIFS('01_異動主檔'!$F:$F,'01_異動主檔'!$B:$B,110,'01_異動主檔'!$D:$D,B232,'01_異動主檔'!$E:$E,"減列")</f>
        <v/>
      </c>
      <c r="I232" s="4">
        <f>-SUMIFS('01_異動主檔'!$F:$F,'01_異動主檔'!$B:$B,110,'01_異動主檔'!$D:$D,B232,'01_異動主檔'!$E:$E,"精簡")</f>
        <v/>
      </c>
      <c r="J232" s="10">
        <f>D232+E232+F232+G232+H232+I232</f>
        <v/>
      </c>
    </row>
    <row r="233" ht="18" customHeight="1">
      <c r="A233" s="4" t="inlineStr">
        <is>
          <t>B001</t>
        </is>
      </c>
      <c r="B233" s="3" t="inlineStr">
        <is>
          <t>第一組</t>
        </is>
      </c>
      <c r="C233" s="4" t="n">
        <v>111</v>
      </c>
      <c r="D233" s="10">
        <f>J232</f>
        <v/>
      </c>
      <c r="E233" s="4">
        <f>SUMIFS('01_異動主檔'!$F:$F,'01_異動主檔'!$B:$B,111,'01_異動主檔'!$D:$D,B233,'01_異動主檔'!$E:$E,"移入")</f>
        <v/>
      </c>
      <c r="F233" s="4">
        <f>-SUMIFS('01_異動主檔'!$F:$F,'01_異動主檔'!$B:$B,111,'01_異動主檔'!$D:$D,B233,'01_異動主檔'!$E:$E,"移出")</f>
        <v/>
      </c>
      <c r="G233" s="4">
        <f>SUMIFS('01_異動主檔'!$F:$F,'01_異動主檔'!$B:$B,111,'01_異動主檔'!$D:$D,B233,'01_異動主檔'!$E:$E,"新增")</f>
        <v/>
      </c>
      <c r="H233" s="4">
        <f>-SUMIFS('01_異動主檔'!$F:$F,'01_異動主檔'!$B:$B,111,'01_異動主檔'!$D:$D,B233,'01_異動主檔'!$E:$E,"減列")</f>
        <v/>
      </c>
      <c r="I233" s="4">
        <f>-SUMIFS('01_異動主檔'!$F:$F,'01_異動主檔'!$B:$B,111,'01_異動主檔'!$D:$D,B233,'01_異動主檔'!$E:$E,"精簡")</f>
        <v/>
      </c>
      <c r="J233" s="10">
        <f>D233+E233+F233+G233+H233+I233</f>
        <v/>
      </c>
    </row>
    <row r="234" ht="18" customHeight="1">
      <c r="A234" s="6" t="inlineStr">
        <is>
          <t>B001</t>
        </is>
      </c>
      <c r="B234" s="5" t="inlineStr">
        <is>
          <t>第一組</t>
        </is>
      </c>
      <c r="C234" s="6" t="n">
        <v>112</v>
      </c>
      <c r="D234" s="10">
        <f>J233</f>
        <v/>
      </c>
      <c r="E234" s="4">
        <f>SUMIFS('01_異動主檔'!$F:$F,'01_異動主檔'!$B:$B,112,'01_異動主檔'!$D:$D,B234,'01_異動主檔'!$E:$E,"移入")</f>
        <v/>
      </c>
      <c r="F234" s="4">
        <f>-SUMIFS('01_異動主檔'!$F:$F,'01_異動主檔'!$B:$B,112,'01_異動主檔'!$D:$D,B234,'01_異動主檔'!$E:$E,"移出")</f>
        <v/>
      </c>
      <c r="G234" s="4">
        <f>SUMIFS('01_異動主檔'!$F:$F,'01_異動主檔'!$B:$B,112,'01_異動主檔'!$D:$D,B234,'01_異動主檔'!$E:$E,"新增")</f>
        <v/>
      </c>
      <c r="H234" s="4">
        <f>-SUMIFS('01_異動主檔'!$F:$F,'01_異動主檔'!$B:$B,112,'01_異動主檔'!$D:$D,B234,'01_異動主檔'!$E:$E,"減列")</f>
        <v/>
      </c>
      <c r="I234" s="4">
        <f>-SUMIFS('01_異動主檔'!$F:$F,'01_異動主檔'!$B:$B,112,'01_異動主檔'!$D:$D,B234,'01_異動主檔'!$E:$E,"精簡")</f>
        <v/>
      </c>
      <c r="J234" s="10">
        <f>D234+E234+F234+G234+H234+I234</f>
        <v/>
      </c>
    </row>
    <row r="235" ht="18" customHeight="1">
      <c r="A235" s="4" t="inlineStr">
        <is>
          <t>B001</t>
        </is>
      </c>
      <c r="B235" s="3" t="inlineStr">
        <is>
          <t>第一組</t>
        </is>
      </c>
      <c r="C235" s="4" t="n">
        <v>113</v>
      </c>
      <c r="D235" s="10">
        <f>J234</f>
        <v/>
      </c>
      <c r="E235" s="4">
        <f>SUMIFS('01_異動主檔'!$F:$F,'01_異動主檔'!$B:$B,113,'01_異動主檔'!$D:$D,B235,'01_異動主檔'!$E:$E,"移入")</f>
        <v/>
      </c>
      <c r="F235" s="4">
        <f>-SUMIFS('01_異動主檔'!$F:$F,'01_異動主檔'!$B:$B,113,'01_異動主檔'!$D:$D,B235,'01_異動主檔'!$E:$E,"移出")</f>
        <v/>
      </c>
      <c r="G235" s="4">
        <f>SUMIFS('01_異動主檔'!$F:$F,'01_異動主檔'!$B:$B,113,'01_異動主檔'!$D:$D,B235,'01_異動主檔'!$E:$E,"新增")</f>
        <v/>
      </c>
      <c r="H235" s="4">
        <f>-SUMIFS('01_異動主檔'!$F:$F,'01_異動主檔'!$B:$B,113,'01_異動主檔'!$D:$D,B235,'01_異動主檔'!$E:$E,"減列")</f>
        <v/>
      </c>
      <c r="I235" s="4">
        <f>-SUMIFS('01_異動主檔'!$F:$F,'01_異動主檔'!$B:$B,113,'01_異動主檔'!$D:$D,B235,'01_異動主檔'!$E:$E,"精簡")</f>
        <v/>
      </c>
      <c r="J235" s="10">
        <f>D235+E235+F235+G235+H235+I235</f>
        <v/>
      </c>
    </row>
    <row r="236" ht="18" customHeight="1">
      <c r="A236" s="6" t="inlineStr">
        <is>
          <t>B001</t>
        </is>
      </c>
      <c r="B236" s="5" t="inlineStr">
        <is>
          <t>第一組</t>
        </is>
      </c>
      <c r="C236" s="6" t="n">
        <v>114</v>
      </c>
      <c r="D236" s="10">
        <f>J235</f>
        <v/>
      </c>
      <c r="E236" s="4">
        <f>SUMIFS('01_異動主檔'!$F:$F,'01_異動主檔'!$B:$B,114,'01_異動主檔'!$D:$D,B236,'01_異動主檔'!$E:$E,"移入")</f>
        <v/>
      </c>
      <c r="F236" s="4">
        <f>-SUMIFS('01_異動主檔'!$F:$F,'01_異動主檔'!$B:$B,114,'01_異動主檔'!$D:$D,B236,'01_異動主檔'!$E:$E,"移出")</f>
        <v/>
      </c>
      <c r="G236" s="4">
        <f>SUMIFS('01_異動主檔'!$F:$F,'01_異動主檔'!$B:$B,114,'01_異動主檔'!$D:$D,B236,'01_異動主檔'!$E:$E,"新增")</f>
        <v/>
      </c>
      <c r="H236" s="4">
        <f>-SUMIFS('01_異動主檔'!$F:$F,'01_異動主檔'!$B:$B,114,'01_異動主檔'!$D:$D,B236,'01_異動主檔'!$E:$E,"減列")</f>
        <v/>
      </c>
      <c r="I236" s="4">
        <f>-SUMIFS('01_異動主檔'!$F:$F,'01_異動主檔'!$B:$B,114,'01_異動主檔'!$D:$D,B236,'01_異動主檔'!$E:$E,"精簡")</f>
        <v/>
      </c>
      <c r="J236" s="10">
        <f>D236+E236+F236+G236+H236+I236</f>
        <v/>
      </c>
    </row>
    <row r="237" ht="18" customHeight="1">
      <c r="A237" s="4" t="inlineStr">
        <is>
          <t>B001</t>
        </is>
      </c>
      <c r="B237" s="3" t="inlineStr">
        <is>
          <t>第一組</t>
        </is>
      </c>
      <c r="C237" s="4" t="n">
        <v>115</v>
      </c>
      <c r="D237" s="10">
        <f>J236</f>
        <v/>
      </c>
      <c r="E237" s="4">
        <f>SUMIFS('01_異動主檔'!$F:$F,'01_異動主檔'!$B:$B,115,'01_異動主檔'!$D:$D,B237,'01_異動主檔'!$E:$E,"移入")</f>
        <v/>
      </c>
      <c r="F237" s="4">
        <f>-SUMIFS('01_異動主檔'!$F:$F,'01_異動主檔'!$B:$B,115,'01_異動主檔'!$D:$D,B237,'01_異動主檔'!$E:$E,"移出")</f>
        <v/>
      </c>
      <c r="G237" s="4">
        <f>SUMIFS('01_異動主檔'!$F:$F,'01_異動主檔'!$B:$B,115,'01_異動主檔'!$D:$D,B237,'01_異動主檔'!$E:$E,"新增")</f>
        <v/>
      </c>
      <c r="H237" s="4">
        <f>-SUMIFS('01_異動主檔'!$F:$F,'01_異動主檔'!$B:$B,115,'01_異動主檔'!$D:$D,B237,'01_異動主檔'!$E:$E,"減列")</f>
        <v/>
      </c>
      <c r="I237" s="4">
        <f>-SUMIFS('01_異動主檔'!$F:$F,'01_異動主檔'!$B:$B,115,'01_異動主檔'!$D:$D,B237,'01_異動主檔'!$E:$E,"精簡")</f>
        <v/>
      </c>
      <c r="J237" s="10">
        <f>D237+E237+F237+G237+H237+I237</f>
        <v/>
      </c>
    </row>
    <row r="238" ht="18" customHeight="1">
      <c r="A238" s="6" t="inlineStr">
        <is>
          <t>B001</t>
        </is>
      </c>
      <c r="B238" s="5" t="inlineStr">
        <is>
          <t>第一組</t>
        </is>
      </c>
      <c r="C238" s="6" t="n">
        <v>116</v>
      </c>
      <c r="D238" s="10">
        <f>J237</f>
        <v/>
      </c>
      <c r="E238" s="4">
        <f>SUMIFS('01_異動主檔'!$F:$F,'01_異動主檔'!$B:$B,116,'01_異動主檔'!$D:$D,B238,'01_異動主檔'!$E:$E,"移入")</f>
        <v/>
      </c>
      <c r="F238" s="4">
        <f>-SUMIFS('01_異動主檔'!$F:$F,'01_異動主檔'!$B:$B,116,'01_異動主檔'!$D:$D,B238,'01_異動主檔'!$E:$E,"移出")</f>
        <v/>
      </c>
      <c r="G238" s="4">
        <f>SUMIFS('01_異動主檔'!$F:$F,'01_異動主檔'!$B:$B,116,'01_異動主檔'!$D:$D,B238,'01_異動主檔'!$E:$E,"新增")</f>
        <v/>
      </c>
      <c r="H238" s="4">
        <f>-SUMIFS('01_異動主檔'!$F:$F,'01_異動主檔'!$B:$B,116,'01_異動主檔'!$D:$D,B238,'01_異動主檔'!$E:$E,"減列")</f>
        <v/>
      </c>
      <c r="I238" s="4">
        <f>-SUMIFS('01_異動主檔'!$F:$F,'01_異動主檔'!$B:$B,116,'01_異動主檔'!$D:$D,B238,'01_異動主檔'!$E:$E,"精簡")</f>
        <v/>
      </c>
      <c r="J238" s="10">
        <f>D238+E238+F238+G238+H238+I238</f>
        <v/>
      </c>
    </row>
    <row r="239" ht="18" customHeight="1">
      <c r="A239" s="4" t="inlineStr">
        <is>
          <t>B001</t>
        </is>
      </c>
      <c r="B239" s="3" t="inlineStr">
        <is>
          <t>第一組</t>
        </is>
      </c>
      <c r="C239" s="4" t="n">
        <v>117</v>
      </c>
      <c r="D239" s="10">
        <f>J238</f>
        <v/>
      </c>
      <c r="E239" s="4">
        <f>SUMIFS('01_異動主檔'!$F:$F,'01_異動主檔'!$B:$B,117,'01_異動主檔'!$D:$D,B239,'01_異動主檔'!$E:$E,"移入")</f>
        <v/>
      </c>
      <c r="F239" s="4">
        <f>-SUMIFS('01_異動主檔'!$F:$F,'01_異動主檔'!$B:$B,117,'01_異動主檔'!$D:$D,B239,'01_異動主檔'!$E:$E,"移出")</f>
        <v/>
      </c>
      <c r="G239" s="4">
        <f>SUMIFS('01_異動主檔'!$F:$F,'01_異動主檔'!$B:$B,117,'01_異動主檔'!$D:$D,B239,'01_異動主檔'!$E:$E,"新增")</f>
        <v/>
      </c>
      <c r="H239" s="4">
        <f>-SUMIFS('01_異動主檔'!$F:$F,'01_異動主檔'!$B:$B,117,'01_異動主檔'!$D:$D,B239,'01_異動主檔'!$E:$E,"減列")</f>
        <v/>
      </c>
      <c r="I239" s="4">
        <f>-SUMIFS('01_異動主檔'!$F:$F,'01_異動主檔'!$B:$B,117,'01_異動主檔'!$D:$D,B239,'01_異動主檔'!$E:$E,"精簡")</f>
        <v/>
      </c>
      <c r="J239" s="10">
        <f>D239+E239+F239+G239+H239+I239</f>
        <v/>
      </c>
    </row>
    <row r="240" ht="18" customHeight="1">
      <c r="A240" s="6" t="inlineStr">
        <is>
          <t>B001</t>
        </is>
      </c>
      <c r="B240" s="5" t="inlineStr">
        <is>
          <t>第一組</t>
        </is>
      </c>
      <c r="C240" s="6" t="n">
        <v>118</v>
      </c>
      <c r="D240" s="10">
        <f>J239</f>
        <v/>
      </c>
      <c r="E240" s="4">
        <f>SUMIFS('01_異動主檔'!$F:$F,'01_異動主檔'!$B:$B,118,'01_異動主檔'!$D:$D,B240,'01_異動主檔'!$E:$E,"移入")</f>
        <v/>
      </c>
      <c r="F240" s="4">
        <f>-SUMIFS('01_異動主檔'!$F:$F,'01_異動主檔'!$B:$B,118,'01_異動主檔'!$D:$D,B240,'01_異動主檔'!$E:$E,"移出")</f>
        <v/>
      </c>
      <c r="G240" s="4">
        <f>SUMIFS('01_異動主檔'!$F:$F,'01_異動主檔'!$B:$B,118,'01_異動主檔'!$D:$D,B240,'01_異動主檔'!$E:$E,"新增")</f>
        <v/>
      </c>
      <c r="H240" s="4">
        <f>-SUMIFS('01_異動主檔'!$F:$F,'01_異動主檔'!$B:$B,118,'01_異動主檔'!$D:$D,B240,'01_異動主檔'!$E:$E,"減列")</f>
        <v/>
      </c>
      <c r="I240" s="4">
        <f>-SUMIFS('01_異動主檔'!$F:$F,'01_異動主檔'!$B:$B,118,'01_異動主檔'!$D:$D,B240,'01_異動主檔'!$E:$E,"精簡")</f>
        <v/>
      </c>
      <c r="J240" s="10">
        <f>D240+E240+F240+G240+H240+I240</f>
        <v/>
      </c>
    </row>
    <row r="241" ht="18" customHeight="1">
      <c r="A241" s="4" t="inlineStr">
        <is>
          <t>B001</t>
        </is>
      </c>
      <c r="B241" s="3" t="inlineStr">
        <is>
          <t>第一組</t>
        </is>
      </c>
      <c r="C241" s="4" t="n">
        <v>119</v>
      </c>
      <c r="D241" s="10">
        <f>J240</f>
        <v/>
      </c>
      <c r="E241" s="4">
        <f>SUMIFS('01_異動主檔'!$F:$F,'01_異動主檔'!$B:$B,119,'01_異動主檔'!$D:$D,B241,'01_異動主檔'!$E:$E,"移入")</f>
        <v/>
      </c>
      <c r="F241" s="4">
        <f>-SUMIFS('01_異動主檔'!$F:$F,'01_異動主檔'!$B:$B,119,'01_異動主檔'!$D:$D,B241,'01_異動主檔'!$E:$E,"移出")</f>
        <v/>
      </c>
      <c r="G241" s="4">
        <f>SUMIFS('01_異動主檔'!$F:$F,'01_異動主檔'!$B:$B,119,'01_異動主檔'!$D:$D,B241,'01_異動主檔'!$E:$E,"新增")</f>
        <v/>
      </c>
      <c r="H241" s="4">
        <f>-SUMIFS('01_異動主檔'!$F:$F,'01_異動主檔'!$B:$B,119,'01_異動主檔'!$D:$D,B241,'01_異動主檔'!$E:$E,"減列")</f>
        <v/>
      </c>
      <c r="I241" s="4">
        <f>-SUMIFS('01_異動主檔'!$F:$F,'01_異動主檔'!$B:$B,119,'01_異動主檔'!$D:$D,B241,'01_異動主檔'!$E:$E,"精簡")</f>
        <v/>
      </c>
      <c r="J241" s="10">
        <f>D241+E241+F241+G241+H241+I241</f>
        <v/>
      </c>
    </row>
    <row r="242" ht="18" customHeight="1">
      <c r="A242" s="6" t="inlineStr">
        <is>
          <t>B001</t>
        </is>
      </c>
      <c r="B242" s="5" t="inlineStr">
        <is>
          <t>第一組</t>
        </is>
      </c>
      <c r="C242" s="6" t="n">
        <v>120</v>
      </c>
      <c r="D242" s="10">
        <f>J241</f>
        <v/>
      </c>
      <c r="E242" s="4">
        <f>SUMIFS('01_異動主檔'!$F:$F,'01_異動主檔'!$B:$B,120,'01_異動主檔'!$D:$D,B242,'01_異動主檔'!$E:$E,"移入")</f>
        <v/>
      </c>
      <c r="F242" s="4">
        <f>-SUMIFS('01_異動主檔'!$F:$F,'01_異動主檔'!$B:$B,120,'01_異動主檔'!$D:$D,B242,'01_異動主檔'!$E:$E,"移出")</f>
        <v/>
      </c>
      <c r="G242" s="4">
        <f>SUMIFS('01_異動主檔'!$F:$F,'01_異動主檔'!$B:$B,120,'01_異動主檔'!$D:$D,B242,'01_異動主檔'!$E:$E,"新增")</f>
        <v/>
      </c>
      <c r="H242" s="4">
        <f>-SUMIFS('01_異動主檔'!$F:$F,'01_異動主檔'!$B:$B,120,'01_異動主檔'!$D:$D,B242,'01_異動主檔'!$E:$E,"減列")</f>
        <v/>
      </c>
      <c r="I242" s="4">
        <f>-SUMIFS('01_異動主檔'!$F:$F,'01_異動主檔'!$B:$B,120,'01_異動主檔'!$D:$D,B242,'01_異動主檔'!$E:$E,"精簡")</f>
        <v/>
      </c>
      <c r="J242" s="10">
        <f>D242+E242+F242+G242+H242+I242</f>
        <v/>
      </c>
    </row>
    <row r="243" ht="18" customHeight="1">
      <c r="A243" s="4" t="inlineStr">
        <is>
          <t>B001</t>
        </is>
      </c>
      <c r="B243" s="3" t="inlineStr">
        <is>
          <t>第一組</t>
        </is>
      </c>
      <c r="C243" s="4" t="n">
        <v>121</v>
      </c>
      <c r="D243" s="10">
        <f>J242</f>
        <v/>
      </c>
      <c r="E243" s="4">
        <f>SUMIFS('01_異動主檔'!$F:$F,'01_異動主檔'!$B:$B,121,'01_異動主檔'!$D:$D,B243,'01_異動主檔'!$E:$E,"移入")</f>
        <v/>
      </c>
      <c r="F243" s="4">
        <f>-SUMIFS('01_異動主檔'!$F:$F,'01_異動主檔'!$B:$B,121,'01_異動主檔'!$D:$D,B243,'01_異動主檔'!$E:$E,"移出")</f>
        <v/>
      </c>
      <c r="G243" s="4">
        <f>SUMIFS('01_異動主檔'!$F:$F,'01_異動主檔'!$B:$B,121,'01_異動主檔'!$D:$D,B243,'01_異動主檔'!$E:$E,"新增")</f>
        <v/>
      </c>
      <c r="H243" s="4">
        <f>-SUMIFS('01_異動主檔'!$F:$F,'01_異動主檔'!$B:$B,121,'01_異動主檔'!$D:$D,B243,'01_異動主檔'!$E:$E,"減列")</f>
        <v/>
      </c>
      <c r="I243" s="4">
        <f>-SUMIFS('01_異動主檔'!$F:$F,'01_異動主檔'!$B:$B,121,'01_異動主檔'!$D:$D,B243,'01_異動主檔'!$E:$E,"精簡")</f>
        <v/>
      </c>
      <c r="J243" s="10">
        <f>D243+E243+F243+G243+H243+I243</f>
        <v/>
      </c>
    </row>
    <row r="244" ht="18" customHeight="1">
      <c r="A244" s="6" t="inlineStr">
        <is>
          <t>B001</t>
        </is>
      </c>
      <c r="B244" s="5" t="inlineStr">
        <is>
          <t>第一組</t>
        </is>
      </c>
      <c r="C244" s="6" t="n">
        <v>122</v>
      </c>
      <c r="D244" s="10">
        <f>J243</f>
        <v/>
      </c>
      <c r="E244" s="4">
        <f>SUMIFS('01_異動主檔'!$F:$F,'01_異動主檔'!$B:$B,122,'01_異動主檔'!$D:$D,B244,'01_異動主檔'!$E:$E,"移入")</f>
        <v/>
      </c>
      <c r="F244" s="4">
        <f>-SUMIFS('01_異動主檔'!$F:$F,'01_異動主檔'!$B:$B,122,'01_異動主檔'!$D:$D,B244,'01_異動主檔'!$E:$E,"移出")</f>
        <v/>
      </c>
      <c r="G244" s="4">
        <f>SUMIFS('01_異動主檔'!$F:$F,'01_異動主檔'!$B:$B,122,'01_異動主檔'!$D:$D,B244,'01_異動主檔'!$E:$E,"新增")</f>
        <v/>
      </c>
      <c r="H244" s="4">
        <f>-SUMIFS('01_異動主檔'!$F:$F,'01_異動主檔'!$B:$B,122,'01_異動主檔'!$D:$D,B244,'01_異動主檔'!$E:$E,"減列")</f>
        <v/>
      </c>
      <c r="I244" s="4">
        <f>-SUMIFS('01_異動主檔'!$F:$F,'01_異動主檔'!$B:$B,122,'01_異動主檔'!$D:$D,B244,'01_異動主檔'!$E:$E,"精簡")</f>
        <v/>
      </c>
      <c r="J244" s="10">
        <f>D244+E244+F244+G244+H244+I244</f>
        <v/>
      </c>
    </row>
    <row r="245" ht="18" customHeight="1">
      <c r="A245" s="4" t="inlineStr">
        <is>
          <t>B001</t>
        </is>
      </c>
      <c r="B245" s="3" t="inlineStr">
        <is>
          <t>第一組</t>
        </is>
      </c>
      <c r="C245" s="4" t="n">
        <v>123</v>
      </c>
      <c r="D245" s="10">
        <f>J244</f>
        <v/>
      </c>
      <c r="E245" s="4">
        <f>SUMIFS('01_異動主檔'!$F:$F,'01_異動主檔'!$B:$B,123,'01_異動主檔'!$D:$D,B245,'01_異動主檔'!$E:$E,"移入")</f>
        <v/>
      </c>
      <c r="F245" s="4">
        <f>-SUMIFS('01_異動主檔'!$F:$F,'01_異動主檔'!$B:$B,123,'01_異動主檔'!$D:$D,B245,'01_異動主檔'!$E:$E,"移出")</f>
        <v/>
      </c>
      <c r="G245" s="4">
        <f>SUMIFS('01_異動主檔'!$F:$F,'01_異動主檔'!$B:$B,123,'01_異動主檔'!$D:$D,B245,'01_異動主檔'!$E:$E,"新增")</f>
        <v/>
      </c>
      <c r="H245" s="4">
        <f>-SUMIFS('01_異動主檔'!$F:$F,'01_異動主檔'!$B:$B,123,'01_異動主檔'!$D:$D,B245,'01_異動主檔'!$E:$E,"減列")</f>
        <v/>
      </c>
      <c r="I245" s="4">
        <f>-SUMIFS('01_異動主檔'!$F:$F,'01_異動主檔'!$B:$B,123,'01_異動主檔'!$D:$D,B245,'01_異動主檔'!$E:$E,"精簡")</f>
        <v/>
      </c>
      <c r="J245" s="10">
        <f>D245+E245+F245+G245+H245+I245</f>
        <v/>
      </c>
    </row>
    <row r="246" ht="18" customHeight="1">
      <c r="A246" s="6" t="inlineStr">
        <is>
          <t>B001</t>
        </is>
      </c>
      <c r="B246" s="5" t="inlineStr">
        <is>
          <t>第一組</t>
        </is>
      </c>
      <c r="C246" s="6" t="n">
        <v>124</v>
      </c>
      <c r="D246" s="10">
        <f>J245</f>
        <v/>
      </c>
      <c r="E246" s="4">
        <f>SUMIFS('01_異動主檔'!$F:$F,'01_異動主檔'!$B:$B,124,'01_異動主檔'!$D:$D,B246,'01_異動主檔'!$E:$E,"移入")</f>
        <v/>
      </c>
      <c r="F246" s="4">
        <f>-SUMIFS('01_異動主檔'!$F:$F,'01_異動主檔'!$B:$B,124,'01_異動主檔'!$D:$D,B246,'01_異動主檔'!$E:$E,"移出")</f>
        <v/>
      </c>
      <c r="G246" s="4">
        <f>SUMIFS('01_異動主檔'!$F:$F,'01_異動主檔'!$B:$B,124,'01_異動主檔'!$D:$D,B246,'01_異動主檔'!$E:$E,"新增")</f>
        <v/>
      </c>
      <c r="H246" s="4">
        <f>-SUMIFS('01_異動主檔'!$F:$F,'01_異動主檔'!$B:$B,124,'01_異動主檔'!$D:$D,B246,'01_異動主檔'!$E:$E,"減列")</f>
        <v/>
      </c>
      <c r="I246" s="4">
        <f>-SUMIFS('01_異動主檔'!$F:$F,'01_異動主檔'!$B:$B,124,'01_異動主檔'!$D:$D,B246,'01_異動主檔'!$E:$E,"精簡")</f>
        <v/>
      </c>
      <c r="J246" s="10">
        <f>D246+E246+F246+G246+H246+I246</f>
        <v/>
      </c>
    </row>
    <row r="247" ht="18" customHeight="1">
      <c r="A247" s="4" t="inlineStr">
        <is>
          <t>B001</t>
        </is>
      </c>
      <c r="B247" s="3" t="inlineStr">
        <is>
          <t>第一組</t>
        </is>
      </c>
      <c r="C247" s="4" t="n">
        <v>125</v>
      </c>
      <c r="D247" s="10">
        <f>J246</f>
        <v/>
      </c>
      <c r="E247" s="4">
        <f>SUMIFS('01_異動主檔'!$F:$F,'01_異動主檔'!$B:$B,125,'01_異動主檔'!$D:$D,B247,'01_異動主檔'!$E:$E,"移入")</f>
        <v/>
      </c>
      <c r="F247" s="4">
        <f>-SUMIFS('01_異動主檔'!$F:$F,'01_異動主檔'!$B:$B,125,'01_異動主檔'!$D:$D,B247,'01_異動主檔'!$E:$E,"移出")</f>
        <v/>
      </c>
      <c r="G247" s="4">
        <f>SUMIFS('01_異動主檔'!$F:$F,'01_異動主檔'!$B:$B,125,'01_異動主檔'!$D:$D,B247,'01_異動主檔'!$E:$E,"新增")</f>
        <v/>
      </c>
      <c r="H247" s="4">
        <f>-SUMIFS('01_異動主檔'!$F:$F,'01_異動主檔'!$B:$B,125,'01_異動主檔'!$D:$D,B247,'01_異動主檔'!$E:$E,"減列")</f>
        <v/>
      </c>
      <c r="I247" s="4">
        <f>-SUMIFS('01_異動主檔'!$F:$F,'01_異動主檔'!$B:$B,125,'01_異動主檔'!$D:$D,B247,'01_異動主檔'!$E:$E,"精簡")</f>
        <v/>
      </c>
      <c r="J247" s="10">
        <f>D247+E247+F247+G247+H247+I247</f>
        <v/>
      </c>
    </row>
    <row r="248" ht="18" customHeight="1">
      <c r="A248" s="6" t="inlineStr">
        <is>
          <t>B002</t>
        </is>
      </c>
      <c r="B248" s="5" t="inlineStr">
        <is>
          <t>第二組</t>
        </is>
      </c>
      <c r="C248" s="6" t="n">
        <v>99</v>
      </c>
      <c r="D248" s="10">
        <f>'02_年初員額設定'!C14</f>
        <v/>
      </c>
      <c r="E248" s="4">
        <f>SUMIFS('01_異動主檔'!$F:$F,'01_異動主檔'!$B:$B,99,'01_異動主檔'!$D:$D,B248,'01_異動主檔'!$E:$E,"移入")</f>
        <v/>
      </c>
      <c r="F248" s="4">
        <f>-SUMIFS('01_異動主檔'!$F:$F,'01_異動主檔'!$B:$B,99,'01_異動主檔'!$D:$D,B248,'01_異動主檔'!$E:$E,"移出")</f>
        <v/>
      </c>
      <c r="G248" s="4">
        <f>SUMIFS('01_異動主檔'!$F:$F,'01_異動主檔'!$B:$B,99,'01_異動主檔'!$D:$D,B248,'01_異動主檔'!$E:$E,"新增")</f>
        <v/>
      </c>
      <c r="H248" s="4">
        <f>-SUMIFS('01_異動主檔'!$F:$F,'01_異動主檔'!$B:$B,99,'01_異動主檔'!$D:$D,B248,'01_異動主檔'!$E:$E,"減列")</f>
        <v/>
      </c>
      <c r="I248" s="4">
        <f>-SUMIFS('01_異動主檔'!$F:$F,'01_異動主檔'!$B:$B,99,'01_異動主檔'!$D:$D,B248,'01_異動主檔'!$E:$E,"精簡")</f>
        <v/>
      </c>
      <c r="J248" s="10">
        <f>D248+E248+F248+G248+H248+I248</f>
        <v/>
      </c>
    </row>
    <row r="249" ht="18" customHeight="1">
      <c r="A249" s="4" t="inlineStr">
        <is>
          <t>B002</t>
        </is>
      </c>
      <c r="B249" s="3" t="inlineStr">
        <is>
          <t>第二組</t>
        </is>
      </c>
      <c r="C249" s="4" t="n">
        <v>100</v>
      </c>
      <c r="D249" s="10">
        <f>J248</f>
        <v/>
      </c>
      <c r="E249" s="4">
        <f>SUMIFS('01_異動主檔'!$F:$F,'01_異動主檔'!$B:$B,100,'01_異動主檔'!$D:$D,B249,'01_異動主檔'!$E:$E,"移入")</f>
        <v/>
      </c>
      <c r="F249" s="4">
        <f>-SUMIFS('01_異動主檔'!$F:$F,'01_異動主檔'!$B:$B,100,'01_異動主檔'!$D:$D,B249,'01_異動主檔'!$E:$E,"移出")</f>
        <v/>
      </c>
      <c r="G249" s="4">
        <f>SUMIFS('01_異動主檔'!$F:$F,'01_異動主檔'!$B:$B,100,'01_異動主檔'!$D:$D,B249,'01_異動主檔'!$E:$E,"新增")</f>
        <v/>
      </c>
      <c r="H249" s="4">
        <f>-SUMIFS('01_異動主檔'!$F:$F,'01_異動主檔'!$B:$B,100,'01_異動主檔'!$D:$D,B249,'01_異動主檔'!$E:$E,"減列")</f>
        <v/>
      </c>
      <c r="I249" s="4">
        <f>-SUMIFS('01_異動主檔'!$F:$F,'01_異動主檔'!$B:$B,100,'01_異動主檔'!$D:$D,B249,'01_異動主檔'!$E:$E,"精簡")</f>
        <v/>
      </c>
      <c r="J249" s="10">
        <f>D249+E249+F249+G249+H249+I249</f>
        <v/>
      </c>
    </row>
    <row r="250" ht="18" customHeight="1">
      <c r="A250" s="6" t="inlineStr">
        <is>
          <t>B002</t>
        </is>
      </c>
      <c r="B250" s="5" t="inlineStr">
        <is>
          <t>第二組</t>
        </is>
      </c>
      <c r="C250" s="6" t="n">
        <v>101</v>
      </c>
      <c r="D250" s="10">
        <f>J249</f>
        <v/>
      </c>
      <c r="E250" s="4">
        <f>SUMIFS('01_異動主檔'!$F:$F,'01_異動主檔'!$B:$B,101,'01_異動主檔'!$D:$D,B250,'01_異動主檔'!$E:$E,"移入")</f>
        <v/>
      </c>
      <c r="F250" s="4">
        <f>-SUMIFS('01_異動主檔'!$F:$F,'01_異動主檔'!$B:$B,101,'01_異動主檔'!$D:$D,B250,'01_異動主檔'!$E:$E,"移出")</f>
        <v/>
      </c>
      <c r="G250" s="4">
        <f>SUMIFS('01_異動主檔'!$F:$F,'01_異動主檔'!$B:$B,101,'01_異動主檔'!$D:$D,B250,'01_異動主檔'!$E:$E,"新增")</f>
        <v/>
      </c>
      <c r="H250" s="4">
        <f>-SUMIFS('01_異動主檔'!$F:$F,'01_異動主檔'!$B:$B,101,'01_異動主檔'!$D:$D,B250,'01_異動主檔'!$E:$E,"減列")</f>
        <v/>
      </c>
      <c r="I250" s="4">
        <f>-SUMIFS('01_異動主檔'!$F:$F,'01_異動主檔'!$B:$B,101,'01_異動主檔'!$D:$D,B250,'01_異動主檔'!$E:$E,"精簡")</f>
        <v/>
      </c>
      <c r="J250" s="10">
        <f>D250+E250+F250+G250+H250+I250</f>
        <v/>
      </c>
    </row>
    <row r="251" ht="18" customHeight="1">
      <c r="A251" s="4" t="inlineStr">
        <is>
          <t>B002</t>
        </is>
      </c>
      <c r="B251" s="3" t="inlineStr">
        <is>
          <t>第二組</t>
        </is>
      </c>
      <c r="C251" s="4" t="n">
        <v>102</v>
      </c>
      <c r="D251" s="10">
        <f>J250</f>
        <v/>
      </c>
      <c r="E251" s="4">
        <f>SUMIFS('01_異動主檔'!$F:$F,'01_異動主檔'!$B:$B,102,'01_異動主檔'!$D:$D,B251,'01_異動主檔'!$E:$E,"移入")</f>
        <v/>
      </c>
      <c r="F251" s="4">
        <f>-SUMIFS('01_異動主檔'!$F:$F,'01_異動主檔'!$B:$B,102,'01_異動主檔'!$D:$D,B251,'01_異動主檔'!$E:$E,"移出")</f>
        <v/>
      </c>
      <c r="G251" s="4">
        <f>SUMIFS('01_異動主檔'!$F:$F,'01_異動主檔'!$B:$B,102,'01_異動主檔'!$D:$D,B251,'01_異動主檔'!$E:$E,"新增")</f>
        <v/>
      </c>
      <c r="H251" s="4">
        <f>-SUMIFS('01_異動主檔'!$F:$F,'01_異動主檔'!$B:$B,102,'01_異動主檔'!$D:$D,B251,'01_異動主檔'!$E:$E,"減列")</f>
        <v/>
      </c>
      <c r="I251" s="4">
        <f>-SUMIFS('01_異動主檔'!$F:$F,'01_異動主檔'!$B:$B,102,'01_異動主檔'!$D:$D,B251,'01_異動主檔'!$E:$E,"精簡")</f>
        <v/>
      </c>
      <c r="J251" s="10">
        <f>D251+E251+F251+G251+H251+I251</f>
        <v/>
      </c>
    </row>
    <row r="252" ht="18" customHeight="1">
      <c r="A252" s="6" t="inlineStr">
        <is>
          <t>B002</t>
        </is>
      </c>
      <c r="B252" s="5" t="inlineStr">
        <is>
          <t>第二組</t>
        </is>
      </c>
      <c r="C252" s="6" t="n">
        <v>103</v>
      </c>
      <c r="D252" s="10">
        <f>J251</f>
        <v/>
      </c>
      <c r="E252" s="4">
        <f>SUMIFS('01_異動主檔'!$F:$F,'01_異動主檔'!$B:$B,103,'01_異動主檔'!$D:$D,B252,'01_異動主檔'!$E:$E,"移入")</f>
        <v/>
      </c>
      <c r="F252" s="4">
        <f>-SUMIFS('01_異動主檔'!$F:$F,'01_異動主檔'!$B:$B,103,'01_異動主檔'!$D:$D,B252,'01_異動主檔'!$E:$E,"移出")</f>
        <v/>
      </c>
      <c r="G252" s="4">
        <f>SUMIFS('01_異動主檔'!$F:$F,'01_異動主檔'!$B:$B,103,'01_異動主檔'!$D:$D,B252,'01_異動主檔'!$E:$E,"新增")</f>
        <v/>
      </c>
      <c r="H252" s="4">
        <f>-SUMIFS('01_異動主檔'!$F:$F,'01_異動主檔'!$B:$B,103,'01_異動主檔'!$D:$D,B252,'01_異動主檔'!$E:$E,"減列")</f>
        <v/>
      </c>
      <c r="I252" s="4">
        <f>-SUMIFS('01_異動主檔'!$F:$F,'01_異動主檔'!$B:$B,103,'01_異動主檔'!$D:$D,B252,'01_異動主檔'!$E:$E,"精簡")</f>
        <v/>
      </c>
      <c r="J252" s="10">
        <f>D252+E252+F252+G252+H252+I252</f>
        <v/>
      </c>
    </row>
    <row r="253" ht="18" customHeight="1">
      <c r="A253" s="4" t="inlineStr">
        <is>
          <t>B002</t>
        </is>
      </c>
      <c r="B253" s="3" t="inlineStr">
        <is>
          <t>第二組</t>
        </is>
      </c>
      <c r="C253" s="4" t="n">
        <v>104</v>
      </c>
      <c r="D253" s="10">
        <f>J252</f>
        <v/>
      </c>
      <c r="E253" s="4">
        <f>SUMIFS('01_異動主檔'!$F:$F,'01_異動主檔'!$B:$B,104,'01_異動主檔'!$D:$D,B253,'01_異動主檔'!$E:$E,"移入")</f>
        <v/>
      </c>
      <c r="F253" s="4">
        <f>-SUMIFS('01_異動主檔'!$F:$F,'01_異動主檔'!$B:$B,104,'01_異動主檔'!$D:$D,B253,'01_異動主檔'!$E:$E,"移出")</f>
        <v/>
      </c>
      <c r="G253" s="4">
        <f>SUMIFS('01_異動主檔'!$F:$F,'01_異動主檔'!$B:$B,104,'01_異動主檔'!$D:$D,B253,'01_異動主檔'!$E:$E,"新增")</f>
        <v/>
      </c>
      <c r="H253" s="4">
        <f>-SUMIFS('01_異動主檔'!$F:$F,'01_異動主檔'!$B:$B,104,'01_異動主檔'!$D:$D,B253,'01_異動主檔'!$E:$E,"減列")</f>
        <v/>
      </c>
      <c r="I253" s="4">
        <f>-SUMIFS('01_異動主檔'!$F:$F,'01_異動主檔'!$B:$B,104,'01_異動主檔'!$D:$D,B253,'01_異動主檔'!$E:$E,"精簡")</f>
        <v/>
      </c>
      <c r="J253" s="10">
        <f>D253+E253+F253+G253+H253+I253</f>
        <v/>
      </c>
    </row>
    <row r="254" ht="18" customHeight="1">
      <c r="A254" s="6" t="inlineStr">
        <is>
          <t>B002</t>
        </is>
      </c>
      <c r="B254" s="5" t="inlineStr">
        <is>
          <t>第二組</t>
        </is>
      </c>
      <c r="C254" s="6" t="n">
        <v>105</v>
      </c>
      <c r="D254" s="10">
        <f>J253</f>
        <v/>
      </c>
      <c r="E254" s="4">
        <f>SUMIFS('01_異動主檔'!$F:$F,'01_異動主檔'!$B:$B,105,'01_異動主檔'!$D:$D,B254,'01_異動主檔'!$E:$E,"移入")</f>
        <v/>
      </c>
      <c r="F254" s="4">
        <f>-SUMIFS('01_異動主檔'!$F:$F,'01_異動主檔'!$B:$B,105,'01_異動主檔'!$D:$D,B254,'01_異動主檔'!$E:$E,"移出")</f>
        <v/>
      </c>
      <c r="G254" s="4">
        <f>SUMIFS('01_異動主檔'!$F:$F,'01_異動主檔'!$B:$B,105,'01_異動主檔'!$D:$D,B254,'01_異動主檔'!$E:$E,"新增")</f>
        <v/>
      </c>
      <c r="H254" s="4">
        <f>-SUMIFS('01_異動主檔'!$F:$F,'01_異動主檔'!$B:$B,105,'01_異動主檔'!$D:$D,B254,'01_異動主檔'!$E:$E,"減列")</f>
        <v/>
      </c>
      <c r="I254" s="4">
        <f>-SUMIFS('01_異動主檔'!$F:$F,'01_異動主檔'!$B:$B,105,'01_異動主檔'!$D:$D,B254,'01_異動主檔'!$E:$E,"精簡")</f>
        <v/>
      </c>
      <c r="J254" s="10">
        <f>D254+E254+F254+G254+H254+I254</f>
        <v/>
      </c>
    </row>
    <row r="255" ht="18" customHeight="1">
      <c r="A255" s="4" t="inlineStr">
        <is>
          <t>B002</t>
        </is>
      </c>
      <c r="B255" s="3" t="inlineStr">
        <is>
          <t>第二組</t>
        </is>
      </c>
      <c r="C255" s="4" t="n">
        <v>106</v>
      </c>
      <c r="D255" s="10">
        <f>J254</f>
        <v/>
      </c>
      <c r="E255" s="4">
        <f>SUMIFS('01_異動主檔'!$F:$F,'01_異動主檔'!$B:$B,106,'01_異動主檔'!$D:$D,B255,'01_異動主檔'!$E:$E,"移入")</f>
        <v/>
      </c>
      <c r="F255" s="4">
        <f>-SUMIFS('01_異動主檔'!$F:$F,'01_異動主檔'!$B:$B,106,'01_異動主檔'!$D:$D,B255,'01_異動主檔'!$E:$E,"移出")</f>
        <v/>
      </c>
      <c r="G255" s="4">
        <f>SUMIFS('01_異動主檔'!$F:$F,'01_異動主檔'!$B:$B,106,'01_異動主檔'!$D:$D,B255,'01_異動主檔'!$E:$E,"新增")</f>
        <v/>
      </c>
      <c r="H255" s="4">
        <f>-SUMIFS('01_異動主檔'!$F:$F,'01_異動主檔'!$B:$B,106,'01_異動主檔'!$D:$D,B255,'01_異動主檔'!$E:$E,"減列")</f>
        <v/>
      </c>
      <c r="I255" s="4">
        <f>-SUMIFS('01_異動主檔'!$F:$F,'01_異動主檔'!$B:$B,106,'01_異動主檔'!$D:$D,B255,'01_異動主檔'!$E:$E,"精簡")</f>
        <v/>
      </c>
      <c r="J255" s="10">
        <f>D255+E255+F255+G255+H255+I255</f>
        <v/>
      </c>
    </row>
    <row r="256" ht="18" customHeight="1">
      <c r="A256" s="6" t="inlineStr">
        <is>
          <t>B002</t>
        </is>
      </c>
      <c r="B256" s="5" t="inlineStr">
        <is>
          <t>第二組</t>
        </is>
      </c>
      <c r="C256" s="6" t="n">
        <v>107</v>
      </c>
      <c r="D256" s="10">
        <f>J255</f>
        <v/>
      </c>
      <c r="E256" s="4">
        <f>SUMIFS('01_異動主檔'!$F:$F,'01_異動主檔'!$B:$B,107,'01_異動主檔'!$D:$D,B256,'01_異動主檔'!$E:$E,"移入")</f>
        <v/>
      </c>
      <c r="F256" s="4">
        <f>-SUMIFS('01_異動主檔'!$F:$F,'01_異動主檔'!$B:$B,107,'01_異動主檔'!$D:$D,B256,'01_異動主檔'!$E:$E,"移出")</f>
        <v/>
      </c>
      <c r="G256" s="4">
        <f>SUMIFS('01_異動主檔'!$F:$F,'01_異動主檔'!$B:$B,107,'01_異動主檔'!$D:$D,B256,'01_異動主檔'!$E:$E,"新增")</f>
        <v/>
      </c>
      <c r="H256" s="4">
        <f>-SUMIFS('01_異動主檔'!$F:$F,'01_異動主檔'!$B:$B,107,'01_異動主檔'!$D:$D,B256,'01_異動主檔'!$E:$E,"減列")</f>
        <v/>
      </c>
      <c r="I256" s="4">
        <f>-SUMIFS('01_異動主檔'!$F:$F,'01_異動主檔'!$B:$B,107,'01_異動主檔'!$D:$D,B256,'01_異動主檔'!$E:$E,"精簡")</f>
        <v/>
      </c>
      <c r="J256" s="10">
        <f>D256+E256+F256+G256+H256+I256</f>
        <v/>
      </c>
    </row>
    <row r="257" ht="18" customHeight="1">
      <c r="A257" s="4" t="inlineStr">
        <is>
          <t>B002</t>
        </is>
      </c>
      <c r="B257" s="3" t="inlineStr">
        <is>
          <t>第二組</t>
        </is>
      </c>
      <c r="C257" s="4" t="n">
        <v>108</v>
      </c>
      <c r="D257" s="10">
        <f>J256</f>
        <v/>
      </c>
      <c r="E257" s="4">
        <f>SUMIFS('01_異動主檔'!$F:$F,'01_異動主檔'!$B:$B,108,'01_異動主檔'!$D:$D,B257,'01_異動主檔'!$E:$E,"移入")</f>
        <v/>
      </c>
      <c r="F257" s="4">
        <f>-SUMIFS('01_異動主檔'!$F:$F,'01_異動主檔'!$B:$B,108,'01_異動主檔'!$D:$D,B257,'01_異動主檔'!$E:$E,"移出")</f>
        <v/>
      </c>
      <c r="G257" s="4">
        <f>SUMIFS('01_異動主檔'!$F:$F,'01_異動主檔'!$B:$B,108,'01_異動主檔'!$D:$D,B257,'01_異動主檔'!$E:$E,"新增")</f>
        <v/>
      </c>
      <c r="H257" s="4">
        <f>-SUMIFS('01_異動主檔'!$F:$F,'01_異動主檔'!$B:$B,108,'01_異動主檔'!$D:$D,B257,'01_異動主檔'!$E:$E,"減列")</f>
        <v/>
      </c>
      <c r="I257" s="4">
        <f>-SUMIFS('01_異動主檔'!$F:$F,'01_異動主檔'!$B:$B,108,'01_異動主檔'!$D:$D,B257,'01_異動主檔'!$E:$E,"精簡")</f>
        <v/>
      </c>
      <c r="J257" s="10">
        <f>D257+E257+F257+G257+H257+I257</f>
        <v/>
      </c>
    </row>
    <row r="258" ht="18" customHeight="1">
      <c r="A258" s="6" t="inlineStr">
        <is>
          <t>B002</t>
        </is>
      </c>
      <c r="B258" s="5" t="inlineStr">
        <is>
          <t>第二組</t>
        </is>
      </c>
      <c r="C258" s="6" t="n">
        <v>109</v>
      </c>
      <c r="D258" s="10">
        <f>J257</f>
        <v/>
      </c>
      <c r="E258" s="4">
        <f>SUMIFS('01_異動主檔'!$F:$F,'01_異動主檔'!$B:$B,109,'01_異動主檔'!$D:$D,B258,'01_異動主檔'!$E:$E,"移入")</f>
        <v/>
      </c>
      <c r="F258" s="4">
        <f>-SUMIFS('01_異動主檔'!$F:$F,'01_異動主檔'!$B:$B,109,'01_異動主檔'!$D:$D,B258,'01_異動主檔'!$E:$E,"移出")</f>
        <v/>
      </c>
      <c r="G258" s="4">
        <f>SUMIFS('01_異動主檔'!$F:$F,'01_異動主檔'!$B:$B,109,'01_異動主檔'!$D:$D,B258,'01_異動主檔'!$E:$E,"新增")</f>
        <v/>
      </c>
      <c r="H258" s="4">
        <f>-SUMIFS('01_異動主檔'!$F:$F,'01_異動主檔'!$B:$B,109,'01_異動主檔'!$D:$D,B258,'01_異動主檔'!$E:$E,"減列")</f>
        <v/>
      </c>
      <c r="I258" s="4">
        <f>-SUMIFS('01_異動主檔'!$F:$F,'01_異動主檔'!$B:$B,109,'01_異動主檔'!$D:$D,B258,'01_異動主檔'!$E:$E,"精簡")</f>
        <v/>
      </c>
      <c r="J258" s="10">
        <f>D258+E258+F258+G258+H258+I258</f>
        <v/>
      </c>
    </row>
    <row r="259" ht="18" customHeight="1">
      <c r="A259" s="4" t="inlineStr">
        <is>
          <t>B002</t>
        </is>
      </c>
      <c r="B259" s="3" t="inlineStr">
        <is>
          <t>第二組</t>
        </is>
      </c>
      <c r="C259" s="4" t="n">
        <v>110</v>
      </c>
      <c r="D259" s="10">
        <f>J258</f>
        <v/>
      </c>
      <c r="E259" s="4">
        <f>SUMIFS('01_異動主檔'!$F:$F,'01_異動主檔'!$B:$B,110,'01_異動主檔'!$D:$D,B259,'01_異動主檔'!$E:$E,"移入")</f>
        <v/>
      </c>
      <c r="F259" s="4">
        <f>-SUMIFS('01_異動主檔'!$F:$F,'01_異動主檔'!$B:$B,110,'01_異動主檔'!$D:$D,B259,'01_異動主檔'!$E:$E,"移出")</f>
        <v/>
      </c>
      <c r="G259" s="4">
        <f>SUMIFS('01_異動主檔'!$F:$F,'01_異動主檔'!$B:$B,110,'01_異動主檔'!$D:$D,B259,'01_異動主檔'!$E:$E,"新增")</f>
        <v/>
      </c>
      <c r="H259" s="4">
        <f>-SUMIFS('01_異動主檔'!$F:$F,'01_異動主檔'!$B:$B,110,'01_異動主檔'!$D:$D,B259,'01_異動主檔'!$E:$E,"減列")</f>
        <v/>
      </c>
      <c r="I259" s="4">
        <f>-SUMIFS('01_異動主檔'!$F:$F,'01_異動主檔'!$B:$B,110,'01_異動主檔'!$D:$D,B259,'01_異動主檔'!$E:$E,"精簡")</f>
        <v/>
      </c>
      <c r="J259" s="10">
        <f>D259+E259+F259+G259+H259+I259</f>
        <v/>
      </c>
    </row>
    <row r="260" ht="18" customHeight="1">
      <c r="A260" s="6" t="inlineStr">
        <is>
          <t>B002</t>
        </is>
      </c>
      <c r="B260" s="5" t="inlineStr">
        <is>
          <t>第二組</t>
        </is>
      </c>
      <c r="C260" s="6" t="n">
        <v>111</v>
      </c>
      <c r="D260" s="10">
        <f>J259</f>
        <v/>
      </c>
      <c r="E260" s="4">
        <f>SUMIFS('01_異動主檔'!$F:$F,'01_異動主檔'!$B:$B,111,'01_異動主檔'!$D:$D,B260,'01_異動主檔'!$E:$E,"移入")</f>
        <v/>
      </c>
      <c r="F260" s="4">
        <f>-SUMIFS('01_異動主檔'!$F:$F,'01_異動主檔'!$B:$B,111,'01_異動主檔'!$D:$D,B260,'01_異動主檔'!$E:$E,"移出")</f>
        <v/>
      </c>
      <c r="G260" s="4">
        <f>SUMIFS('01_異動主檔'!$F:$F,'01_異動主檔'!$B:$B,111,'01_異動主檔'!$D:$D,B260,'01_異動主檔'!$E:$E,"新增")</f>
        <v/>
      </c>
      <c r="H260" s="4">
        <f>-SUMIFS('01_異動主檔'!$F:$F,'01_異動主檔'!$B:$B,111,'01_異動主檔'!$D:$D,B260,'01_異動主檔'!$E:$E,"減列")</f>
        <v/>
      </c>
      <c r="I260" s="4">
        <f>-SUMIFS('01_異動主檔'!$F:$F,'01_異動主檔'!$B:$B,111,'01_異動主檔'!$D:$D,B260,'01_異動主檔'!$E:$E,"精簡")</f>
        <v/>
      </c>
      <c r="J260" s="10">
        <f>D260+E260+F260+G260+H260+I260</f>
        <v/>
      </c>
    </row>
    <row r="261" ht="18" customHeight="1">
      <c r="A261" s="4" t="inlineStr">
        <is>
          <t>B002</t>
        </is>
      </c>
      <c r="B261" s="3" t="inlineStr">
        <is>
          <t>第二組</t>
        </is>
      </c>
      <c r="C261" s="4" t="n">
        <v>112</v>
      </c>
      <c r="D261" s="10">
        <f>J260</f>
        <v/>
      </c>
      <c r="E261" s="4">
        <f>SUMIFS('01_異動主檔'!$F:$F,'01_異動主檔'!$B:$B,112,'01_異動主檔'!$D:$D,B261,'01_異動主檔'!$E:$E,"移入")</f>
        <v/>
      </c>
      <c r="F261" s="4">
        <f>-SUMIFS('01_異動主檔'!$F:$F,'01_異動主檔'!$B:$B,112,'01_異動主檔'!$D:$D,B261,'01_異動主檔'!$E:$E,"移出")</f>
        <v/>
      </c>
      <c r="G261" s="4">
        <f>SUMIFS('01_異動主檔'!$F:$F,'01_異動主檔'!$B:$B,112,'01_異動主檔'!$D:$D,B261,'01_異動主檔'!$E:$E,"新增")</f>
        <v/>
      </c>
      <c r="H261" s="4">
        <f>-SUMIFS('01_異動主檔'!$F:$F,'01_異動主檔'!$B:$B,112,'01_異動主檔'!$D:$D,B261,'01_異動主檔'!$E:$E,"減列")</f>
        <v/>
      </c>
      <c r="I261" s="4">
        <f>-SUMIFS('01_異動主檔'!$F:$F,'01_異動主檔'!$B:$B,112,'01_異動主檔'!$D:$D,B261,'01_異動主檔'!$E:$E,"精簡")</f>
        <v/>
      </c>
      <c r="J261" s="10">
        <f>D261+E261+F261+G261+H261+I261</f>
        <v/>
      </c>
    </row>
    <row r="262" ht="18" customHeight="1">
      <c r="A262" s="6" t="inlineStr">
        <is>
          <t>B002</t>
        </is>
      </c>
      <c r="B262" s="5" t="inlineStr">
        <is>
          <t>第二組</t>
        </is>
      </c>
      <c r="C262" s="6" t="n">
        <v>113</v>
      </c>
      <c r="D262" s="10">
        <f>J261</f>
        <v/>
      </c>
      <c r="E262" s="4">
        <f>SUMIFS('01_異動主檔'!$F:$F,'01_異動主檔'!$B:$B,113,'01_異動主檔'!$D:$D,B262,'01_異動主檔'!$E:$E,"移入")</f>
        <v/>
      </c>
      <c r="F262" s="4">
        <f>-SUMIFS('01_異動主檔'!$F:$F,'01_異動主檔'!$B:$B,113,'01_異動主檔'!$D:$D,B262,'01_異動主檔'!$E:$E,"移出")</f>
        <v/>
      </c>
      <c r="G262" s="4">
        <f>SUMIFS('01_異動主檔'!$F:$F,'01_異動主檔'!$B:$B,113,'01_異動主檔'!$D:$D,B262,'01_異動主檔'!$E:$E,"新增")</f>
        <v/>
      </c>
      <c r="H262" s="4">
        <f>-SUMIFS('01_異動主檔'!$F:$F,'01_異動主檔'!$B:$B,113,'01_異動主檔'!$D:$D,B262,'01_異動主檔'!$E:$E,"減列")</f>
        <v/>
      </c>
      <c r="I262" s="4">
        <f>-SUMIFS('01_異動主檔'!$F:$F,'01_異動主檔'!$B:$B,113,'01_異動主檔'!$D:$D,B262,'01_異動主檔'!$E:$E,"精簡")</f>
        <v/>
      </c>
      <c r="J262" s="10">
        <f>D262+E262+F262+G262+H262+I262</f>
        <v/>
      </c>
    </row>
    <row r="263" ht="18" customHeight="1">
      <c r="A263" s="4" t="inlineStr">
        <is>
          <t>B002</t>
        </is>
      </c>
      <c r="B263" s="3" t="inlineStr">
        <is>
          <t>第二組</t>
        </is>
      </c>
      <c r="C263" s="4" t="n">
        <v>114</v>
      </c>
      <c r="D263" s="10">
        <f>J262</f>
        <v/>
      </c>
      <c r="E263" s="4">
        <f>SUMIFS('01_異動主檔'!$F:$F,'01_異動主檔'!$B:$B,114,'01_異動主檔'!$D:$D,B263,'01_異動主檔'!$E:$E,"移入")</f>
        <v/>
      </c>
      <c r="F263" s="4">
        <f>-SUMIFS('01_異動主檔'!$F:$F,'01_異動主檔'!$B:$B,114,'01_異動主檔'!$D:$D,B263,'01_異動主檔'!$E:$E,"移出")</f>
        <v/>
      </c>
      <c r="G263" s="4">
        <f>SUMIFS('01_異動主檔'!$F:$F,'01_異動主檔'!$B:$B,114,'01_異動主檔'!$D:$D,B263,'01_異動主檔'!$E:$E,"新增")</f>
        <v/>
      </c>
      <c r="H263" s="4">
        <f>-SUMIFS('01_異動主檔'!$F:$F,'01_異動主檔'!$B:$B,114,'01_異動主檔'!$D:$D,B263,'01_異動主檔'!$E:$E,"減列")</f>
        <v/>
      </c>
      <c r="I263" s="4">
        <f>-SUMIFS('01_異動主檔'!$F:$F,'01_異動主檔'!$B:$B,114,'01_異動主檔'!$D:$D,B263,'01_異動主檔'!$E:$E,"精簡")</f>
        <v/>
      </c>
      <c r="J263" s="10">
        <f>D263+E263+F263+G263+H263+I263</f>
        <v/>
      </c>
    </row>
    <row r="264" ht="18" customHeight="1">
      <c r="A264" s="6" t="inlineStr">
        <is>
          <t>B002</t>
        </is>
      </c>
      <c r="B264" s="5" t="inlineStr">
        <is>
          <t>第二組</t>
        </is>
      </c>
      <c r="C264" s="6" t="n">
        <v>115</v>
      </c>
      <c r="D264" s="10">
        <f>J263</f>
        <v/>
      </c>
      <c r="E264" s="4">
        <f>SUMIFS('01_異動主檔'!$F:$F,'01_異動主檔'!$B:$B,115,'01_異動主檔'!$D:$D,B264,'01_異動主檔'!$E:$E,"移入")</f>
        <v/>
      </c>
      <c r="F264" s="4">
        <f>-SUMIFS('01_異動主檔'!$F:$F,'01_異動主檔'!$B:$B,115,'01_異動主檔'!$D:$D,B264,'01_異動主檔'!$E:$E,"移出")</f>
        <v/>
      </c>
      <c r="G264" s="4">
        <f>SUMIFS('01_異動主檔'!$F:$F,'01_異動主檔'!$B:$B,115,'01_異動主檔'!$D:$D,B264,'01_異動主檔'!$E:$E,"新增")</f>
        <v/>
      </c>
      <c r="H264" s="4">
        <f>-SUMIFS('01_異動主檔'!$F:$F,'01_異動主檔'!$B:$B,115,'01_異動主檔'!$D:$D,B264,'01_異動主檔'!$E:$E,"減列")</f>
        <v/>
      </c>
      <c r="I264" s="4">
        <f>-SUMIFS('01_異動主檔'!$F:$F,'01_異動主檔'!$B:$B,115,'01_異動主檔'!$D:$D,B264,'01_異動主檔'!$E:$E,"精簡")</f>
        <v/>
      </c>
      <c r="J264" s="10">
        <f>D264+E264+F264+G264+H264+I264</f>
        <v/>
      </c>
    </row>
    <row r="265" ht="18" customHeight="1">
      <c r="A265" s="4" t="inlineStr">
        <is>
          <t>B002</t>
        </is>
      </c>
      <c r="B265" s="3" t="inlineStr">
        <is>
          <t>第二組</t>
        </is>
      </c>
      <c r="C265" s="4" t="n">
        <v>116</v>
      </c>
      <c r="D265" s="10">
        <f>J264</f>
        <v/>
      </c>
      <c r="E265" s="4">
        <f>SUMIFS('01_異動主檔'!$F:$F,'01_異動主檔'!$B:$B,116,'01_異動主檔'!$D:$D,B265,'01_異動主檔'!$E:$E,"移入")</f>
        <v/>
      </c>
      <c r="F265" s="4">
        <f>-SUMIFS('01_異動主檔'!$F:$F,'01_異動主檔'!$B:$B,116,'01_異動主檔'!$D:$D,B265,'01_異動主檔'!$E:$E,"移出")</f>
        <v/>
      </c>
      <c r="G265" s="4">
        <f>SUMIFS('01_異動主檔'!$F:$F,'01_異動主檔'!$B:$B,116,'01_異動主檔'!$D:$D,B265,'01_異動主檔'!$E:$E,"新增")</f>
        <v/>
      </c>
      <c r="H265" s="4">
        <f>-SUMIFS('01_異動主檔'!$F:$F,'01_異動主檔'!$B:$B,116,'01_異動主檔'!$D:$D,B265,'01_異動主檔'!$E:$E,"減列")</f>
        <v/>
      </c>
      <c r="I265" s="4">
        <f>-SUMIFS('01_異動主檔'!$F:$F,'01_異動主檔'!$B:$B,116,'01_異動主檔'!$D:$D,B265,'01_異動主檔'!$E:$E,"精簡")</f>
        <v/>
      </c>
      <c r="J265" s="10">
        <f>D265+E265+F265+G265+H265+I265</f>
        <v/>
      </c>
    </row>
    <row r="266" ht="18" customHeight="1">
      <c r="A266" s="6" t="inlineStr">
        <is>
          <t>B002</t>
        </is>
      </c>
      <c r="B266" s="5" t="inlineStr">
        <is>
          <t>第二組</t>
        </is>
      </c>
      <c r="C266" s="6" t="n">
        <v>117</v>
      </c>
      <c r="D266" s="10">
        <f>J265</f>
        <v/>
      </c>
      <c r="E266" s="4">
        <f>SUMIFS('01_異動主檔'!$F:$F,'01_異動主檔'!$B:$B,117,'01_異動主檔'!$D:$D,B266,'01_異動主檔'!$E:$E,"移入")</f>
        <v/>
      </c>
      <c r="F266" s="4">
        <f>-SUMIFS('01_異動主檔'!$F:$F,'01_異動主檔'!$B:$B,117,'01_異動主檔'!$D:$D,B266,'01_異動主檔'!$E:$E,"移出")</f>
        <v/>
      </c>
      <c r="G266" s="4">
        <f>SUMIFS('01_異動主檔'!$F:$F,'01_異動主檔'!$B:$B,117,'01_異動主檔'!$D:$D,B266,'01_異動主檔'!$E:$E,"新增")</f>
        <v/>
      </c>
      <c r="H266" s="4">
        <f>-SUMIFS('01_異動主檔'!$F:$F,'01_異動主檔'!$B:$B,117,'01_異動主檔'!$D:$D,B266,'01_異動主檔'!$E:$E,"減列")</f>
        <v/>
      </c>
      <c r="I266" s="4">
        <f>-SUMIFS('01_異動主檔'!$F:$F,'01_異動主檔'!$B:$B,117,'01_異動主檔'!$D:$D,B266,'01_異動主檔'!$E:$E,"精簡")</f>
        <v/>
      </c>
      <c r="J266" s="10">
        <f>D266+E266+F266+G266+H266+I266</f>
        <v/>
      </c>
    </row>
    <row r="267" ht="18" customHeight="1">
      <c r="A267" s="4" t="inlineStr">
        <is>
          <t>B002</t>
        </is>
      </c>
      <c r="B267" s="3" t="inlineStr">
        <is>
          <t>第二組</t>
        </is>
      </c>
      <c r="C267" s="4" t="n">
        <v>118</v>
      </c>
      <c r="D267" s="10">
        <f>J266</f>
        <v/>
      </c>
      <c r="E267" s="4">
        <f>SUMIFS('01_異動主檔'!$F:$F,'01_異動主檔'!$B:$B,118,'01_異動主檔'!$D:$D,B267,'01_異動主檔'!$E:$E,"移入")</f>
        <v/>
      </c>
      <c r="F267" s="4">
        <f>-SUMIFS('01_異動主檔'!$F:$F,'01_異動主檔'!$B:$B,118,'01_異動主檔'!$D:$D,B267,'01_異動主檔'!$E:$E,"移出")</f>
        <v/>
      </c>
      <c r="G267" s="4">
        <f>SUMIFS('01_異動主檔'!$F:$F,'01_異動主檔'!$B:$B,118,'01_異動主檔'!$D:$D,B267,'01_異動主檔'!$E:$E,"新增")</f>
        <v/>
      </c>
      <c r="H267" s="4">
        <f>-SUMIFS('01_異動主檔'!$F:$F,'01_異動主檔'!$B:$B,118,'01_異動主檔'!$D:$D,B267,'01_異動主檔'!$E:$E,"減列")</f>
        <v/>
      </c>
      <c r="I267" s="4">
        <f>-SUMIFS('01_異動主檔'!$F:$F,'01_異動主檔'!$B:$B,118,'01_異動主檔'!$D:$D,B267,'01_異動主檔'!$E:$E,"精簡")</f>
        <v/>
      </c>
      <c r="J267" s="10">
        <f>D267+E267+F267+G267+H267+I267</f>
        <v/>
      </c>
    </row>
    <row r="268" ht="18" customHeight="1">
      <c r="A268" s="6" t="inlineStr">
        <is>
          <t>B002</t>
        </is>
      </c>
      <c r="B268" s="5" t="inlineStr">
        <is>
          <t>第二組</t>
        </is>
      </c>
      <c r="C268" s="6" t="n">
        <v>119</v>
      </c>
      <c r="D268" s="10">
        <f>J267</f>
        <v/>
      </c>
      <c r="E268" s="4">
        <f>SUMIFS('01_異動主檔'!$F:$F,'01_異動主檔'!$B:$B,119,'01_異動主檔'!$D:$D,B268,'01_異動主檔'!$E:$E,"移入")</f>
        <v/>
      </c>
      <c r="F268" s="4">
        <f>-SUMIFS('01_異動主檔'!$F:$F,'01_異動主檔'!$B:$B,119,'01_異動主檔'!$D:$D,B268,'01_異動主檔'!$E:$E,"移出")</f>
        <v/>
      </c>
      <c r="G268" s="4">
        <f>SUMIFS('01_異動主檔'!$F:$F,'01_異動主檔'!$B:$B,119,'01_異動主檔'!$D:$D,B268,'01_異動主檔'!$E:$E,"新增")</f>
        <v/>
      </c>
      <c r="H268" s="4">
        <f>-SUMIFS('01_異動主檔'!$F:$F,'01_異動主檔'!$B:$B,119,'01_異動主檔'!$D:$D,B268,'01_異動主檔'!$E:$E,"減列")</f>
        <v/>
      </c>
      <c r="I268" s="4">
        <f>-SUMIFS('01_異動主檔'!$F:$F,'01_異動主檔'!$B:$B,119,'01_異動主檔'!$D:$D,B268,'01_異動主檔'!$E:$E,"精簡")</f>
        <v/>
      </c>
      <c r="J268" s="10">
        <f>D268+E268+F268+G268+H268+I268</f>
        <v/>
      </c>
    </row>
    <row r="269" ht="18" customHeight="1">
      <c r="A269" s="4" t="inlineStr">
        <is>
          <t>B002</t>
        </is>
      </c>
      <c r="B269" s="3" t="inlineStr">
        <is>
          <t>第二組</t>
        </is>
      </c>
      <c r="C269" s="4" t="n">
        <v>120</v>
      </c>
      <c r="D269" s="10">
        <f>J268</f>
        <v/>
      </c>
      <c r="E269" s="4">
        <f>SUMIFS('01_異動主檔'!$F:$F,'01_異動主檔'!$B:$B,120,'01_異動主檔'!$D:$D,B269,'01_異動主檔'!$E:$E,"移入")</f>
        <v/>
      </c>
      <c r="F269" s="4">
        <f>-SUMIFS('01_異動主檔'!$F:$F,'01_異動主檔'!$B:$B,120,'01_異動主檔'!$D:$D,B269,'01_異動主檔'!$E:$E,"移出")</f>
        <v/>
      </c>
      <c r="G269" s="4">
        <f>SUMIFS('01_異動主檔'!$F:$F,'01_異動主檔'!$B:$B,120,'01_異動主檔'!$D:$D,B269,'01_異動主檔'!$E:$E,"新增")</f>
        <v/>
      </c>
      <c r="H269" s="4">
        <f>-SUMIFS('01_異動主檔'!$F:$F,'01_異動主檔'!$B:$B,120,'01_異動主檔'!$D:$D,B269,'01_異動主檔'!$E:$E,"減列")</f>
        <v/>
      </c>
      <c r="I269" s="4">
        <f>-SUMIFS('01_異動主檔'!$F:$F,'01_異動主檔'!$B:$B,120,'01_異動主檔'!$D:$D,B269,'01_異動主檔'!$E:$E,"精簡")</f>
        <v/>
      </c>
      <c r="J269" s="10">
        <f>D269+E269+F269+G269+H269+I269</f>
        <v/>
      </c>
    </row>
    <row r="270" ht="18" customHeight="1">
      <c r="A270" s="6" t="inlineStr">
        <is>
          <t>B002</t>
        </is>
      </c>
      <c r="B270" s="5" t="inlineStr">
        <is>
          <t>第二組</t>
        </is>
      </c>
      <c r="C270" s="6" t="n">
        <v>121</v>
      </c>
      <c r="D270" s="10">
        <f>J269</f>
        <v/>
      </c>
      <c r="E270" s="4">
        <f>SUMIFS('01_異動主檔'!$F:$F,'01_異動主檔'!$B:$B,121,'01_異動主檔'!$D:$D,B270,'01_異動主檔'!$E:$E,"移入")</f>
        <v/>
      </c>
      <c r="F270" s="4">
        <f>-SUMIFS('01_異動主檔'!$F:$F,'01_異動主檔'!$B:$B,121,'01_異動主檔'!$D:$D,B270,'01_異動主檔'!$E:$E,"移出")</f>
        <v/>
      </c>
      <c r="G270" s="4">
        <f>SUMIFS('01_異動主檔'!$F:$F,'01_異動主檔'!$B:$B,121,'01_異動主檔'!$D:$D,B270,'01_異動主檔'!$E:$E,"新增")</f>
        <v/>
      </c>
      <c r="H270" s="4">
        <f>-SUMIFS('01_異動主檔'!$F:$F,'01_異動主檔'!$B:$B,121,'01_異動主檔'!$D:$D,B270,'01_異動主檔'!$E:$E,"減列")</f>
        <v/>
      </c>
      <c r="I270" s="4">
        <f>-SUMIFS('01_異動主檔'!$F:$F,'01_異動主檔'!$B:$B,121,'01_異動主檔'!$D:$D,B270,'01_異動主檔'!$E:$E,"精簡")</f>
        <v/>
      </c>
      <c r="J270" s="10">
        <f>D270+E270+F270+G270+H270+I270</f>
        <v/>
      </c>
    </row>
    <row r="271" ht="18" customHeight="1">
      <c r="A271" s="4" t="inlineStr">
        <is>
          <t>B002</t>
        </is>
      </c>
      <c r="B271" s="3" t="inlineStr">
        <is>
          <t>第二組</t>
        </is>
      </c>
      <c r="C271" s="4" t="n">
        <v>122</v>
      </c>
      <c r="D271" s="10">
        <f>J270</f>
        <v/>
      </c>
      <c r="E271" s="4">
        <f>SUMIFS('01_異動主檔'!$F:$F,'01_異動主檔'!$B:$B,122,'01_異動主檔'!$D:$D,B271,'01_異動主檔'!$E:$E,"移入")</f>
        <v/>
      </c>
      <c r="F271" s="4">
        <f>-SUMIFS('01_異動主檔'!$F:$F,'01_異動主檔'!$B:$B,122,'01_異動主檔'!$D:$D,B271,'01_異動主檔'!$E:$E,"移出")</f>
        <v/>
      </c>
      <c r="G271" s="4">
        <f>SUMIFS('01_異動主檔'!$F:$F,'01_異動主檔'!$B:$B,122,'01_異動主檔'!$D:$D,B271,'01_異動主檔'!$E:$E,"新增")</f>
        <v/>
      </c>
      <c r="H271" s="4">
        <f>-SUMIFS('01_異動主檔'!$F:$F,'01_異動主檔'!$B:$B,122,'01_異動主檔'!$D:$D,B271,'01_異動主檔'!$E:$E,"減列")</f>
        <v/>
      </c>
      <c r="I271" s="4">
        <f>-SUMIFS('01_異動主檔'!$F:$F,'01_異動主檔'!$B:$B,122,'01_異動主檔'!$D:$D,B271,'01_異動主檔'!$E:$E,"精簡")</f>
        <v/>
      </c>
      <c r="J271" s="10">
        <f>D271+E271+F271+G271+H271+I271</f>
        <v/>
      </c>
    </row>
    <row r="272" ht="18" customHeight="1">
      <c r="A272" s="6" t="inlineStr">
        <is>
          <t>B002</t>
        </is>
      </c>
      <c r="B272" s="5" t="inlineStr">
        <is>
          <t>第二組</t>
        </is>
      </c>
      <c r="C272" s="6" t="n">
        <v>123</v>
      </c>
      <c r="D272" s="10">
        <f>J271</f>
        <v/>
      </c>
      <c r="E272" s="4">
        <f>SUMIFS('01_異動主檔'!$F:$F,'01_異動主檔'!$B:$B,123,'01_異動主檔'!$D:$D,B272,'01_異動主檔'!$E:$E,"移入")</f>
        <v/>
      </c>
      <c r="F272" s="4">
        <f>-SUMIFS('01_異動主檔'!$F:$F,'01_異動主檔'!$B:$B,123,'01_異動主檔'!$D:$D,B272,'01_異動主檔'!$E:$E,"移出")</f>
        <v/>
      </c>
      <c r="G272" s="4">
        <f>SUMIFS('01_異動主檔'!$F:$F,'01_異動主檔'!$B:$B,123,'01_異動主檔'!$D:$D,B272,'01_異動主檔'!$E:$E,"新增")</f>
        <v/>
      </c>
      <c r="H272" s="4">
        <f>-SUMIFS('01_異動主檔'!$F:$F,'01_異動主檔'!$B:$B,123,'01_異動主檔'!$D:$D,B272,'01_異動主檔'!$E:$E,"減列")</f>
        <v/>
      </c>
      <c r="I272" s="4">
        <f>-SUMIFS('01_異動主檔'!$F:$F,'01_異動主檔'!$B:$B,123,'01_異動主檔'!$D:$D,B272,'01_異動主檔'!$E:$E,"精簡")</f>
        <v/>
      </c>
      <c r="J272" s="10">
        <f>D272+E272+F272+G272+H272+I272</f>
        <v/>
      </c>
    </row>
    <row r="273" ht="18" customHeight="1">
      <c r="A273" s="4" t="inlineStr">
        <is>
          <t>B002</t>
        </is>
      </c>
      <c r="B273" s="3" t="inlineStr">
        <is>
          <t>第二組</t>
        </is>
      </c>
      <c r="C273" s="4" t="n">
        <v>124</v>
      </c>
      <c r="D273" s="10">
        <f>J272</f>
        <v/>
      </c>
      <c r="E273" s="4">
        <f>SUMIFS('01_異動主檔'!$F:$F,'01_異動主檔'!$B:$B,124,'01_異動主檔'!$D:$D,B273,'01_異動主檔'!$E:$E,"移入")</f>
        <v/>
      </c>
      <c r="F273" s="4">
        <f>-SUMIFS('01_異動主檔'!$F:$F,'01_異動主檔'!$B:$B,124,'01_異動主檔'!$D:$D,B273,'01_異動主檔'!$E:$E,"移出")</f>
        <v/>
      </c>
      <c r="G273" s="4">
        <f>SUMIFS('01_異動主檔'!$F:$F,'01_異動主檔'!$B:$B,124,'01_異動主檔'!$D:$D,B273,'01_異動主檔'!$E:$E,"新增")</f>
        <v/>
      </c>
      <c r="H273" s="4">
        <f>-SUMIFS('01_異動主檔'!$F:$F,'01_異動主檔'!$B:$B,124,'01_異動主檔'!$D:$D,B273,'01_異動主檔'!$E:$E,"減列")</f>
        <v/>
      </c>
      <c r="I273" s="4">
        <f>-SUMIFS('01_異動主檔'!$F:$F,'01_異動主檔'!$B:$B,124,'01_異動主檔'!$D:$D,B273,'01_異動主檔'!$E:$E,"精簡")</f>
        <v/>
      </c>
      <c r="J273" s="10">
        <f>D273+E273+F273+G273+H273+I273</f>
        <v/>
      </c>
    </row>
    <row r="274" ht="18" customHeight="1">
      <c r="A274" s="6" t="inlineStr">
        <is>
          <t>B002</t>
        </is>
      </c>
      <c r="B274" s="5" t="inlineStr">
        <is>
          <t>第二組</t>
        </is>
      </c>
      <c r="C274" s="6" t="n">
        <v>125</v>
      </c>
      <c r="D274" s="10">
        <f>J273</f>
        <v/>
      </c>
      <c r="E274" s="4">
        <f>SUMIFS('01_異動主檔'!$F:$F,'01_異動主檔'!$B:$B,125,'01_異動主檔'!$D:$D,B274,'01_異動主檔'!$E:$E,"移入")</f>
        <v/>
      </c>
      <c r="F274" s="4">
        <f>-SUMIFS('01_異動主檔'!$F:$F,'01_異動主檔'!$B:$B,125,'01_異動主檔'!$D:$D,B274,'01_異動主檔'!$E:$E,"移出")</f>
        <v/>
      </c>
      <c r="G274" s="4">
        <f>SUMIFS('01_異動主檔'!$F:$F,'01_異動主檔'!$B:$B,125,'01_異動主檔'!$D:$D,B274,'01_異動主檔'!$E:$E,"新增")</f>
        <v/>
      </c>
      <c r="H274" s="4">
        <f>-SUMIFS('01_異動主檔'!$F:$F,'01_異動主檔'!$B:$B,125,'01_異動主檔'!$D:$D,B274,'01_異動主檔'!$E:$E,"減列")</f>
        <v/>
      </c>
      <c r="I274" s="4">
        <f>-SUMIFS('01_異動主檔'!$F:$F,'01_異動主檔'!$B:$B,125,'01_異動主檔'!$D:$D,B274,'01_異動主檔'!$E:$E,"精簡")</f>
        <v/>
      </c>
      <c r="J274" s="10">
        <f>D274+E274+F274+G274+H274+I274</f>
        <v/>
      </c>
    </row>
    <row r="275" ht="18" customHeight="1">
      <c r="A275" s="4" t="inlineStr">
        <is>
          <t>B003</t>
        </is>
      </c>
      <c r="B275" s="3" t="inlineStr">
        <is>
          <t>第三組</t>
        </is>
      </c>
      <c r="C275" s="4" t="n">
        <v>99</v>
      </c>
      <c r="D275" s="10">
        <f>'02_年初員額設定'!C15</f>
        <v/>
      </c>
      <c r="E275" s="4">
        <f>SUMIFS('01_異動主檔'!$F:$F,'01_異動主檔'!$B:$B,99,'01_異動主檔'!$D:$D,B275,'01_異動主檔'!$E:$E,"移入")</f>
        <v/>
      </c>
      <c r="F275" s="4">
        <f>-SUMIFS('01_異動主檔'!$F:$F,'01_異動主檔'!$B:$B,99,'01_異動主檔'!$D:$D,B275,'01_異動主檔'!$E:$E,"移出")</f>
        <v/>
      </c>
      <c r="G275" s="4">
        <f>SUMIFS('01_異動主檔'!$F:$F,'01_異動主檔'!$B:$B,99,'01_異動主檔'!$D:$D,B275,'01_異動主檔'!$E:$E,"新增")</f>
        <v/>
      </c>
      <c r="H275" s="4">
        <f>-SUMIFS('01_異動主檔'!$F:$F,'01_異動主檔'!$B:$B,99,'01_異動主檔'!$D:$D,B275,'01_異動主檔'!$E:$E,"減列")</f>
        <v/>
      </c>
      <c r="I275" s="4">
        <f>-SUMIFS('01_異動主檔'!$F:$F,'01_異動主檔'!$B:$B,99,'01_異動主檔'!$D:$D,B275,'01_異動主檔'!$E:$E,"精簡")</f>
        <v/>
      </c>
      <c r="J275" s="10">
        <f>D275+E275+F275+G275+H275+I275</f>
        <v/>
      </c>
    </row>
    <row r="276" ht="18" customHeight="1">
      <c r="A276" s="6" t="inlineStr">
        <is>
          <t>B003</t>
        </is>
      </c>
      <c r="B276" s="5" t="inlineStr">
        <is>
          <t>第三組</t>
        </is>
      </c>
      <c r="C276" s="6" t="n">
        <v>100</v>
      </c>
      <c r="D276" s="10">
        <f>J275</f>
        <v/>
      </c>
      <c r="E276" s="4">
        <f>SUMIFS('01_異動主檔'!$F:$F,'01_異動主檔'!$B:$B,100,'01_異動主檔'!$D:$D,B276,'01_異動主檔'!$E:$E,"移入")</f>
        <v/>
      </c>
      <c r="F276" s="4">
        <f>-SUMIFS('01_異動主檔'!$F:$F,'01_異動主檔'!$B:$B,100,'01_異動主檔'!$D:$D,B276,'01_異動主檔'!$E:$E,"移出")</f>
        <v/>
      </c>
      <c r="G276" s="4">
        <f>SUMIFS('01_異動主檔'!$F:$F,'01_異動主檔'!$B:$B,100,'01_異動主檔'!$D:$D,B276,'01_異動主檔'!$E:$E,"新增")</f>
        <v/>
      </c>
      <c r="H276" s="4">
        <f>-SUMIFS('01_異動主檔'!$F:$F,'01_異動主檔'!$B:$B,100,'01_異動主檔'!$D:$D,B276,'01_異動主檔'!$E:$E,"減列")</f>
        <v/>
      </c>
      <c r="I276" s="4">
        <f>-SUMIFS('01_異動主檔'!$F:$F,'01_異動主檔'!$B:$B,100,'01_異動主檔'!$D:$D,B276,'01_異動主檔'!$E:$E,"精簡")</f>
        <v/>
      </c>
      <c r="J276" s="10">
        <f>D276+E276+F276+G276+H276+I276</f>
        <v/>
      </c>
    </row>
    <row r="277" ht="18" customHeight="1">
      <c r="A277" s="4" t="inlineStr">
        <is>
          <t>B003</t>
        </is>
      </c>
      <c r="B277" s="3" t="inlineStr">
        <is>
          <t>第三組</t>
        </is>
      </c>
      <c r="C277" s="4" t="n">
        <v>101</v>
      </c>
      <c r="D277" s="10">
        <f>J276</f>
        <v/>
      </c>
      <c r="E277" s="4">
        <f>SUMIFS('01_異動主檔'!$F:$F,'01_異動主檔'!$B:$B,101,'01_異動主檔'!$D:$D,B277,'01_異動主檔'!$E:$E,"移入")</f>
        <v/>
      </c>
      <c r="F277" s="4">
        <f>-SUMIFS('01_異動主檔'!$F:$F,'01_異動主檔'!$B:$B,101,'01_異動主檔'!$D:$D,B277,'01_異動主檔'!$E:$E,"移出")</f>
        <v/>
      </c>
      <c r="G277" s="4">
        <f>SUMIFS('01_異動主檔'!$F:$F,'01_異動主檔'!$B:$B,101,'01_異動主檔'!$D:$D,B277,'01_異動主檔'!$E:$E,"新增")</f>
        <v/>
      </c>
      <c r="H277" s="4">
        <f>-SUMIFS('01_異動主檔'!$F:$F,'01_異動主檔'!$B:$B,101,'01_異動主檔'!$D:$D,B277,'01_異動主檔'!$E:$E,"減列")</f>
        <v/>
      </c>
      <c r="I277" s="4">
        <f>-SUMIFS('01_異動主檔'!$F:$F,'01_異動主檔'!$B:$B,101,'01_異動主檔'!$D:$D,B277,'01_異動主檔'!$E:$E,"精簡")</f>
        <v/>
      </c>
      <c r="J277" s="10">
        <f>D277+E277+F277+G277+H277+I277</f>
        <v/>
      </c>
    </row>
    <row r="278" ht="18" customHeight="1">
      <c r="A278" s="6" t="inlineStr">
        <is>
          <t>B003</t>
        </is>
      </c>
      <c r="B278" s="5" t="inlineStr">
        <is>
          <t>第三組</t>
        </is>
      </c>
      <c r="C278" s="6" t="n">
        <v>102</v>
      </c>
      <c r="D278" s="10">
        <f>J277</f>
        <v/>
      </c>
      <c r="E278" s="4">
        <f>SUMIFS('01_異動主檔'!$F:$F,'01_異動主檔'!$B:$B,102,'01_異動主檔'!$D:$D,B278,'01_異動主檔'!$E:$E,"移入")</f>
        <v/>
      </c>
      <c r="F278" s="4">
        <f>-SUMIFS('01_異動主檔'!$F:$F,'01_異動主檔'!$B:$B,102,'01_異動主檔'!$D:$D,B278,'01_異動主檔'!$E:$E,"移出")</f>
        <v/>
      </c>
      <c r="G278" s="4">
        <f>SUMIFS('01_異動主檔'!$F:$F,'01_異動主檔'!$B:$B,102,'01_異動主檔'!$D:$D,B278,'01_異動主檔'!$E:$E,"新增")</f>
        <v/>
      </c>
      <c r="H278" s="4">
        <f>-SUMIFS('01_異動主檔'!$F:$F,'01_異動主檔'!$B:$B,102,'01_異動主檔'!$D:$D,B278,'01_異動主檔'!$E:$E,"減列")</f>
        <v/>
      </c>
      <c r="I278" s="4">
        <f>-SUMIFS('01_異動主檔'!$F:$F,'01_異動主檔'!$B:$B,102,'01_異動主檔'!$D:$D,B278,'01_異動主檔'!$E:$E,"精簡")</f>
        <v/>
      </c>
      <c r="J278" s="10">
        <f>D278+E278+F278+G278+H278+I278</f>
        <v/>
      </c>
    </row>
    <row r="279" ht="18" customHeight="1">
      <c r="A279" s="4" t="inlineStr">
        <is>
          <t>B003</t>
        </is>
      </c>
      <c r="B279" s="3" t="inlineStr">
        <is>
          <t>第三組</t>
        </is>
      </c>
      <c r="C279" s="4" t="n">
        <v>103</v>
      </c>
      <c r="D279" s="10">
        <f>J278</f>
        <v/>
      </c>
      <c r="E279" s="4">
        <f>SUMIFS('01_異動主檔'!$F:$F,'01_異動主檔'!$B:$B,103,'01_異動主檔'!$D:$D,B279,'01_異動主檔'!$E:$E,"移入")</f>
        <v/>
      </c>
      <c r="F279" s="4">
        <f>-SUMIFS('01_異動主檔'!$F:$F,'01_異動主檔'!$B:$B,103,'01_異動主檔'!$D:$D,B279,'01_異動主檔'!$E:$E,"移出")</f>
        <v/>
      </c>
      <c r="G279" s="4">
        <f>SUMIFS('01_異動主檔'!$F:$F,'01_異動主檔'!$B:$B,103,'01_異動主檔'!$D:$D,B279,'01_異動主檔'!$E:$E,"新增")</f>
        <v/>
      </c>
      <c r="H279" s="4">
        <f>-SUMIFS('01_異動主檔'!$F:$F,'01_異動主檔'!$B:$B,103,'01_異動主檔'!$D:$D,B279,'01_異動主檔'!$E:$E,"減列")</f>
        <v/>
      </c>
      <c r="I279" s="4">
        <f>-SUMIFS('01_異動主檔'!$F:$F,'01_異動主檔'!$B:$B,103,'01_異動主檔'!$D:$D,B279,'01_異動主檔'!$E:$E,"精簡")</f>
        <v/>
      </c>
      <c r="J279" s="10">
        <f>D279+E279+F279+G279+H279+I279</f>
        <v/>
      </c>
    </row>
    <row r="280" ht="18" customHeight="1">
      <c r="A280" s="6" t="inlineStr">
        <is>
          <t>B003</t>
        </is>
      </c>
      <c r="B280" s="5" t="inlineStr">
        <is>
          <t>第三組</t>
        </is>
      </c>
      <c r="C280" s="6" t="n">
        <v>104</v>
      </c>
      <c r="D280" s="10">
        <f>J279</f>
        <v/>
      </c>
      <c r="E280" s="4">
        <f>SUMIFS('01_異動主檔'!$F:$F,'01_異動主檔'!$B:$B,104,'01_異動主檔'!$D:$D,B280,'01_異動主檔'!$E:$E,"移入")</f>
        <v/>
      </c>
      <c r="F280" s="4">
        <f>-SUMIFS('01_異動主檔'!$F:$F,'01_異動主檔'!$B:$B,104,'01_異動主檔'!$D:$D,B280,'01_異動主檔'!$E:$E,"移出")</f>
        <v/>
      </c>
      <c r="G280" s="4">
        <f>SUMIFS('01_異動主檔'!$F:$F,'01_異動主檔'!$B:$B,104,'01_異動主檔'!$D:$D,B280,'01_異動主檔'!$E:$E,"新增")</f>
        <v/>
      </c>
      <c r="H280" s="4">
        <f>-SUMIFS('01_異動主檔'!$F:$F,'01_異動主檔'!$B:$B,104,'01_異動主檔'!$D:$D,B280,'01_異動主檔'!$E:$E,"減列")</f>
        <v/>
      </c>
      <c r="I280" s="4">
        <f>-SUMIFS('01_異動主檔'!$F:$F,'01_異動主檔'!$B:$B,104,'01_異動主檔'!$D:$D,B280,'01_異動主檔'!$E:$E,"精簡")</f>
        <v/>
      </c>
      <c r="J280" s="10">
        <f>D280+E280+F280+G280+H280+I280</f>
        <v/>
      </c>
    </row>
    <row r="281" ht="18" customHeight="1">
      <c r="A281" s="4" t="inlineStr">
        <is>
          <t>B003</t>
        </is>
      </c>
      <c r="B281" s="3" t="inlineStr">
        <is>
          <t>第三組</t>
        </is>
      </c>
      <c r="C281" s="4" t="n">
        <v>105</v>
      </c>
      <c r="D281" s="10">
        <f>J280</f>
        <v/>
      </c>
      <c r="E281" s="4">
        <f>SUMIFS('01_異動主檔'!$F:$F,'01_異動主檔'!$B:$B,105,'01_異動主檔'!$D:$D,B281,'01_異動主檔'!$E:$E,"移入")</f>
        <v/>
      </c>
      <c r="F281" s="4">
        <f>-SUMIFS('01_異動主檔'!$F:$F,'01_異動主檔'!$B:$B,105,'01_異動主檔'!$D:$D,B281,'01_異動主檔'!$E:$E,"移出")</f>
        <v/>
      </c>
      <c r="G281" s="4">
        <f>SUMIFS('01_異動主檔'!$F:$F,'01_異動主檔'!$B:$B,105,'01_異動主檔'!$D:$D,B281,'01_異動主檔'!$E:$E,"新增")</f>
        <v/>
      </c>
      <c r="H281" s="4">
        <f>-SUMIFS('01_異動主檔'!$F:$F,'01_異動主檔'!$B:$B,105,'01_異動主檔'!$D:$D,B281,'01_異動主檔'!$E:$E,"減列")</f>
        <v/>
      </c>
      <c r="I281" s="4">
        <f>-SUMIFS('01_異動主檔'!$F:$F,'01_異動主檔'!$B:$B,105,'01_異動主檔'!$D:$D,B281,'01_異動主檔'!$E:$E,"精簡")</f>
        <v/>
      </c>
      <c r="J281" s="10">
        <f>D281+E281+F281+G281+H281+I281</f>
        <v/>
      </c>
    </row>
    <row r="282" ht="18" customHeight="1">
      <c r="A282" s="6" t="inlineStr">
        <is>
          <t>B003</t>
        </is>
      </c>
      <c r="B282" s="5" t="inlineStr">
        <is>
          <t>第三組</t>
        </is>
      </c>
      <c r="C282" s="6" t="n">
        <v>106</v>
      </c>
      <c r="D282" s="10">
        <f>J281</f>
        <v/>
      </c>
      <c r="E282" s="4">
        <f>SUMIFS('01_異動主檔'!$F:$F,'01_異動主檔'!$B:$B,106,'01_異動主檔'!$D:$D,B282,'01_異動主檔'!$E:$E,"移入")</f>
        <v/>
      </c>
      <c r="F282" s="4">
        <f>-SUMIFS('01_異動主檔'!$F:$F,'01_異動主檔'!$B:$B,106,'01_異動主檔'!$D:$D,B282,'01_異動主檔'!$E:$E,"移出")</f>
        <v/>
      </c>
      <c r="G282" s="4">
        <f>SUMIFS('01_異動主檔'!$F:$F,'01_異動主檔'!$B:$B,106,'01_異動主檔'!$D:$D,B282,'01_異動主檔'!$E:$E,"新增")</f>
        <v/>
      </c>
      <c r="H282" s="4">
        <f>-SUMIFS('01_異動主檔'!$F:$F,'01_異動主檔'!$B:$B,106,'01_異動主檔'!$D:$D,B282,'01_異動主檔'!$E:$E,"減列")</f>
        <v/>
      </c>
      <c r="I282" s="4">
        <f>-SUMIFS('01_異動主檔'!$F:$F,'01_異動主檔'!$B:$B,106,'01_異動主檔'!$D:$D,B282,'01_異動主檔'!$E:$E,"精簡")</f>
        <v/>
      </c>
      <c r="J282" s="10">
        <f>D282+E282+F282+G282+H282+I282</f>
        <v/>
      </c>
    </row>
    <row r="283" ht="18" customHeight="1">
      <c r="A283" s="4" t="inlineStr">
        <is>
          <t>B003</t>
        </is>
      </c>
      <c r="B283" s="3" t="inlineStr">
        <is>
          <t>第三組</t>
        </is>
      </c>
      <c r="C283" s="4" t="n">
        <v>107</v>
      </c>
      <c r="D283" s="10">
        <f>J282</f>
        <v/>
      </c>
      <c r="E283" s="4">
        <f>SUMIFS('01_異動主檔'!$F:$F,'01_異動主檔'!$B:$B,107,'01_異動主檔'!$D:$D,B283,'01_異動主檔'!$E:$E,"移入")</f>
        <v/>
      </c>
      <c r="F283" s="4">
        <f>-SUMIFS('01_異動主檔'!$F:$F,'01_異動主檔'!$B:$B,107,'01_異動主檔'!$D:$D,B283,'01_異動主檔'!$E:$E,"移出")</f>
        <v/>
      </c>
      <c r="G283" s="4">
        <f>SUMIFS('01_異動主檔'!$F:$F,'01_異動主檔'!$B:$B,107,'01_異動主檔'!$D:$D,B283,'01_異動主檔'!$E:$E,"新增")</f>
        <v/>
      </c>
      <c r="H283" s="4">
        <f>-SUMIFS('01_異動主檔'!$F:$F,'01_異動主檔'!$B:$B,107,'01_異動主檔'!$D:$D,B283,'01_異動主檔'!$E:$E,"減列")</f>
        <v/>
      </c>
      <c r="I283" s="4">
        <f>-SUMIFS('01_異動主檔'!$F:$F,'01_異動主檔'!$B:$B,107,'01_異動主檔'!$D:$D,B283,'01_異動主檔'!$E:$E,"精簡")</f>
        <v/>
      </c>
      <c r="J283" s="10">
        <f>D283+E283+F283+G283+H283+I283</f>
        <v/>
      </c>
    </row>
    <row r="284" ht="18" customHeight="1">
      <c r="A284" s="6" t="inlineStr">
        <is>
          <t>B003</t>
        </is>
      </c>
      <c r="B284" s="5" t="inlineStr">
        <is>
          <t>第三組</t>
        </is>
      </c>
      <c r="C284" s="6" t="n">
        <v>108</v>
      </c>
      <c r="D284" s="10">
        <f>J283</f>
        <v/>
      </c>
      <c r="E284" s="4">
        <f>SUMIFS('01_異動主檔'!$F:$F,'01_異動主檔'!$B:$B,108,'01_異動主檔'!$D:$D,B284,'01_異動主檔'!$E:$E,"移入")</f>
        <v/>
      </c>
      <c r="F284" s="4">
        <f>-SUMIFS('01_異動主檔'!$F:$F,'01_異動主檔'!$B:$B,108,'01_異動主檔'!$D:$D,B284,'01_異動主檔'!$E:$E,"移出")</f>
        <v/>
      </c>
      <c r="G284" s="4">
        <f>SUMIFS('01_異動主檔'!$F:$F,'01_異動主檔'!$B:$B,108,'01_異動主檔'!$D:$D,B284,'01_異動主檔'!$E:$E,"新增")</f>
        <v/>
      </c>
      <c r="H284" s="4">
        <f>-SUMIFS('01_異動主檔'!$F:$F,'01_異動主檔'!$B:$B,108,'01_異動主檔'!$D:$D,B284,'01_異動主檔'!$E:$E,"減列")</f>
        <v/>
      </c>
      <c r="I284" s="4">
        <f>-SUMIFS('01_異動主檔'!$F:$F,'01_異動主檔'!$B:$B,108,'01_異動主檔'!$D:$D,B284,'01_異動主檔'!$E:$E,"精簡")</f>
        <v/>
      </c>
      <c r="J284" s="10">
        <f>D284+E284+F284+G284+H284+I284</f>
        <v/>
      </c>
    </row>
    <row r="285" ht="18" customHeight="1">
      <c r="A285" s="4" t="inlineStr">
        <is>
          <t>B003</t>
        </is>
      </c>
      <c r="B285" s="3" t="inlineStr">
        <is>
          <t>第三組</t>
        </is>
      </c>
      <c r="C285" s="4" t="n">
        <v>109</v>
      </c>
      <c r="D285" s="10">
        <f>J284</f>
        <v/>
      </c>
      <c r="E285" s="4">
        <f>SUMIFS('01_異動主檔'!$F:$F,'01_異動主檔'!$B:$B,109,'01_異動主檔'!$D:$D,B285,'01_異動主檔'!$E:$E,"移入")</f>
        <v/>
      </c>
      <c r="F285" s="4">
        <f>-SUMIFS('01_異動主檔'!$F:$F,'01_異動主檔'!$B:$B,109,'01_異動主檔'!$D:$D,B285,'01_異動主檔'!$E:$E,"移出")</f>
        <v/>
      </c>
      <c r="G285" s="4">
        <f>SUMIFS('01_異動主檔'!$F:$F,'01_異動主檔'!$B:$B,109,'01_異動主檔'!$D:$D,B285,'01_異動主檔'!$E:$E,"新增")</f>
        <v/>
      </c>
      <c r="H285" s="4">
        <f>-SUMIFS('01_異動主檔'!$F:$F,'01_異動主檔'!$B:$B,109,'01_異動主檔'!$D:$D,B285,'01_異動主檔'!$E:$E,"減列")</f>
        <v/>
      </c>
      <c r="I285" s="4">
        <f>-SUMIFS('01_異動主檔'!$F:$F,'01_異動主檔'!$B:$B,109,'01_異動主檔'!$D:$D,B285,'01_異動主檔'!$E:$E,"精簡")</f>
        <v/>
      </c>
      <c r="J285" s="10">
        <f>D285+E285+F285+G285+H285+I285</f>
        <v/>
      </c>
    </row>
    <row r="286" ht="18" customHeight="1">
      <c r="A286" s="6" t="inlineStr">
        <is>
          <t>B003</t>
        </is>
      </c>
      <c r="B286" s="5" t="inlineStr">
        <is>
          <t>第三組</t>
        </is>
      </c>
      <c r="C286" s="6" t="n">
        <v>110</v>
      </c>
      <c r="D286" s="10">
        <f>J285</f>
        <v/>
      </c>
      <c r="E286" s="4">
        <f>SUMIFS('01_異動主檔'!$F:$F,'01_異動主檔'!$B:$B,110,'01_異動主檔'!$D:$D,B286,'01_異動主檔'!$E:$E,"移入")</f>
        <v/>
      </c>
      <c r="F286" s="4">
        <f>-SUMIFS('01_異動主檔'!$F:$F,'01_異動主檔'!$B:$B,110,'01_異動主檔'!$D:$D,B286,'01_異動主檔'!$E:$E,"移出")</f>
        <v/>
      </c>
      <c r="G286" s="4">
        <f>SUMIFS('01_異動主檔'!$F:$F,'01_異動主檔'!$B:$B,110,'01_異動主檔'!$D:$D,B286,'01_異動主檔'!$E:$E,"新增")</f>
        <v/>
      </c>
      <c r="H286" s="4">
        <f>-SUMIFS('01_異動主檔'!$F:$F,'01_異動主檔'!$B:$B,110,'01_異動主檔'!$D:$D,B286,'01_異動主檔'!$E:$E,"減列")</f>
        <v/>
      </c>
      <c r="I286" s="4">
        <f>-SUMIFS('01_異動主檔'!$F:$F,'01_異動主檔'!$B:$B,110,'01_異動主檔'!$D:$D,B286,'01_異動主檔'!$E:$E,"精簡")</f>
        <v/>
      </c>
      <c r="J286" s="10">
        <f>D286+E286+F286+G286+H286+I286</f>
        <v/>
      </c>
    </row>
    <row r="287" ht="18" customHeight="1">
      <c r="A287" s="4" t="inlineStr">
        <is>
          <t>B003</t>
        </is>
      </c>
      <c r="B287" s="3" t="inlineStr">
        <is>
          <t>第三組</t>
        </is>
      </c>
      <c r="C287" s="4" t="n">
        <v>111</v>
      </c>
      <c r="D287" s="10">
        <f>J286</f>
        <v/>
      </c>
      <c r="E287" s="4">
        <f>SUMIFS('01_異動主檔'!$F:$F,'01_異動主檔'!$B:$B,111,'01_異動主檔'!$D:$D,B287,'01_異動主檔'!$E:$E,"移入")</f>
        <v/>
      </c>
      <c r="F287" s="4">
        <f>-SUMIFS('01_異動主檔'!$F:$F,'01_異動主檔'!$B:$B,111,'01_異動主檔'!$D:$D,B287,'01_異動主檔'!$E:$E,"移出")</f>
        <v/>
      </c>
      <c r="G287" s="4">
        <f>SUMIFS('01_異動主檔'!$F:$F,'01_異動主檔'!$B:$B,111,'01_異動主檔'!$D:$D,B287,'01_異動主檔'!$E:$E,"新增")</f>
        <v/>
      </c>
      <c r="H287" s="4">
        <f>-SUMIFS('01_異動主檔'!$F:$F,'01_異動主檔'!$B:$B,111,'01_異動主檔'!$D:$D,B287,'01_異動主檔'!$E:$E,"減列")</f>
        <v/>
      </c>
      <c r="I287" s="4">
        <f>-SUMIFS('01_異動主檔'!$F:$F,'01_異動主檔'!$B:$B,111,'01_異動主檔'!$D:$D,B287,'01_異動主檔'!$E:$E,"精簡")</f>
        <v/>
      </c>
      <c r="J287" s="10">
        <f>D287+E287+F287+G287+H287+I287</f>
        <v/>
      </c>
    </row>
    <row r="288" ht="18" customHeight="1">
      <c r="A288" s="6" t="inlineStr">
        <is>
          <t>B003</t>
        </is>
      </c>
      <c r="B288" s="5" t="inlineStr">
        <is>
          <t>第三組</t>
        </is>
      </c>
      <c r="C288" s="6" t="n">
        <v>112</v>
      </c>
      <c r="D288" s="10">
        <f>J287</f>
        <v/>
      </c>
      <c r="E288" s="4">
        <f>SUMIFS('01_異動主檔'!$F:$F,'01_異動主檔'!$B:$B,112,'01_異動主檔'!$D:$D,B288,'01_異動主檔'!$E:$E,"移入")</f>
        <v/>
      </c>
      <c r="F288" s="4">
        <f>-SUMIFS('01_異動主檔'!$F:$F,'01_異動主檔'!$B:$B,112,'01_異動主檔'!$D:$D,B288,'01_異動主檔'!$E:$E,"移出")</f>
        <v/>
      </c>
      <c r="G288" s="4">
        <f>SUMIFS('01_異動主檔'!$F:$F,'01_異動主檔'!$B:$B,112,'01_異動主檔'!$D:$D,B288,'01_異動主檔'!$E:$E,"新增")</f>
        <v/>
      </c>
      <c r="H288" s="4">
        <f>-SUMIFS('01_異動主檔'!$F:$F,'01_異動主檔'!$B:$B,112,'01_異動主檔'!$D:$D,B288,'01_異動主檔'!$E:$E,"減列")</f>
        <v/>
      </c>
      <c r="I288" s="4">
        <f>-SUMIFS('01_異動主檔'!$F:$F,'01_異動主檔'!$B:$B,112,'01_異動主檔'!$D:$D,B288,'01_異動主檔'!$E:$E,"精簡")</f>
        <v/>
      </c>
      <c r="J288" s="10">
        <f>D288+E288+F288+G288+H288+I288</f>
        <v/>
      </c>
    </row>
    <row r="289" ht="18" customHeight="1">
      <c r="A289" s="4" t="inlineStr">
        <is>
          <t>B003</t>
        </is>
      </c>
      <c r="B289" s="3" t="inlineStr">
        <is>
          <t>第三組</t>
        </is>
      </c>
      <c r="C289" s="4" t="n">
        <v>113</v>
      </c>
      <c r="D289" s="10">
        <f>J288</f>
        <v/>
      </c>
      <c r="E289" s="4">
        <f>SUMIFS('01_異動主檔'!$F:$F,'01_異動主檔'!$B:$B,113,'01_異動主檔'!$D:$D,B289,'01_異動主檔'!$E:$E,"移入")</f>
        <v/>
      </c>
      <c r="F289" s="4">
        <f>-SUMIFS('01_異動主檔'!$F:$F,'01_異動主檔'!$B:$B,113,'01_異動主檔'!$D:$D,B289,'01_異動主檔'!$E:$E,"移出")</f>
        <v/>
      </c>
      <c r="G289" s="4">
        <f>SUMIFS('01_異動主檔'!$F:$F,'01_異動主檔'!$B:$B,113,'01_異動主檔'!$D:$D,B289,'01_異動主檔'!$E:$E,"新增")</f>
        <v/>
      </c>
      <c r="H289" s="4">
        <f>-SUMIFS('01_異動主檔'!$F:$F,'01_異動主檔'!$B:$B,113,'01_異動主檔'!$D:$D,B289,'01_異動主檔'!$E:$E,"減列")</f>
        <v/>
      </c>
      <c r="I289" s="4">
        <f>-SUMIFS('01_異動主檔'!$F:$F,'01_異動主檔'!$B:$B,113,'01_異動主檔'!$D:$D,B289,'01_異動主檔'!$E:$E,"精簡")</f>
        <v/>
      </c>
      <c r="J289" s="10">
        <f>D289+E289+F289+G289+H289+I289</f>
        <v/>
      </c>
    </row>
    <row r="290" ht="18" customHeight="1">
      <c r="A290" s="6" t="inlineStr">
        <is>
          <t>B003</t>
        </is>
      </c>
      <c r="B290" s="5" t="inlineStr">
        <is>
          <t>第三組</t>
        </is>
      </c>
      <c r="C290" s="6" t="n">
        <v>114</v>
      </c>
      <c r="D290" s="10">
        <f>J289</f>
        <v/>
      </c>
      <c r="E290" s="4">
        <f>SUMIFS('01_異動主檔'!$F:$F,'01_異動主檔'!$B:$B,114,'01_異動主檔'!$D:$D,B290,'01_異動主檔'!$E:$E,"移入")</f>
        <v/>
      </c>
      <c r="F290" s="4">
        <f>-SUMIFS('01_異動主檔'!$F:$F,'01_異動主檔'!$B:$B,114,'01_異動主檔'!$D:$D,B290,'01_異動主檔'!$E:$E,"移出")</f>
        <v/>
      </c>
      <c r="G290" s="4">
        <f>SUMIFS('01_異動主檔'!$F:$F,'01_異動主檔'!$B:$B,114,'01_異動主檔'!$D:$D,B290,'01_異動主檔'!$E:$E,"新增")</f>
        <v/>
      </c>
      <c r="H290" s="4">
        <f>-SUMIFS('01_異動主檔'!$F:$F,'01_異動主檔'!$B:$B,114,'01_異動主檔'!$D:$D,B290,'01_異動主檔'!$E:$E,"減列")</f>
        <v/>
      </c>
      <c r="I290" s="4">
        <f>-SUMIFS('01_異動主檔'!$F:$F,'01_異動主檔'!$B:$B,114,'01_異動主檔'!$D:$D,B290,'01_異動主檔'!$E:$E,"精簡")</f>
        <v/>
      </c>
      <c r="J290" s="10">
        <f>D290+E290+F290+G290+H290+I290</f>
        <v/>
      </c>
    </row>
    <row r="291" ht="18" customHeight="1">
      <c r="A291" s="4" t="inlineStr">
        <is>
          <t>B003</t>
        </is>
      </c>
      <c r="B291" s="3" t="inlineStr">
        <is>
          <t>第三組</t>
        </is>
      </c>
      <c r="C291" s="4" t="n">
        <v>115</v>
      </c>
      <c r="D291" s="10">
        <f>J290</f>
        <v/>
      </c>
      <c r="E291" s="4">
        <f>SUMIFS('01_異動主檔'!$F:$F,'01_異動主檔'!$B:$B,115,'01_異動主檔'!$D:$D,B291,'01_異動主檔'!$E:$E,"移入")</f>
        <v/>
      </c>
      <c r="F291" s="4">
        <f>-SUMIFS('01_異動主檔'!$F:$F,'01_異動主檔'!$B:$B,115,'01_異動主檔'!$D:$D,B291,'01_異動主檔'!$E:$E,"移出")</f>
        <v/>
      </c>
      <c r="G291" s="4">
        <f>SUMIFS('01_異動主檔'!$F:$F,'01_異動主檔'!$B:$B,115,'01_異動主檔'!$D:$D,B291,'01_異動主檔'!$E:$E,"新增")</f>
        <v/>
      </c>
      <c r="H291" s="4">
        <f>-SUMIFS('01_異動主檔'!$F:$F,'01_異動主檔'!$B:$B,115,'01_異動主檔'!$D:$D,B291,'01_異動主檔'!$E:$E,"減列")</f>
        <v/>
      </c>
      <c r="I291" s="4">
        <f>-SUMIFS('01_異動主檔'!$F:$F,'01_異動主檔'!$B:$B,115,'01_異動主檔'!$D:$D,B291,'01_異動主檔'!$E:$E,"精簡")</f>
        <v/>
      </c>
      <c r="J291" s="10">
        <f>D291+E291+F291+G291+H291+I291</f>
        <v/>
      </c>
    </row>
    <row r="292" ht="18" customHeight="1">
      <c r="A292" s="6" t="inlineStr">
        <is>
          <t>B003</t>
        </is>
      </c>
      <c r="B292" s="5" t="inlineStr">
        <is>
          <t>第三組</t>
        </is>
      </c>
      <c r="C292" s="6" t="n">
        <v>116</v>
      </c>
      <c r="D292" s="10">
        <f>J291</f>
        <v/>
      </c>
      <c r="E292" s="4">
        <f>SUMIFS('01_異動主檔'!$F:$F,'01_異動主檔'!$B:$B,116,'01_異動主檔'!$D:$D,B292,'01_異動主檔'!$E:$E,"移入")</f>
        <v/>
      </c>
      <c r="F292" s="4">
        <f>-SUMIFS('01_異動主檔'!$F:$F,'01_異動主檔'!$B:$B,116,'01_異動主檔'!$D:$D,B292,'01_異動主檔'!$E:$E,"移出")</f>
        <v/>
      </c>
      <c r="G292" s="4">
        <f>SUMIFS('01_異動主檔'!$F:$F,'01_異動主檔'!$B:$B,116,'01_異動主檔'!$D:$D,B292,'01_異動主檔'!$E:$E,"新增")</f>
        <v/>
      </c>
      <c r="H292" s="4">
        <f>-SUMIFS('01_異動主檔'!$F:$F,'01_異動主檔'!$B:$B,116,'01_異動主檔'!$D:$D,B292,'01_異動主檔'!$E:$E,"減列")</f>
        <v/>
      </c>
      <c r="I292" s="4">
        <f>-SUMIFS('01_異動主檔'!$F:$F,'01_異動主檔'!$B:$B,116,'01_異動主檔'!$D:$D,B292,'01_異動主檔'!$E:$E,"精簡")</f>
        <v/>
      </c>
      <c r="J292" s="10">
        <f>D292+E292+F292+G292+H292+I292</f>
        <v/>
      </c>
    </row>
    <row r="293" ht="18" customHeight="1">
      <c r="A293" s="4" t="inlineStr">
        <is>
          <t>B003</t>
        </is>
      </c>
      <c r="B293" s="3" t="inlineStr">
        <is>
          <t>第三組</t>
        </is>
      </c>
      <c r="C293" s="4" t="n">
        <v>117</v>
      </c>
      <c r="D293" s="10">
        <f>J292</f>
        <v/>
      </c>
      <c r="E293" s="4">
        <f>SUMIFS('01_異動主檔'!$F:$F,'01_異動主檔'!$B:$B,117,'01_異動主檔'!$D:$D,B293,'01_異動主檔'!$E:$E,"移入")</f>
        <v/>
      </c>
      <c r="F293" s="4">
        <f>-SUMIFS('01_異動主檔'!$F:$F,'01_異動主檔'!$B:$B,117,'01_異動主檔'!$D:$D,B293,'01_異動主檔'!$E:$E,"移出")</f>
        <v/>
      </c>
      <c r="G293" s="4">
        <f>SUMIFS('01_異動主檔'!$F:$F,'01_異動主檔'!$B:$B,117,'01_異動主檔'!$D:$D,B293,'01_異動主檔'!$E:$E,"新增")</f>
        <v/>
      </c>
      <c r="H293" s="4">
        <f>-SUMIFS('01_異動主檔'!$F:$F,'01_異動主檔'!$B:$B,117,'01_異動主檔'!$D:$D,B293,'01_異動主檔'!$E:$E,"減列")</f>
        <v/>
      </c>
      <c r="I293" s="4">
        <f>-SUMIFS('01_異動主檔'!$F:$F,'01_異動主檔'!$B:$B,117,'01_異動主檔'!$D:$D,B293,'01_異動主檔'!$E:$E,"精簡")</f>
        <v/>
      </c>
      <c r="J293" s="10">
        <f>D293+E293+F293+G293+H293+I293</f>
        <v/>
      </c>
    </row>
    <row r="294" ht="18" customHeight="1">
      <c r="A294" s="6" t="inlineStr">
        <is>
          <t>B003</t>
        </is>
      </c>
      <c r="B294" s="5" t="inlineStr">
        <is>
          <t>第三組</t>
        </is>
      </c>
      <c r="C294" s="6" t="n">
        <v>118</v>
      </c>
      <c r="D294" s="10">
        <f>J293</f>
        <v/>
      </c>
      <c r="E294" s="4">
        <f>SUMIFS('01_異動主檔'!$F:$F,'01_異動主檔'!$B:$B,118,'01_異動主檔'!$D:$D,B294,'01_異動主檔'!$E:$E,"移入")</f>
        <v/>
      </c>
      <c r="F294" s="4">
        <f>-SUMIFS('01_異動主檔'!$F:$F,'01_異動主檔'!$B:$B,118,'01_異動主檔'!$D:$D,B294,'01_異動主檔'!$E:$E,"移出")</f>
        <v/>
      </c>
      <c r="G294" s="4">
        <f>SUMIFS('01_異動主檔'!$F:$F,'01_異動主檔'!$B:$B,118,'01_異動主檔'!$D:$D,B294,'01_異動主檔'!$E:$E,"新增")</f>
        <v/>
      </c>
      <c r="H294" s="4">
        <f>-SUMIFS('01_異動主檔'!$F:$F,'01_異動主檔'!$B:$B,118,'01_異動主檔'!$D:$D,B294,'01_異動主檔'!$E:$E,"減列")</f>
        <v/>
      </c>
      <c r="I294" s="4">
        <f>-SUMIFS('01_異動主檔'!$F:$F,'01_異動主檔'!$B:$B,118,'01_異動主檔'!$D:$D,B294,'01_異動主檔'!$E:$E,"精簡")</f>
        <v/>
      </c>
      <c r="J294" s="10">
        <f>D294+E294+F294+G294+H294+I294</f>
        <v/>
      </c>
    </row>
    <row r="295" ht="18" customHeight="1">
      <c r="A295" s="4" t="inlineStr">
        <is>
          <t>B003</t>
        </is>
      </c>
      <c r="B295" s="3" t="inlineStr">
        <is>
          <t>第三組</t>
        </is>
      </c>
      <c r="C295" s="4" t="n">
        <v>119</v>
      </c>
      <c r="D295" s="10">
        <f>J294</f>
        <v/>
      </c>
      <c r="E295" s="4">
        <f>SUMIFS('01_異動主檔'!$F:$F,'01_異動主檔'!$B:$B,119,'01_異動主檔'!$D:$D,B295,'01_異動主檔'!$E:$E,"移入")</f>
        <v/>
      </c>
      <c r="F295" s="4">
        <f>-SUMIFS('01_異動主檔'!$F:$F,'01_異動主檔'!$B:$B,119,'01_異動主檔'!$D:$D,B295,'01_異動主檔'!$E:$E,"移出")</f>
        <v/>
      </c>
      <c r="G295" s="4">
        <f>SUMIFS('01_異動主檔'!$F:$F,'01_異動主檔'!$B:$B,119,'01_異動主檔'!$D:$D,B295,'01_異動主檔'!$E:$E,"新增")</f>
        <v/>
      </c>
      <c r="H295" s="4">
        <f>-SUMIFS('01_異動主檔'!$F:$F,'01_異動主檔'!$B:$B,119,'01_異動主檔'!$D:$D,B295,'01_異動主檔'!$E:$E,"減列")</f>
        <v/>
      </c>
      <c r="I295" s="4">
        <f>-SUMIFS('01_異動主檔'!$F:$F,'01_異動主檔'!$B:$B,119,'01_異動主檔'!$D:$D,B295,'01_異動主檔'!$E:$E,"精簡")</f>
        <v/>
      </c>
      <c r="J295" s="10">
        <f>D295+E295+F295+G295+H295+I295</f>
        <v/>
      </c>
    </row>
    <row r="296" ht="18" customHeight="1">
      <c r="A296" s="6" t="inlineStr">
        <is>
          <t>B003</t>
        </is>
      </c>
      <c r="B296" s="5" t="inlineStr">
        <is>
          <t>第三組</t>
        </is>
      </c>
      <c r="C296" s="6" t="n">
        <v>120</v>
      </c>
      <c r="D296" s="10">
        <f>J295</f>
        <v/>
      </c>
      <c r="E296" s="4">
        <f>SUMIFS('01_異動主檔'!$F:$F,'01_異動主檔'!$B:$B,120,'01_異動主檔'!$D:$D,B296,'01_異動主檔'!$E:$E,"移入")</f>
        <v/>
      </c>
      <c r="F296" s="4">
        <f>-SUMIFS('01_異動主檔'!$F:$F,'01_異動主檔'!$B:$B,120,'01_異動主檔'!$D:$D,B296,'01_異動主檔'!$E:$E,"移出")</f>
        <v/>
      </c>
      <c r="G296" s="4">
        <f>SUMIFS('01_異動主檔'!$F:$F,'01_異動主檔'!$B:$B,120,'01_異動主檔'!$D:$D,B296,'01_異動主檔'!$E:$E,"新增")</f>
        <v/>
      </c>
      <c r="H296" s="4">
        <f>-SUMIFS('01_異動主檔'!$F:$F,'01_異動主檔'!$B:$B,120,'01_異動主檔'!$D:$D,B296,'01_異動主檔'!$E:$E,"減列")</f>
        <v/>
      </c>
      <c r="I296" s="4">
        <f>-SUMIFS('01_異動主檔'!$F:$F,'01_異動主檔'!$B:$B,120,'01_異動主檔'!$D:$D,B296,'01_異動主檔'!$E:$E,"精簡")</f>
        <v/>
      </c>
      <c r="J296" s="10">
        <f>D296+E296+F296+G296+H296+I296</f>
        <v/>
      </c>
    </row>
    <row r="297" ht="18" customHeight="1">
      <c r="A297" s="4" t="inlineStr">
        <is>
          <t>B003</t>
        </is>
      </c>
      <c r="B297" s="3" t="inlineStr">
        <is>
          <t>第三組</t>
        </is>
      </c>
      <c r="C297" s="4" t="n">
        <v>121</v>
      </c>
      <c r="D297" s="10">
        <f>J296</f>
        <v/>
      </c>
      <c r="E297" s="4">
        <f>SUMIFS('01_異動主檔'!$F:$F,'01_異動主檔'!$B:$B,121,'01_異動主檔'!$D:$D,B297,'01_異動主檔'!$E:$E,"移入")</f>
        <v/>
      </c>
      <c r="F297" s="4">
        <f>-SUMIFS('01_異動主檔'!$F:$F,'01_異動主檔'!$B:$B,121,'01_異動主檔'!$D:$D,B297,'01_異動主檔'!$E:$E,"移出")</f>
        <v/>
      </c>
      <c r="G297" s="4">
        <f>SUMIFS('01_異動主檔'!$F:$F,'01_異動主檔'!$B:$B,121,'01_異動主檔'!$D:$D,B297,'01_異動主檔'!$E:$E,"新增")</f>
        <v/>
      </c>
      <c r="H297" s="4">
        <f>-SUMIFS('01_異動主檔'!$F:$F,'01_異動主檔'!$B:$B,121,'01_異動主檔'!$D:$D,B297,'01_異動主檔'!$E:$E,"減列")</f>
        <v/>
      </c>
      <c r="I297" s="4">
        <f>-SUMIFS('01_異動主檔'!$F:$F,'01_異動主檔'!$B:$B,121,'01_異動主檔'!$D:$D,B297,'01_異動主檔'!$E:$E,"精簡")</f>
        <v/>
      </c>
      <c r="J297" s="10">
        <f>D297+E297+F297+G297+H297+I297</f>
        <v/>
      </c>
    </row>
    <row r="298" ht="18" customHeight="1">
      <c r="A298" s="6" t="inlineStr">
        <is>
          <t>B003</t>
        </is>
      </c>
      <c r="B298" s="5" t="inlineStr">
        <is>
          <t>第三組</t>
        </is>
      </c>
      <c r="C298" s="6" t="n">
        <v>122</v>
      </c>
      <c r="D298" s="10">
        <f>J297</f>
        <v/>
      </c>
      <c r="E298" s="4">
        <f>SUMIFS('01_異動主檔'!$F:$F,'01_異動主檔'!$B:$B,122,'01_異動主檔'!$D:$D,B298,'01_異動主檔'!$E:$E,"移入")</f>
        <v/>
      </c>
      <c r="F298" s="4">
        <f>-SUMIFS('01_異動主檔'!$F:$F,'01_異動主檔'!$B:$B,122,'01_異動主檔'!$D:$D,B298,'01_異動主檔'!$E:$E,"移出")</f>
        <v/>
      </c>
      <c r="G298" s="4">
        <f>SUMIFS('01_異動主檔'!$F:$F,'01_異動主檔'!$B:$B,122,'01_異動主檔'!$D:$D,B298,'01_異動主檔'!$E:$E,"新增")</f>
        <v/>
      </c>
      <c r="H298" s="4">
        <f>-SUMIFS('01_異動主檔'!$F:$F,'01_異動主檔'!$B:$B,122,'01_異動主檔'!$D:$D,B298,'01_異動主檔'!$E:$E,"減列")</f>
        <v/>
      </c>
      <c r="I298" s="4">
        <f>-SUMIFS('01_異動主檔'!$F:$F,'01_異動主檔'!$B:$B,122,'01_異動主檔'!$D:$D,B298,'01_異動主檔'!$E:$E,"精簡")</f>
        <v/>
      </c>
      <c r="J298" s="10">
        <f>D298+E298+F298+G298+H298+I298</f>
        <v/>
      </c>
    </row>
    <row r="299" ht="18" customHeight="1">
      <c r="A299" s="4" t="inlineStr">
        <is>
          <t>B003</t>
        </is>
      </c>
      <c r="B299" s="3" t="inlineStr">
        <is>
          <t>第三組</t>
        </is>
      </c>
      <c r="C299" s="4" t="n">
        <v>123</v>
      </c>
      <c r="D299" s="10">
        <f>J298</f>
        <v/>
      </c>
      <c r="E299" s="4">
        <f>SUMIFS('01_異動主檔'!$F:$F,'01_異動主檔'!$B:$B,123,'01_異動主檔'!$D:$D,B299,'01_異動主檔'!$E:$E,"移入")</f>
        <v/>
      </c>
      <c r="F299" s="4">
        <f>-SUMIFS('01_異動主檔'!$F:$F,'01_異動主檔'!$B:$B,123,'01_異動主檔'!$D:$D,B299,'01_異動主檔'!$E:$E,"移出")</f>
        <v/>
      </c>
      <c r="G299" s="4">
        <f>SUMIFS('01_異動主檔'!$F:$F,'01_異動主檔'!$B:$B,123,'01_異動主檔'!$D:$D,B299,'01_異動主檔'!$E:$E,"新增")</f>
        <v/>
      </c>
      <c r="H299" s="4">
        <f>-SUMIFS('01_異動主檔'!$F:$F,'01_異動主檔'!$B:$B,123,'01_異動主檔'!$D:$D,B299,'01_異動主檔'!$E:$E,"減列")</f>
        <v/>
      </c>
      <c r="I299" s="4">
        <f>-SUMIFS('01_異動主檔'!$F:$F,'01_異動主檔'!$B:$B,123,'01_異動主檔'!$D:$D,B299,'01_異動主檔'!$E:$E,"精簡")</f>
        <v/>
      </c>
      <c r="J299" s="10">
        <f>D299+E299+F299+G299+H299+I299</f>
        <v/>
      </c>
    </row>
    <row r="300" ht="18" customHeight="1">
      <c r="A300" s="6" t="inlineStr">
        <is>
          <t>B003</t>
        </is>
      </c>
      <c r="B300" s="5" t="inlineStr">
        <is>
          <t>第三組</t>
        </is>
      </c>
      <c r="C300" s="6" t="n">
        <v>124</v>
      </c>
      <c r="D300" s="10">
        <f>J299</f>
        <v/>
      </c>
      <c r="E300" s="4">
        <f>SUMIFS('01_異動主檔'!$F:$F,'01_異動主檔'!$B:$B,124,'01_異動主檔'!$D:$D,B300,'01_異動主檔'!$E:$E,"移入")</f>
        <v/>
      </c>
      <c r="F300" s="4">
        <f>-SUMIFS('01_異動主檔'!$F:$F,'01_異動主檔'!$B:$B,124,'01_異動主檔'!$D:$D,B300,'01_異動主檔'!$E:$E,"移出")</f>
        <v/>
      </c>
      <c r="G300" s="4">
        <f>SUMIFS('01_異動主檔'!$F:$F,'01_異動主檔'!$B:$B,124,'01_異動主檔'!$D:$D,B300,'01_異動主檔'!$E:$E,"新增")</f>
        <v/>
      </c>
      <c r="H300" s="4">
        <f>-SUMIFS('01_異動主檔'!$F:$F,'01_異動主檔'!$B:$B,124,'01_異動主檔'!$D:$D,B300,'01_異動主檔'!$E:$E,"減列")</f>
        <v/>
      </c>
      <c r="I300" s="4">
        <f>-SUMIFS('01_異動主檔'!$F:$F,'01_異動主檔'!$B:$B,124,'01_異動主檔'!$D:$D,B300,'01_異動主檔'!$E:$E,"精簡")</f>
        <v/>
      </c>
      <c r="J300" s="10">
        <f>D300+E300+F300+G300+H300+I300</f>
        <v/>
      </c>
    </row>
    <row r="301" ht="18" customHeight="1">
      <c r="A301" s="4" t="inlineStr">
        <is>
          <t>B003</t>
        </is>
      </c>
      <c r="B301" s="3" t="inlineStr">
        <is>
          <t>第三組</t>
        </is>
      </c>
      <c r="C301" s="4" t="n">
        <v>125</v>
      </c>
      <c r="D301" s="10">
        <f>J300</f>
        <v/>
      </c>
      <c r="E301" s="4">
        <f>SUMIFS('01_異動主檔'!$F:$F,'01_異動主檔'!$B:$B,125,'01_異動主檔'!$D:$D,B301,'01_異動主檔'!$E:$E,"移入")</f>
        <v/>
      </c>
      <c r="F301" s="4">
        <f>-SUMIFS('01_異動主檔'!$F:$F,'01_異動主檔'!$B:$B,125,'01_異動主檔'!$D:$D,B301,'01_異動主檔'!$E:$E,"移出")</f>
        <v/>
      </c>
      <c r="G301" s="4">
        <f>SUMIFS('01_異動主檔'!$F:$F,'01_異動主檔'!$B:$B,125,'01_異動主檔'!$D:$D,B301,'01_異動主檔'!$E:$E,"新增")</f>
        <v/>
      </c>
      <c r="H301" s="4">
        <f>-SUMIFS('01_異動主檔'!$F:$F,'01_異動主檔'!$B:$B,125,'01_異動主檔'!$D:$D,B301,'01_異動主檔'!$E:$E,"減列")</f>
        <v/>
      </c>
      <c r="I301" s="4">
        <f>-SUMIFS('01_異動主檔'!$F:$F,'01_異動主檔'!$B:$B,125,'01_異動主檔'!$D:$D,B301,'01_異動主檔'!$E:$E,"精簡")</f>
        <v/>
      </c>
      <c r="J301" s="10">
        <f>D301+E301+F301+G301+H301+I301</f>
        <v/>
      </c>
    </row>
    <row r="302" ht="18" customHeight="1">
      <c r="A302" s="6" t="inlineStr">
        <is>
          <t>B004</t>
        </is>
      </c>
      <c r="B302" s="5" t="inlineStr">
        <is>
          <t>第四組</t>
        </is>
      </c>
      <c r="C302" s="6" t="n">
        <v>99</v>
      </c>
      <c r="D302" s="10">
        <f>'02_年初員額設定'!C16</f>
        <v/>
      </c>
      <c r="E302" s="4">
        <f>SUMIFS('01_異動主檔'!$F:$F,'01_異動主檔'!$B:$B,99,'01_異動主檔'!$D:$D,B302,'01_異動主檔'!$E:$E,"移入")</f>
        <v/>
      </c>
      <c r="F302" s="4">
        <f>-SUMIFS('01_異動主檔'!$F:$F,'01_異動主檔'!$B:$B,99,'01_異動主檔'!$D:$D,B302,'01_異動主檔'!$E:$E,"移出")</f>
        <v/>
      </c>
      <c r="G302" s="4">
        <f>SUMIFS('01_異動主檔'!$F:$F,'01_異動主檔'!$B:$B,99,'01_異動主檔'!$D:$D,B302,'01_異動主檔'!$E:$E,"新增")</f>
        <v/>
      </c>
      <c r="H302" s="4">
        <f>-SUMIFS('01_異動主檔'!$F:$F,'01_異動主檔'!$B:$B,99,'01_異動主檔'!$D:$D,B302,'01_異動主檔'!$E:$E,"減列")</f>
        <v/>
      </c>
      <c r="I302" s="4">
        <f>-SUMIFS('01_異動主檔'!$F:$F,'01_異動主檔'!$B:$B,99,'01_異動主檔'!$D:$D,B302,'01_異動主檔'!$E:$E,"精簡")</f>
        <v/>
      </c>
      <c r="J302" s="10">
        <f>D302+E302+F302+G302+H302+I302</f>
        <v/>
      </c>
    </row>
    <row r="303" ht="18" customHeight="1">
      <c r="A303" s="4" t="inlineStr">
        <is>
          <t>B004</t>
        </is>
      </c>
      <c r="B303" s="3" t="inlineStr">
        <is>
          <t>第四組</t>
        </is>
      </c>
      <c r="C303" s="4" t="n">
        <v>100</v>
      </c>
      <c r="D303" s="10">
        <f>J302</f>
        <v/>
      </c>
      <c r="E303" s="4">
        <f>SUMIFS('01_異動主檔'!$F:$F,'01_異動主檔'!$B:$B,100,'01_異動主檔'!$D:$D,B303,'01_異動主檔'!$E:$E,"移入")</f>
        <v/>
      </c>
      <c r="F303" s="4">
        <f>-SUMIFS('01_異動主檔'!$F:$F,'01_異動主檔'!$B:$B,100,'01_異動主檔'!$D:$D,B303,'01_異動主檔'!$E:$E,"移出")</f>
        <v/>
      </c>
      <c r="G303" s="4">
        <f>SUMIFS('01_異動主檔'!$F:$F,'01_異動主檔'!$B:$B,100,'01_異動主檔'!$D:$D,B303,'01_異動主檔'!$E:$E,"新增")</f>
        <v/>
      </c>
      <c r="H303" s="4">
        <f>-SUMIFS('01_異動主檔'!$F:$F,'01_異動主檔'!$B:$B,100,'01_異動主檔'!$D:$D,B303,'01_異動主檔'!$E:$E,"減列")</f>
        <v/>
      </c>
      <c r="I303" s="4">
        <f>-SUMIFS('01_異動主檔'!$F:$F,'01_異動主檔'!$B:$B,100,'01_異動主檔'!$D:$D,B303,'01_異動主檔'!$E:$E,"精簡")</f>
        <v/>
      </c>
      <c r="J303" s="10">
        <f>D303+E303+F303+G303+H303+I303</f>
        <v/>
      </c>
    </row>
    <row r="304" ht="18" customHeight="1">
      <c r="A304" s="6" t="inlineStr">
        <is>
          <t>B004</t>
        </is>
      </c>
      <c r="B304" s="5" t="inlineStr">
        <is>
          <t>第四組</t>
        </is>
      </c>
      <c r="C304" s="6" t="n">
        <v>101</v>
      </c>
      <c r="D304" s="10">
        <f>J303</f>
        <v/>
      </c>
      <c r="E304" s="4">
        <f>SUMIFS('01_異動主檔'!$F:$F,'01_異動主檔'!$B:$B,101,'01_異動主檔'!$D:$D,B304,'01_異動主檔'!$E:$E,"移入")</f>
        <v/>
      </c>
      <c r="F304" s="4">
        <f>-SUMIFS('01_異動主檔'!$F:$F,'01_異動主檔'!$B:$B,101,'01_異動主檔'!$D:$D,B304,'01_異動主檔'!$E:$E,"移出")</f>
        <v/>
      </c>
      <c r="G304" s="4">
        <f>SUMIFS('01_異動主檔'!$F:$F,'01_異動主檔'!$B:$B,101,'01_異動主檔'!$D:$D,B304,'01_異動主檔'!$E:$E,"新增")</f>
        <v/>
      </c>
      <c r="H304" s="4">
        <f>-SUMIFS('01_異動主檔'!$F:$F,'01_異動主檔'!$B:$B,101,'01_異動主檔'!$D:$D,B304,'01_異動主檔'!$E:$E,"減列")</f>
        <v/>
      </c>
      <c r="I304" s="4">
        <f>-SUMIFS('01_異動主檔'!$F:$F,'01_異動主檔'!$B:$B,101,'01_異動主檔'!$D:$D,B304,'01_異動主檔'!$E:$E,"精簡")</f>
        <v/>
      </c>
      <c r="J304" s="10">
        <f>D304+E304+F304+G304+H304+I304</f>
        <v/>
      </c>
    </row>
    <row r="305" ht="18" customHeight="1">
      <c r="A305" s="4" t="inlineStr">
        <is>
          <t>B004</t>
        </is>
      </c>
      <c r="B305" s="3" t="inlineStr">
        <is>
          <t>第四組</t>
        </is>
      </c>
      <c r="C305" s="4" t="n">
        <v>102</v>
      </c>
      <c r="D305" s="10">
        <f>J304</f>
        <v/>
      </c>
      <c r="E305" s="4">
        <f>SUMIFS('01_異動主檔'!$F:$F,'01_異動主檔'!$B:$B,102,'01_異動主檔'!$D:$D,B305,'01_異動主檔'!$E:$E,"移入")</f>
        <v/>
      </c>
      <c r="F305" s="4">
        <f>-SUMIFS('01_異動主檔'!$F:$F,'01_異動主檔'!$B:$B,102,'01_異動主檔'!$D:$D,B305,'01_異動主檔'!$E:$E,"移出")</f>
        <v/>
      </c>
      <c r="G305" s="4">
        <f>SUMIFS('01_異動主檔'!$F:$F,'01_異動主檔'!$B:$B,102,'01_異動主檔'!$D:$D,B305,'01_異動主檔'!$E:$E,"新增")</f>
        <v/>
      </c>
      <c r="H305" s="4">
        <f>-SUMIFS('01_異動主檔'!$F:$F,'01_異動主檔'!$B:$B,102,'01_異動主檔'!$D:$D,B305,'01_異動主檔'!$E:$E,"減列")</f>
        <v/>
      </c>
      <c r="I305" s="4">
        <f>-SUMIFS('01_異動主檔'!$F:$F,'01_異動主檔'!$B:$B,102,'01_異動主檔'!$D:$D,B305,'01_異動主檔'!$E:$E,"精簡")</f>
        <v/>
      </c>
      <c r="J305" s="10">
        <f>D305+E305+F305+G305+H305+I305</f>
        <v/>
      </c>
    </row>
    <row r="306" ht="18" customHeight="1">
      <c r="A306" s="6" t="inlineStr">
        <is>
          <t>B004</t>
        </is>
      </c>
      <c r="B306" s="5" t="inlineStr">
        <is>
          <t>第四組</t>
        </is>
      </c>
      <c r="C306" s="6" t="n">
        <v>103</v>
      </c>
      <c r="D306" s="10">
        <f>J305</f>
        <v/>
      </c>
      <c r="E306" s="4">
        <f>SUMIFS('01_異動主檔'!$F:$F,'01_異動主檔'!$B:$B,103,'01_異動主檔'!$D:$D,B306,'01_異動主檔'!$E:$E,"移入")</f>
        <v/>
      </c>
      <c r="F306" s="4">
        <f>-SUMIFS('01_異動主檔'!$F:$F,'01_異動主檔'!$B:$B,103,'01_異動主檔'!$D:$D,B306,'01_異動主檔'!$E:$E,"移出")</f>
        <v/>
      </c>
      <c r="G306" s="4">
        <f>SUMIFS('01_異動主檔'!$F:$F,'01_異動主檔'!$B:$B,103,'01_異動主檔'!$D:$D,B306,'01_異動主檔'!$E:$E,"新增")</f>
        <v/>
      </c>
      <c r="H306" s="4">
        <f>-SUMIFS('01_異動主檔'!$F:$F,'01_異動主檔'!$B:$B,103,'01_異動主檔'!$D:$D,B306,'01_異動主檔'!$E:$E,"減列")</f>
        <v/>
      </c>
      <c r="I306" s="4">
        <f>-SUMIFS('01_異動主檔'!$F:$F,'01_異動主檔'!$B:$B,103,'01_異動主檔'!$D:$D,B306,'01_異動主檔'!$E:$E,"精簡")</f>
        <v/>
      </c>
      <c r="J306" s="10">
        <f>D306+E306+F306+G306+H306+I306</f>
        <v/>
      </c>
    </row>
    <row r="307" ht="18" customHeight="1">
      <c r="A307" s="4" t="inlineStr">
        <is>
          <t>B004</t>
        </is>
      </c>
      <c r="B307" s="3" t="inlineStr">
        <is>
          <t>第四組</t>
        </is>
      </c>
      <c r="C307" s="4" t="n">
        <v>104</v>
      </c>
      <c r="D307" s="10">
        <f>J306</f>
        <v/>
      </c>
      <c r="E307" s="4">
        <f>SUMIFS('01_異動主檔'!$F:$F,'01_異動主檔'!$B:$B,104,'01_異動主檔'!$D:$D,B307,'01_異動主檔'!$E:$E,"移入")</f>
        <v/>
      </c>
      <c r="F307" s="4">
        <f>-SUMIFS('01_異動主檔'!$F:$F,'01_異動主檔'!$B:$B,104,'01_異動主檔'!$D:$D,B307,'01_異動主檔'!$E:$E,"移出")</f>
        <v/>
      </c>
      <c r="G307" s="4">
        <f>SUMIFS('01_異動主檔'!$F:$F,'01_異動主檔'!$B:$B,104,'01_異動主檔'!$D:$D,B307,'01_異動主檔'!$E:$E,"新增")</f>
        <v/>
      </c>
      <c r="H307" s="4">
        <f>-SUMIFS('01_異動主檔'!$F:$F,'01_異動主檔'!$B:$B,104,'01_異動主檔'!$D:$D,B307,'01_異動主檔'!$E:$E,"減列")</f>
        <v/>
      </c>
      <c r="I307" s="4">
        <f>-SUMIFS('01_異動主檔'!$F:$F,'01_異動主檔'!$B:$B,104,'01_異動主檔'!$D:$D,B307,'01_異動主檔'!$E:$E,"精簡")</f>
        <v/>
      </c>
      <c r="J307" s="10">
        <f>D307+E307+F307+G307+H307+I307</f>
        <v/>
      </c>
    </row>
    <row r="308" ht="18" customHeight="1">
      <c r="A308" s="6" t="inlineStr">
        <is>
          <t>B004</t>
        </is>
      </c>
      <c r="B308" s="5" t="inlineStr">
        <is>
          <t>第四組</t>
        </is>
      </c>
      <c r="C308" s="6" t="n">
        <v>105</v>
      </c>
      <c r="D308" s="10">
        <f>J307</f>
        <v/>
      </c>
      <c r="E308" s="4">
        <f>SUMIFS('01_異動主檔'!$F:$F,'01_異動主檔'!$B:$B,105,'01_異動主檔'!$D:$D,B308,'01_異動主檔'!$E:$E,"移入")</f>
        <v/>
      </c>
      <c r="F308" s="4">
        <f>-SUMIFS('01_異動主檔'!$F:$F,'01_異動主檔'!$B:$B,105,'01_異動主檔'!$D:$D,B308,'01_異動主檔'!$E:$E,"移出")</f>
        <v/>
      </c>
      <c r="G308" s="4">
        <f>SUMIFS('01_異動主檔'!$F:$F,'01_異動主檔'!$B:$B,105,'01_異動主檔'!$D:$D,B308,'01_異動主檔'!$E:$E,"新增")</f>
        <v/>
      </c>
      <c r="H308" s="4">
        <f>-SUMIFS('01_異動主檔'!$F:$F,'01_異動主檔'!$B:$B,105,'01_異動主檔'!$D:$D,B308,'01_異動主檔'!$E:$E,"減列")</f>
        <v/>
      </c>
      <c r="I308" s="4">
        <f>-SUMIFS('01_異動主檔'!$F:$F,'01_異動主檔'!$B:$B,105,'01_異動主檔'!$D:$D,B308,'01_異動主檔'!$E:$E,"精簡")</f>
        <v/>
      </c>
      <c r="J308" s="10">
        <f>D308+E308+F308+G308+H308+I308</f>
        <v/>
      </c>
    </row>
    <row r="309" ht="18" customHeight="1">
      <c r="A309" s="4" t="inlineStr">
        <is>
          <t>B004</t>
        </is>
      </c>
      <c r="B309" s="3" t="inlineStr">
        <is>
          <t>第四組</t>
        </is>
      </c>
      <c r="C309" s="4" t="n">
        <v>106</v>
      </c>
      <c r="D309" s="10">
        <f>J308</f>
        <v/>
      </c>
      <c r="E309" s="4">
        <f>SUMIFS('01_異動主檔'!$F:$F,'01_異動主檔'!$B:$B,106,'01_異動主檔'!$D:$D,B309,'01_異動主檔'!$E:$E,"移入")</f>
        <v/>
      </c>
      <c r="F309" s="4">
        <f>-SUMIFS('01_異動主檔'!$F:$F,'01_異動主檔'!$B:$B,106,'01_異動主檔'!$D:$D,B309,'01_異動主檔'!$E:$E,"移出")</f>
        <v/>
      </c>
      <c r="G309" s="4">
        <f>SUMIFS('01_異動主檔'!$F:$F,'01_異動主檔'!$B:$B,106,'01_異動主檔'!$D:$D,B309,'01_異動主檔'!$E:$E,"新增")</f>
        <v/>
      </c>
      <c r="H309" s="4">
        <f>-SUMIFS('01_異動主檔'!$F:$F,'01_異動主檔'!$B:$B,106,'01_異動主檔'!$D:$D,B309,'01_異動主檔'!$E:$E,"減列")</f>
        <v/>
      </c>
      <c r="I309" s="4">
        <f>-SUMIFS('01_異動主檔'!$F:$F,'01_異動主檔'!$B:$B,106,'01_異動主檔'!$D:$D,B309,'01_異動主檔'!$E:$E,"精簡")</f>
        <v/>
      </c>
      <c r="J309" s="10">
        <f>D309+E309+F309+G309+H309+I309</f>
        <v/>
      </c>
    </row>
    <row r="310" ht="18" customHeight="1">
      <c r="A310" s="6" t="inlineStr">
        <is>
          <t>B004</t>
        </is>
      </c>
      <c r="B310" s="5" t="inlineStr">
        <is>
          <t>第四組</t>
        </is>
      </c>
      <c r="C310" s="6" t="n">
        <v>107</v>
      </c>
      <c r="D310" s="10">
        <f>J309</f>
        <v/>
      </c>
      <c r="E310" s="4">
        <f>SUMIFS('01_異動主檔'!$F:$F,'01_異動主檔'!$B:$B,107,'01_異動主檔'!$D:$D,B310,'01_異動主檔'!$E:$E,"移入")</f>
        <v/>
      </c>
      <c r="F310" s="4">
        <f>-SUMIFS('01_異動主檔'!$F:$F,'01_異動主檔'!$B:$B,107,'01_異動主檔'!$D:$D,B310,'01_異動主檔'!$E:$E,"移出")</f>
        <v/>
      </c>
      <c r="G310" s="4">
        <f>SUMIFS('01_異動主檔'!$F:$F,'01_異動主檔'!$B:$B,107,'01_異動主檔'!$D:$D,B310,'01_異動主檔'!$E:$E,"新增")</f>
        <v/>
      </c>
      <c r="H310" s="4">
        <f>-SUMIFS('01_異動主檔'!$F:$F,'01_異動主檔'!$B:$B,107,'01_異動主檔'!$D:$D,B310,'01_異動主檔'!$E:$E,"減列")</f>
        <v/>
      </c>
      <c r="I310" s="4">
        <f>-SUMIFS('01_異動主檔'!$F:$F,'01_異動主檔'!$B:$B,107,'01_異動主檔'!$D:$D,B310,'01_異動主檔'!$E:$E,"精簡")</f>
        <v/>
      </c>
      <c r="J310" s="10">
        <f>D310+E310+F310+G310+H310+I310</f>
        <v/>
      </c>
    </row>
    <row r="311" ht="18" customHeight="1">
      <c r="A311" s="4" t="inlineStr">
        <is>
          <t>B004</t>
        </is>
      </c>
      <c r="B311" s="3" t="inlineStr">
        <is>
          <t>第四組</t>
        </is>
      </c>
      <c r="C311" s="4" t="n">
        <v>108</v>
      </c>
      <c r="D311" s="10">
        <f>J310</f>
        <v/>
      </c>
      <c r="E311" s="4">
        <f>SUMIFS('01_異動主檔'!$F:$F,'01_異動主檔'!$B:$B,108,'01_異動主檔'!$D:$D,B311,'01_異動主檔'!$E:$E,"移入")</f>
        <v/>
      </c>
      <c r="F311" s="4">
        <f>-SUMIFS('01_異動主檔'!$F:$F,'01_異動主檔'!$B:$B,108,'01_異動主檔'!$D:$D,B311,'01_異動主檔'!$E:$E,"移出")</f>
        <v/>
      </c>
      <c r="G311" s="4">
        <f>SUMIFS('01_異動主檔'!$F:$F,'01_異動主檔'!$B:$B,108,'01_異動主檔'!$D:$D,B311,'01_異動主檔'!$E:$E,"新增")</f>
        <v/>
      </c>
      <c r="H311" s="4">
        <f>-SUMIFS('01_異動主檔'!$F:$F,'01_異動主檔'!$B:$B,108,'01_異動主檔'!$D:$D,B311,'01_異動主檔'!$E:$E,"減列")</f>
        <v/>
      </c>
      <c r="I311" s="4">
        <f>-SUMIFS('01_異動主檔'!$F:$F,'01_異動主檔'!$B:$B,108,'01_異動主檔'!$D:$D,B311,'01_異動主檔'!$E:$E,"精簡")</f>
        <v/>
      </c>
      <c r="J311" s="10">
        <f>D311+E311+F311+G311+H311+I311</f>
        <v/>
      </c>
    </row>
    <row r="312" ht="18" customHeight="1">
      <c r="A312" s="6" t="inlineStr">
        <is>
          <t>B004</t>
        </is>
      </c>
      <c r="B312" s="5" t="inlineStr">
        <is>
          <t>第四組</t>
        </is>
      </c>
      <c r="C312" s="6" t="n">
        <v>109</v>
      </c>
      <c r="D312" s="10">
        <f>J311</f>
        <v/>
      </c>
      <c r="E312" s="4">
        <f>SUMIFS('01_異動主檔'!$F:$F,'01_異動主檔'!$B:$B,109,'01_異動主檔'!$D:$D,B312,'01_異動主檔'!$E:$E,"移入")</f>
        <v/>
      </c>
      <c r="F312" s="4">
        <f>-SUMIFS('01_異動主檔'!$F:$F,'01_異動主檔'!$B:$B,109,'01_異動主檔'!$D:$D,B312,'01_異動主檔'!$E:$E,"移出")</f>
        <v/>
      </c>
      <c r="G312" s="4">
        <f>SUMIFS('01_異動主檔'!$F:$F,'01_異動主檔'!$B:$B,109,'01_異動主檔'!$D:$D,B312,'01_異動主檔'!$E:$E,"新增")</f>
        <v/>
      </c>
      <c r="H312" s="4">
        <f>-SUMIFS('01_異動主檔'!$F:$F,'01_異動主檔'!$B:$B,109,'01_異動主檔'!$D:$D,B312,'01_異動主檔'!$E:$E,"減列")</f>
        <v/>
      </c>
      <c r="I312" s="4">
        <f>-SUMIFS('01_異動主檔'!$F:$F,'01_異動主檔'!$B:$B,109,'01_異動主檔'!$D:$D,B312,'01_異動主檔'!$E:$E,"精簡")</f>
        <v/>
      </c>
      <c r="J312" s="10">
        <f>D312+E312+F312+G312+H312+I312</f>
        <v/>
      </c>
    </row>
    <row r="313" ht="18" customHeight="1">
      <c r="A313" s="4" t="inlineStr">
        <is>
          <t>B004</t>
        </is>
      </c>
      <c r="B313" s="3" t="inlineStr">
        <is>
          <t>第四組</t>
        </is>
      </c>
      <c r="C313" s="4" t="n">
        <v>110</v>
      </c>
      <c r="D313" s="10">
        <f>J312</f>
        <v/>
      </c>
      <c r="E313" s="4">
        <f>SUMIFS('01_異動主檔'!$F:$F,'01_異動主檔'!$B:$B,110,'01_異動主檔'!$D:$D,B313,'01_異動主檔'!$E:$E,"移入")</f>
        <v/>
      </c>
      <c r="F313" s="4">
        <f>-SUMIFS('01_異動主檔'!$F:$F,'01_異動主檔'!$B:$B,110,'01_異動主檔'!$D:$D,B313,'01_異動主檔'!$E:$E,"移出")</f>
        <v/>
      </c>
      <c r="G313" s="4">
        <f>SUMIFS('01_異動主檔'!$F:$F,'01_異動主檔'!$B:$B,110,'01_異動主檔'!$D:$D,B313,'01_異動主檔'!$E:$E,"新增")</f>
        <v/>
      </c>
      <c r="H313" s="4">
        <f>-SUMIFS('01_異動主檔'!$F:$F,'01_異動主檔'!$B:$B,110,'01_異動主檔'!$D:$D,B313,'01_異動主檔'!$E:$E,"減列")</f>
        <v/>
      </c>
      <c r="I313" s="4">
        <f>-SUMIFS('01_異動主檔'!$F:$F,'01_異動主檔'!$B:$B,110,'01_異動主檔'!$D:$D,B313,'01_異動主檔'!$E:$E,"精簡")</f>
        <v/>
      </c>
      <c r="J313" s="10">
        <f>D313+E313+F313+G313+H313+I313</f>
        <v/>
      </c>
    </row>
    <row r="314" ht="18" customHeight="1">
      <c r="A314" s="6" t="inlineStr">
        <is>
          <t>B004</t>
        </is>
      </c>
      <c r="B314" s="5" t="inlineStr">
        <is>
          <t>第四組</t>
        </is>
      </c>
      <c r="C314" s="6" t="n">
        <v>111</v>
      </c>
      <c r="D314" s="10">
        <f>J313</f>
        <v/>
      </c>
      <c r="E314" s="4">
        <f>SUMIFS('01_異動主檔'!$F:$F,'01_異動主檔'!$B:$B,111,'01_異動主檔'!$D:$D,B314,'01_異動主檔'!$E:$E,"移入")</f>
        <v/>
      </c>
      <c r="F314" s="4">
        <f>-SUMIFS('01_異動主檔'!$F:$F,'01_異動主檔'!$B:$B,111,'01_異動主檔'!$D:$D,B314,'01_異動主檔'!$E:$E,"移出")</f>
        <v/>
      </c>
      <c r="G314" s="4">
        <f>SUMIFS('01_異動主檔'!$F:$F,'01_異動主檔'!$B:$B,111,'01_異動主檔'!$D:$D,B314,'01_異動主檔'!$E:$E,"新增")</f>
        <v/>
      </c>
      <c r="H314" s="4">
        <f>-SUMIFS('01_異動主檔'!$F:$F,'01_異動主檔'!$B:$B,111,'01_異動主檔'!$D:$D,B314,'01_異動主檔'!$E:$E,"減列")</f>
        <v/>
      </c>
      <c r="I314" s="4">
        <f>-SUMIFS('01_異動主檔'!$F:$F,'01_異動主檔'!$B:$B,111,'01_異動主檔'!$D:$D,B314,'01_異動主檔'!$E:$E,"精簡")</f>
        <v/>
      </c>
      <c r="J314" s="10">
        <f>D314+E314+F314+G314+H314+I314</f>
        <v/>
      </c>
    </row>
    <row r="315" ht="18" customHeight="1">
      <c r="A315" s="4" t="inlineStr">
        <is>
          <t>B004</t>
        </is>
      </c>
      <c r="B315" s="3" t="inlineStr">
        <is>
          <t>第四組</t>
        </is>
      </c>
      <c r="C315" s="4" t="n">
        <v>112</v>
      </c>
      <c r="D315" s="10">
        <f>J314</f>
        <v/>
      </c>
      <c r="E315" s="4">
        <f>SUMIFS('01_異動主檔'!$F:$F,'01_異動主檔'!$B:$B,112,'01_異動主檔'!$D:$D,B315,'01_異動主檔'!$E:$E,"移入")</f>
        <v/>
      </c>
      <c r="F315" s="4">
        <f>-SUMIFS('01_異動主檔'!$F:$F,'01_異動主檔'!$B:$B,112,'01_異動主檔'!$D:$D,B315,'01_異動主檔'!$E:$E,"移出")</f>
        <v/>
      </c>
      <c r="G315" s="4">
        <f>SUMIFS('01_異動主檔'!$F:$F,'01_異動主檔'!$B:$B,112,'01_異動主檔'!$D:$D,B315,'01_異動主檔'!$E:$E,"新增")</f>
        <v/>
      </c>
      <c r="H315" s="4">
        <f>-SUMIFS('01_異動主檔'!$F:$F,'01_異動主檔'!$B:$B,112,'01_異動主檔'!$D:$D,B315,'01_異動主檔'!$E:$E,"減列")</f>
        <v/>
      </c>
      <c r="I315" s="4">
        <f>-SUMIFS('01_異動主檔'!$F:$F,'01_異動主檔'!$B:$B,112,'01_異動主檔'!$D:$D,B315,'01_異動主檔'!$E:$E,"精簡")</f>
        <v/>
      </c>
      <c r="J315" s="10">
        <f>D315+E315+F315+G315+H315+I315</f>
        <v/>
      </c>
    </row>
    <row r="316" ht="18" customHeight="1">
      <c r="A316" s="6" t="inlineStr">
        <is>
          <t>B004</t>
        </is>
      </c>
      <c r="B316" s="5" t="inlineStr">
        <is>
          <t>第四組</t>
        </is>
      </c>
      <c r="C316" s="6" t="n">
        <v>113</v>
      </c>
      <c r="D316" s="10">
        <f>J315</f>
        <v/>
      </c>
      <c r="E316" s="4">
        <f>SUMIFS('01_異動主檔'!$F:$F,'01_異動主檔'!$B:$B,113,'01_異動主檔'!$D:$D,B316,'01_異動主檔'!$E:$E,"移入")</f>
        <v/>
      </c>
      <c r="F316" s="4">
        <f>-SUMIFS('01_異動主檔'!$F:$F,'01_異動主檔'!$B:$B,113,'01_異動主檔'!$D:$D,B316,'01_異動主檔'!$E:$E,"移出")</f>
        <v/>
      </c>
      <c r="G316" s="4">
        <f>SUMIFS('01_異動主檔'!$F:$F,'01_異動主檔'!$B:$B,113,'01_異動主檔'!$D:$D,B316,'01_異動主檔'!$E:$E,"新增")</f>
        <v/>
      </c>
      <c r="H316" s="4">
        <f>-SUMIFS('01_異動主檔'!$F:$F,'01_異動主檔'!$B:$B,113,'01_異動主檔'!$D:$D,B316,'01_異動主檔'!$E:$E,"減列")</f>
        <v/>
      </c>
      <c r="I316" s="4">
        <f>-SUMIFS('01_異動主檔'!$F:$F,'01_異動主檔'!$B:$B,113,'01_異動主檔'!$D:$D,B316,'01_異動主檔'!$E:$E,"精簡")</f>
        <v/>
      </c>
      <c r="J316" s="10">
        <f>D316+E316+F316+G316+H316+I316</f>
        <v/>
      </c>
    </row>
    <row r="317" ht="18" customHeight="1">
      <c r="A317" s="4" t="inlineStr">
        <is>
          <t>B004</t>
        </is>
      </c>
      <c r="B317" s="3" t="inlineStr">
        <is>
          <t>第四組</t>
        </is>
      </c>
      <c r="C317" s="4" t="n">
        <v>114</v>
      </c>
      <c r="D317" s="10">
        <f>J316</f>
        <v/>
      </c>
      <c r="E317" s="4">
        <f>SUMIFS('01_異動主檔'!$F:$F,'01_異動主檔'!$B:$B,114,'01_異動主檔'!$D:$D,B317,'01_異動主檔'!$E:$E,"移入")</f>
        <v/>
      </c>
      <c r="F317" s="4">
        <f>-SUMIFS('01_異動主檔'!$F:$F,'01_異動主檔'!$B:$B,114,'01_異動主檔'!$D:$D,B317,'01_異動主檔'!$E:$E,"移出")</f>
        <v/>
      </c>
      <c r="G317" s="4">
        <f>SUMIFS('01_異動主檔'!$F:$F,'01_異動主檔'!$B:$B,114,'01_異動主檔'!$D:$D,B317,'01_異動主檔'!$E:$E,"新增")</f>
        <v/>
      </c>
      <c r="H317" s="4">
        <f>-SUMIFS('01_異動主檔'!$F:$F,'01_異動主檔'!$B:$B,114,'01_異動主檔'!$D:$D,B317,'01_異動主檔'!$E:$E,"減列")</f>
        <v/>
      </c>
      <c r="I317" s="4">
        <f>-SUMIFS('01_異動主檔'!$F:$F,'01_異動主檔'!$B:$B,114,'01_異動主檔'!$D:$D,B317,'01_異動主檔'!$E:$E,"精簡")</f>
        <v/>
      </c>
      <c r="J317" s="10">
        <f>D317+E317+F317+G317+H317+I317</f>
        <v/>
      </c>
    </row>
    <row r="318" ht="18" customHeight="1">
      <c r="A318" s="6" t="inlineStr">
        <is>
          <t>B004</t>
        </is>
      </c>
      <c r="B318" s="5" t="inlineStr">
        <is>
          <t>第四組</t>
        </is>
      </c>
      <c r="C318" s="6" t="n">
        <v>115</v>
      </c>
      <c r="D318" s="10">
        <f>J317</f>
        <v/>
      </c>
      <c r="E318" s="4">
        <f>SUMIFS('01_異動主檔'!$F:$F,'01_異動主檔'!$B:$B,115,'01_異動主檔'!$D:$D,B318,'01_異動主檔'!$E:$E,"移入")</f>
        <v/>
      </c>
      <c r="F318" s="4">
        <f>-SUMIFS('01_異動主檔'!$F:$F,'01_異動主檔'!$B:$B,115,'01_異動主檔'!$D:$D,B318,'01_異動主檔'!$E:$E,"移出")</f>
        <v/>
      </c>
      <c r="G318" s="4">
        <f>SUMIFS('01_異動主檔'!$F:$F,'01_異動主檔'!$B:$B,115,'01_異動主檔'!$D:$D,B318,'01_異動主檔'!$E:$E,"新增")</f>
        <v/>
      </c>
      <c r="H318" s="4">
        <f>-SUMIFS('01_異動主檔'!$F:$F,'01_異動主檔'!$B:$B,115,'01_異動主檔'!$D:$D,B318,'01_異動主檔'!$E:$E,"減列")</f>
        <v/>
      </c>
      <c r="I318" s="4">
        <f>-SUMIFS('01_異動主檔'!$F:$F,'01_異動主檔'!$B:$B,115,'01_異動主檔'!$D:$D,B318,'01_異動主檔'!$E:$E,"精簡")</f>
        <v/>
      </c>
      <c r="J318" s="10">
        <f>D318+E318+F318+G318+H318+I318</f>
        <v/>
      </c>
    </row>
    <row r="319" ht="18" customHeight="1">
      <c r="A319" s="4" t="inlineStr">
        <is>
          <t>B004</t>
        </is>
      </c>
      <c r="B319" s="3" t="inlineStr">
        <is>
          <t>第四組</t>
        </is>
      </c>
      <c r="C319" s="4" t="n">
        <v>116</v>
      </c>
      <c r="D319" s="10">
        <f>J318</f>
        <v/>
      </c>
      <c r="E319" s="4">
        <f>SUMIFS('01_異動主檔'!$F:$F,'01_異動主檔'!$B:$B,116,'01_異動主檔'!$D:$D,B319,'01_異動主檔'!$E:$E,"移入")</f>
        <v/>
      </c>
      <c r="F319" s="4">
        <f>-SUMIFS('01_異動主檔'!$F:$F,'01_異動主檔'!$B:$B,116,'01_異動主檔'!$D:$D,B319,'01_異動主檔'!$E:$E,"移出")</f>
        <v/>
      </c>
      <c r="G319" s="4">
        <f>SUMIFS('01_異動主檔'!$F:$F,'01_異動主檔'!$B:$B,116,'01_異動主檔'!$D:$D,B319,'01_異動主檔'!$E:$E,"新增")</f>
        <v/>
      </c>
      <c r="H319" s="4">
        <f>-SUMIFS('01_異動主檔'!$F:$F,'01_異動主檔'!$B:$B,116,'01_異動主檔'!$D:$D,B319,'01_異動主檔'!$E:$E,"減列")</f>
        <v/>
      </c>
      <c r="I319" s="4">
        <f>-SUMIFS('01_異動主檔'!$F:$F,'01_異動主檔'!$B:$B,116,'01_異動主檔'!$D:$D,B319,'01_異動主檔'!$E:$E,"精簡")</f>
        <v/>
      </c>
      <c r="J319" s="10">
        <f>D319+E319+F319+G319+H319+I319</f>
        <v/>
      </c>
    </row>
    <row r="320" ht="18" customHeight="1">
      <c r="A320" s="6" t="inlineStr">
        <is>
          <t>B004</t>
        </is>
      </c>
      <c r="B320" s="5" t="inlineStr">
        <is>
          <t>第四組</t>
        </is>
      </c>
      <c r="C320" s="6" t="n">
        <v>117</v>
      </c>
      <c r="D320" s="10">
        <f>J319</f>
        <v/>
      </c>
      <c r="E320" s="4">
        <f>SUMIFS('01_異動主檔'!$F:$F,'01_異動主檔'!$B:$B,117,'01_異動主檔'!$D:$D,B320,'01_異動主檔'!$E:$E,"移入")</f>
        <v/>
      </c>
      <c r="F320" s="4">
        <f>-SUMIFS('01_異動主檔'!$F:$F,'01_異動主檔'!$B:$B,117,'01_異動主檔'!$D:$D,B320,'01_異動主檔'!$E:$E,"移出")</f>
        <v/>
      </c>
      <c r="G320" s="4">
        <f>SUMIFS('01_異動主檔'!$F:$F,'01_異動主檔'!$B:$B,117,'01_異動主檔'!$D:$D,B320,'01_異動主檔'!$E:$E,"新增")</f>
        <v/>
      </c>
      <c r="H320" s="4">
        <f>-SUMIFS('01_異動主檔'!$F:$F,'01_異動主檔'!$B:$B,117,'01_異動主檔'!$D:$D,B320,'01_異動主檔'!$E:$E,"減列")</f>
        <v/>
      </c>
      <c r="I320" s="4">
        <f>-SUMIFS('01_異動主檔'!$F:$F,'01_異動主檔'!$B:$B,117,'01_異動主檔'!$D:$D,B320,'01_異動主檔'!$E:$E,"精簡")</f>
        <v/>
      </c>
      <c r="J320" s="10">
        <f>D320+E320+F320+G320+H320+I320</f>
        <v/>
      </c>
    </row>
    <row r="321" ht="18" customHeight="1">
      <c r="A321" s="4" t="inlineStr">
        <is>
          <t>B004</t>
        </is>
      </c>
      <c r="B321" s="3" t="inlineStr">
        <is>
          <t>第四組</t>
        </is>
      </c>
      <c r="C321" s="4" t="n">
        <v>118</v>
      </c>
      <c r="D321" s="10">
        <f>J320</f>
        <v/>
      </c>
      <c r="E321" s="4">
        <f>SUMIFS('01_異動主檔'!$F:$F,'01_異動主檔'!$B:$B,118,'01_異動主檔'!$D:$D,B321,'01_異動主檔'!$E:$E,"移入")</f>
        <v/>
      </c>
      <c r="F321" s="4">
        <f>-SUMIFS('01_異動主檔'!$F:$F,'01_異動主檔'!$B:$B,118,'01_異動主檔'!$D:$D,B321,'01_異動主檔'!$E:$E,"移出")</f>
        <v/>
      </c>
      <c r="G321" s="4">
        <f>SUMIFS('01_異動主檔'!$F:$F,'01_異動主檔'!$B:$B,118,'01_異動主檔'!$D:$D,B321,'01_異動主檔'!$E:$E,"新增")</f>
        <v/>
      </c>
      <c r="H321" s="4">
        <f>-SUMIFS('01_異動主檔'!$F:$F,'01_異動主檔'!$B:$B,118,'01_異動主檔'!$D:$D,B321,'01_異動主檔'!$E:$E,"減列")</f>
        <v/>
      </c>
      <c r="I321" s="4">
        <f>-SUMIFS('01_異動主檔'!$F:$F,'01_異動主檔'!$B:$B,118,'01_異動主檔'!$D:$D,B321,'01_異動主檔'!$E:$E,"精簡")</f>
        <v/>
      </c>
      <c r="J321" s="10">
        <f>D321+E321+F321+G321+H321+I321</f>
        <v/>
      </c>
    </row>
    <row r="322" ht="18" customHeight="1">
      <c r="A322" s="6" t="inlineStr">
        <is>
          <t>B004</t>
        </is>
      </c>
      <c r="B322" s="5" t="inlineStr">
        <is>
          <t>第四組</t>
        </is>
      </c>
      <c r="C322" s="6" t="n">
        <v>119</v>
      </c>
      <c r="D322" s="10">
        <f>J321</f>
        <v/>
      </c>
      <c r="E322" s="4">
        <f>SUMIFS('01_異動主檔'!$F:$F,'01_異動主檔'!$B:$B,119,'01_異動主檔'!$D:$D,B322,'01_異動主檔'!$E:$E,"移入")</f>
        <v/>
      </c>
      <c r="F322" s="4">
        <f>-SUMIFS('01_異動主檔'!$F:$F,'01_異動主檔'!$B:$B,119,'01_異動主檔'!$D:$D,B322,'01_異動主檔'!$E:$E,"移出")</f>
        <v/>
      </c>
      <c r="G322" s="4">
        <f>SUMIFS('01_異動主檔'!$F:$F,'01_異動主檔'!$B:$B,119,'01_異動主檔'!$D:$D,B322,'01_異動主檔'!$E:$E,"新增")</f>
        <v/>
      </c>
      <c r="H322" s="4">
        <f>-SUMIFS('01_異動主檔'!$F:$F,'01_異動主檔'!$B:$B,119,'01_異動主檔'!$D:$D,B322,'01_異動主檔'!$E:$E,"減列")</f>
        <v/>
      </c>
      <c r="I322" s="4">
        <f>-SUMIFS('01_異動主檔'!$F:$F,'01_異動主檔'!$B:$B,119,'01_異動主檔'!$D:$D,B322,'01_異動主檔'!$E:$E,"精簡")</f>
        <v/>
      </c>
      <c r="J322" s="10">
        <f>D322+E322+F322+G322+H322+I322</f>
        <v/>
      </c>
    </row>
    <row r="323" ht="18" customHeight="1">
      <c r="A323" s="4" t="inlineStr">
        <is>
          <t>B004</t>
        </is>
      </c>
      <c r="B323" s="3" t="inlineStr">
        <is>
          <t>第四組</t>
        </is>
      </c>
      <c r="C323" s="4" t="n">
        <v>120</v>
      </c>
      <c r="D323" s="10">
        <f>J322</f>
        <v/>
      </c>
      <c r="E323" s="4">
        <f>SUMIFS('01_異動主檔'!$F:$F,'01_異動主檔'!$B:$B,120,'01_異動主檔'!$D:$D,B323,'01_異動主檔'!$E:$E,"移入")</f>
        <v/>
      </c>
      <c r="F323" s="4">
        <f>-SUMIFS('01_異動主檔'!$F:$F,'01_異動主檔'!$B:$B,120,'01_異動主檔'!$D:$D,B323,'01_異動主檔'!$E:$E,"移出")</f>
        <v/>
      </c>
      <c r="G323" s="4">
        <f>SUMIFS('01_異動主檔'!$F:$F,'01_異動主檔'!$B:$B,120,'01_異動主檔'!$D:$D,B323,'01_異動主檔'!$E:$E,"新增")</f>
        <v/>
      </c>
      <c r="H323" s="4">
        <f>-SUMIFS('01_異動主檔'!$F:$F,'01_異動主檔'!$B:$B,120,'01_異動主檔'!$D:$D,B323,'01_異動主檔'!$E:$E,"減列")</f>
        <v/>
      </c>
      <c r="I323" s="4">
        <f>-SUMIFS('01_異動主檔'!$F:$F,'01_異動主檔'!$B:$B,120,'01_異動主檔'!$D:$D,B323,'01_異動主檔'!$E:$E,"精簡")</f>
        <v/>
      </c>
      <c r="J323" s="10">
        <f>D323+E323+F323+G323+H323+I323</f>
        <v/>
      </c>
    </row>
    <row r="324" ht="18" customHeight="1">
      <c r="A324" s="6" t="inlineStr">
        <is>
          <t>B004</t>
        </is>
      </c>
      <c r="B324" s="5" t="inlineStr">
        <is>
          <t>第四組</t>
        </is>
      </c>
      <c r="C324" s="6" t="n">
        <v>121</v>
      </c>
      <c r="D324" s="10">
        <f>J323</f>
        <v/>
      </c>
      <c r="E324" s="4">
        <f>SUMIFS('01_異動主檔'!$F:$F,'01_異動主檔'!$B:$B,121,'01_異動主檔'!$D:$D,B324,'01_異動主檔'!$E:$E,"移入")</f>
        <v/>
      </c>
      <c r="F324" s="4">
        <f>-SUMIFS('01_異動主檔'!$F:$F,'01_異動主檔'!$B:$B,121,'01_異動主檔'!$D:$D,B324,'01_異動主檔'!$E:$E,"移出")</f>
        <v/>
      </c>
      <c r="G324" s="4">
        <f>SUMIFS('01_異動主檔'!$F:$F,'01_異動主檔'!$B:$B,121,'01_異動主檔'!$D:$D,B324,'01_異動主檔'!$E:$E,"新增")</f>
        <v/>
      </c>
      <c r="H324" s="4">
        <f>-SUMIFS('01_異動主檔'!$F:$F,'01_異動主檔'!$B:$B,121,'01_異動主檔'!$D:$D,B324,'01_異動主檔'!$E:$E,"減列")</f>
        <v/>
      </c>
      <c r="I324" s="4">
        <f>-SUMIFS('01_異動主檔'!$F:$F,'01_異動主檔'!$B:$B,121,'01_異動主檔'!$D:$D,B324,'01_異動主檔'!$E:$E,"精簡")</f>
        <v/>
      </c>
      <c r="J324" s="10">
        <f>D324+E324+F324+G324+H324+I324</f>
        <v/>
      </c>
    </row>
    <row r="325" ht="18" customHeight="1">
      <c r="A325" s="4" t="inlineStr">
        <is>
          <t>B004</t>
        </is>
      </c>
      <c r="B325" s="3" t="inlineStr">
        <is>
          <t>第四組</t>
        </is>
      </c>
      <c r="C325" s="4" t="n">
        <v>122</v>
      </c>
      <c r="D325" s="10">
        <f>J324</f>
        <v/>
      </c>
      <c r="E325" s="4">
        <f>SUMIFS('01_異動主檔'!$F:$F,'01_異動主檔'!$B:$B,122,'01_異動主檔'!$D:$D,B325,'01_異動主檔'!$E:$E,"移入")</f>
        <v/>
      </c>
      <c r="F325" s="4">
        <f>-SUMIFS('01_異動主檔'!$F:$F,'01_異動主檔'!$B:$B,122,'01_異動主檔'!$D:$D,B325,'01_異動主檔'!$E:$E,"移出")</f>
        <v/>
      </c>
      <c r="G325" s="4">
        <f>SUMIFS('01_異動主檔'!$F:$F,'01_異動主檔'!$B:$B,122,'01_異動主檔'!$D:$D,B325,'01_異動主檔'!$E:$E,"新增")</f>
        <v/>
      </c>
      <c r="H325" s="4">
        <f>-SUMIFS('01_異動主檔'!$F:$F,'01_異動主檔'!$B:$B,122,'01_異動主檔'!$D:$D,B325,'01_異動主檔'!$E:$E,"減列")</f>
        <v/>
      </c>
      <c r="I325" s="4">
        <f>-SUMIFS('01_異動主檔'!$F:$F,'01_異動主檔'!$B:$B,122,'01_異動主檔'!$D:$D,B325,'01_異動主檔'!$E:$E,"精簡")</f>
        <v/>
      </c>
      <c r="J325" s="10">
        <f>D325+E325+F325+G325+H325+I325</f>
        <v/>
      </c>
    </row>
    <row r="326" ht="18" customHeight="1">
      <c r="A326" s="6" t="inlineStr">
        <is>
          <t>B004</t>
        </is>
      </c>
      <c r="B326" s="5" t="inlineStr">
        <is>
          <t>第四組</t>
        </is>
      </c>
      <c r="C326" s="6" t="n">
        <v>123</v>
      </c>
      <c r="D326" s="10">
        <f>J325</f>
        <v/>
      </c>
      <c r="E326" s="4">
        <f>SUMIFS('01_異動主檔'!$F:$F,'01_異動主檔'!$B:$B,123,'01_異動主檔'!$D:$D,B326,'01_異動主檔'!$E:$E,"移入")</f>
        <v/>
      </c>
      <c r="F326" s="4">
        <f>-SUMIFS('01_異動主檔'!$F:$F,'01_異動主檔'!$B:$B,123,'01_異動主檔'!$D:$D,B326,'01_異動主檔'!$E:$E,"移出")</f>
        <v/>
      </c>
      <c r="G326" s="4">
        <f>SUMIFS('01_異動主檔'!$F:$F,'01_異動主檔'!$B:$B,123,'01_異動主檔'!$D:$D,B326,'01_異動主檔'!$E:$E,"新增")</f>
        <v/>
      </c>
      <c r="H326" s="4">
        <f>-SUMIFS('01_異動主檔'!$F:$F,'01_異動主檔'!$B:$B,123,'01_異動主檔'!$D:$D,B326,'01_異動主檔'!$E:$E,"減列")</f>
        <v/>
      </c>
      <c r="I326" s="4">
        <f>-SUMIFS('01_異動主檔'!$F:$F,'01_異動主檔'!$B:$B,123,'01_異動主檔'!$D:$D,B326,'01_異動主檔'!$E:$E,"精簡")</f>
        <v/>
      </c>
      <c r="J326" s="10">
        <f>D326+E326+F326+G326+H326+I326</f>
        <v/>
      </c>
    </row>
    <row r="327" ht="18" customHeight="1">
      <c r="A327" s="4" t="inlineStr">
        <is>
          <t>B004</t>
        </is>
      </c>
      <c r="B327" s="3" t="inlineStr">
        <is>
          <t>第四組</t>
        </is>
      </c>
      <c r="C327" s="4" t="n">
        <v>124</v>
      </c>
      <c r="D327" s="10">
        <f>J326</f>
        <v/>
      </c>
      <c r="E327" s="4">
        <f>SUMIFS('01_異動主檔'!$F:$F,'01_異動主檔'!$B:$B,124,'01_異動主檔'!$D:$D,B327,'01_異動主檔'!$E:$E,"移入")</f>
        <v/>
      </c>
      <c r="F327" s="4">
        <f>-SUMIFS('01_異動主檔'!$F:$F,'01_異動主檔'!$B:$B,124,'01_異動主檔'!$D:$D,B327,'01_異動主檔'!$E:$E,"移出")</f>
        <v/>
      </c>
      <c r="G327" s="4">
        <f>SUMIFS('01_異動主檔'!$F:$F,'01_異動主檔'!$B:$B,124,'01_異動主檔'!$D:$D,B327,'01_異動主檔'!$E:$E,"新增")</f>
        <v/>
      </c>
      <c r="H327" s="4">
        <f>-SUMIFS('01_異動主檔'!$F:$F,'01_異動主檔'!$B:$B,124,'01_異動主檔'!$D:$D,B327,'01_異動主檔'!$E:$E,"減列")</f>
        <v/>
      </c>
      <c r="I327" s="4">
        <f>-SUMIFS('01_異動主檔'!$F:$F,'01_異動主檔'!$B:$B,124,'01_異動主檔'!$D:$D,B327,'01_異動主檔'!$E:$E,"精簡")</f>
        <v/>
      </c>
      <c r="J327" s="10">
        <f>D327+E327+F327+G327+H327+I327</f>
        <v/>
      </c>
    </row>
    <row r="328" ht="18" customHeight="1">
      <c r="A328" s="6" t="inlineStr">
        <is>
          <t>B004</t>
        </is>
      </c>
      <c r="B328" s="5" t="inlineStr">
        <is>
          <t>第四組</t>
        </is>
      </c>
      <c r="C328" s="6" t="n">
        <v>125</v>
      </c>
      <c r="D328" s="10">
        <f>J327</f>
        <v/>
      </c>
      <c r="E328" s="4">
        <f>SUMIFS('01_異動主檔'!$F:$F,'01_異動主檔'!$B:$B,125,'01_異動主檔'!$D:$D,B328,'01_異動主檔'!$E:$E,"移入")</f>
        <v/>
      </c>
      <c r="F328" s="4">
        <f>-SUMIFS('01_異動主檔'!$F:$F,'01_異動主檔'!$B:$B,125,'01_異動主檔'!$D:$D,B328,'01_異動主檔'!$E:$E,"移出")</f>
        <v/>
      </c>
      <c r="G328" s="4">
        <f>SUMIFS('01_異動主檔'!$F:$F,'01_異動主檔'!$B:$B,125,'01_異動主檔'!$D:$D,B328,'01_異動主檔'!$E:$E,"新增")</f>
        <v/>
      </c>
      <c r="H328" s="4">
        <f>-SUMIFS('01_異動主檔'!$F:$F,'01_異動主檔'!$B:$B,125,'01_異動主檔'!$D:$D,B328,'01_異動主檔'!$E:$E,"減列")</f>
        <v/>
      </c>
      <c r="I328" s="4">
        <f>-SUMIFS('01_異動主檔'!$F:$F,'01_異動主檔'!$B:$B,125,'01_異動主檔'!$D:$D,B328,'01_異動主檔'!$E:$E,"精簡")</f>
        <v/>
      </c>
      <c r="J328" s="10">
        <f>D328+E328+F328+G328+H328+I328</f>
        <v/>
      </c>
    </row>
    <row r="329" ht="18" customHeight="1">
      <c r="A329" s="4" t="inlineStr">
        <is>
          <t>B005</t>
        </is>
      </c>
      <c r="B329" s="3" t="inlineStr">
        <is>
          <t>第五組</t>
        </is>
      </c>
      <c r="C329" s="4" t="n">
        <v>99</v>
      </c>
      <c r="D329" s="10">
        <f>'02_年初員額設定'!C17</f>
        <v/>
      </c>
      <c r="E329" s="4">
        <f>SUMIFS('01_異動主檔'!$F:$F,'01_異動主檔'!$B:$B,99,'01_異動主檔'!$D:$D,B329,'01_異動主檔'!$E:$E,"移入")</f>
        <v/>
      </c>
      <c r="F329" s="4">
        <f>-SUMIFS('01_異動主檔'!$F:$F,'01_異動主檔'!$B:$B,99,'01_異動主檔'!$D:$D,B329,'01_異動主檔'!$E:$E,"移出")</f>
        <v/>
      </c>
      <c r="G329" s="4">
        <f>SUMIFS('01_異動主檔'!$F:$F,'01_異動主檔'!$B:$B,99,'01_異動主檔'!$D:$D,B329,'01_異動主檔'!$E:$E,"新增")</f>
        <v/>
      </c>
      <c r="H329" s="4">
        <f>-SUMIFS('01_異動主檔'!$F:$F,'01_異動主檔'!$B:$B,99,'01_異動主檔'!$D:$D,B329,'01_異動主檔'!$E:$E,"減列")</f>
        <v/>
      </c>
      <c r="I329" s="4">
        <f>-SUMIFS('01_異動主檔'!$F:$F,'01_異動主檔'!$B:$B,99,'01_異動主檔'!$D:$D,B329,'01_異動主檔'!$E:$E,"精簡")</f>
        <v/>
      </c>
      <c r="J329" s="10">
        <f>D329+E329+F329+G329+H329+I329</f>
        <v/>
      </c>
    </row>
    <row r="330" ht="18" customHeight="1">
      <c r="A330" s="6" t="inlineStr">
        <is>
          <t>B005</t>
        </is>
      </c>
      <c r="B330" s="5" t="inlineStr">
        <is>
          <t>第五組</t>
        </is>
      </c>
      <c r="C330" s="6" t="n">
        <v>100</v>
      </c>
      <c r="D330" s="10">
        <f>J329</f>
        <v/>
      </c>
      <c r="E330" s="4">
        <f>SUMIFS('01_異動主檔'!$F:$F,'01_異動主檔'!$B:$B,100,'01_異動主檔'!$D:$D,B330,'01_異動主檔'!$E:$E,"移入")</f>
        <v/>
      </c>
      <c r="F330" s="4">
        <f>-SUMIFS('01_異動主檔'!$F:$F,'01_異動主檔'!$B:$B,100,'01_異動主檔'!$D:$D,B330,'01_異動主檔'!$E:$E,"移出")</f>
        <v/>
      </c>
      <c r="G330" s="4">
        <f>SUMIFS('01_異動主檔'!$F:$F,'01_異動主檔'!$B:$B,100,'01_異動主檔'!$D:$D,B330,'01_異動主檔'!$E:$E,"新增")</f>
        <v/>
      </c>
      <c r="H330" s="4">
        <f>-SUMIFS('01_異動主檔'!$F:$F,'01_異動主檔'!$B:$B,100,'01_異動主檔'!$D:$D,B330,'01_異動主檔'!$E:$E,"減列")</f>
        <v/>
      </c>
      <c r="I330" s="4">
        <f>-SUMIFS('01_異動主檔'!$F:$F,'01_異動主檔'!$B:$B,100,'01_異動主檔'!$D:$D,B330,'01_異動主檔'!$E:$E,"精簡")</f>
        <v/>
      </c>
      <c r="J330" s="10">
        <f>D330+E330+F330+G330+H330+I330</f>
        <v/>
      </c>
    </row>
    <row r="331" ht="18" customHeight="1">
      <c r="A331" s="4" t="inlineStr">
        <is>
          <t>B005</t>
        </is>
      </c>
      <c r="B331" s="3" t="inlineStr">
        <is>
          <t>第五組</t>
        </is>
      </c>
      <c r="C331" s="4" t="n">
        <v>101</v>
      </c>
      <c r="D331" s="10">
        <f>J330</f>
        <v/>
      </c>
      <c r="E331" s="4">
        <f>SUMIFS('01_異動主檔'!$F:$F,'01_異動主檔'!$B:$B,101,'01_異動主檔'!$D:$D,B331,'01_異動主檔'!$E:$E,"移入")</f>
        <v/>
      </c>
      <c r="F331" s="4">
        <f>-SUMIFS('01_異動主檔'!$F:$F,'01_異動主檔'!$B:$B,101,'01_異動主檔'!$D:$D,B331,'01_異動主檔'!$E:$E,"移出")</f>
        <v/>
      </c>
      <c r="G331" s="4">
        <f>SUMIFS('01_異動主檔'!$F:$F,'01_異動主檔'!$B:$B,101,'01_異動主檔'!$D:$D,B331,'01_異動主檔'!$E:$E,"新增")</f>
        <v/>
      </c>
      <c r="H331" s="4">
        <f>-SUMIFS('01_異動主檔'!$F:$F,'01_異動主檔'!$B:$B,101,'01_異動主檔'!$D:$D,B331,'01_異動主檔'!$E:$E,"減列")</f>
        <v/>
      </c>
      <c r="I331" s="4">
        <f>-SUMIFS('01_異動主檔'!$F:$F,'01_異動主檔'!$B:$B,101,'01_異動主檔'!$D:$D,B331,'01_異動主檔'!$E:$E,"精簡")</f>
        <v/>
      </c>
      <c r="J331" s="10">
        <f>D331+E331+F331+G331+H331+I331</f>
        <v/>
      </c>
    </row>
    <row r="332" ht="18" customHeight="1">
      <c r="A332" s="6" t="inlineStr">
        <is>
          <t>B005</t>
        </is>
      </c>
      <c r="B332" s="5" t="inlineStr">
        <is>
          <t>第五組</t>
        </is>
      </c>
      <c r="C332" s="6" t="n">
        <v>102</v>
      </c>
      <c r="D332" s="10">
        <f>J331</f>
        <v/>
      </c>
      <c r="E332" s="4">
        <f>SUMIFS('01_異動主檔'!$F:$F,'01_異動主檔'!$B:$B,102,'01_異動主檔'!$D:$D,B332,'01_異動主檔'!$E:$E,"移入")</f>
        <v/>
      </c>
      <c r="F332" s="4">
        <f>-SUMIFS('01_異動主檔'!$F:$F,'01_異動主檔'!$B:$B,102,'01_異動主檔'!$D:$D,B332,'01_異動主檔'!$E:$E,"移出")</f>
        <v/>
      </c>
      <c r="G332" s="4">
        <f>SUMIFS('01_異動主檔'!$F:$F,'01_異動主檔'!$B:$B,102,'01_異動主檔'!$D:$D,B332,'01_異動主檔'!$E:$E,"新增")</f>
        <v/>
      </c>
      <c r="H332" s="4">
        <f>-SUMIFS('01_異動主檔'!$F:$F,'01_異動主檔'!$B:$B,102,'01_異動主檔'!$D:$D,B332,'01_異動主檔'!$E:$E,"減列")</f>
        <v/>
      </c>
      <c r="I332" s="4">
        <f>-SUMIFS('01_異動主檔'!$F:$F,'01_異動主檔'!$B:$B,102,'01_異動主檔'!$D:$D,B332,'01_異動主檔'!$E:$E,"精簡")</f>
        <v/>
      </c>
      <c r="J332" s="10">
        <f>D332+E332+F332+G332+H332+I332</f>
        <v/>
      </c>
    </row>
    <row r="333" ht="18" customHeight="1">
      <c r="A333" s="4" t="inlineStr">
        <is>
          <t>B005</t>
        </is>
      </c>
      <c r="B333" s="3" t="inlineStr">
        <is>
          <t>第五組</t>
        </is>
      </c>
      <c r="C333" s="4" t="n">
        <v>103</v>
      </c>
      <c r="D333" s="10">
        <f>J332</f>
        <v/>
      </c>
      <c r="E333" s="4">
        <f>SUMIFS('01_異動主檔'!$F:$F,'01_異動主檔'!$B:$B,103,'01_異動主檔'!$D:$D,B333,'01_異動主檔'!$E:$E,"移入")</f>
        <v/>
      </c>
      <c r="F333" s="4">
        <f>-SUMIFS('01_異動主檔'!$F:$F,'01_異動主檔'!$B:$B,103,'01_異動主檔'!$D:$D,B333,'01_異動主檔'!$E:$E,"移出")</f>
        <v/>
      </c>
      <c r="G333" s="4">
        <f>SUMIFS('01_異動主檔'!$F:$F,'01_異動主檔'!$B:$B,103,'01_異動主檔'!$D:$D,B333,'01_異動主檔'!$E:$E,"新增")</f>
        <v/>
      </c>
      <c r="H333" s="4">
        <f>-SUMIFS('01_異動主檔'!$F:$F,'01_異動主檔'!$B:$B,103,'01_異動主檔'!$D:$D,B333,'01_異動主檔'!$E:$E,"減列")</f>
        <v/>
      </c>
      <c r="I333" s="4">
        <f>-SUMIFS('01_異動主檔'!$F:$F,'01_異動主檔'!$B:$B,103,'01_異動主檔'!$D:$D,B333,'01_異動主檔'!$E:$E,"精簡")</f>
        <v/>
      </c>
      <c r="J333" s="10">
        <f>D333+E333+F333+G333+H333+I333</f>
        <v/>
      </c>
    </row>
    <row r="334" ht="18" customHeight="1">
      <c r="A334" s="6" t="inlineStr">
        <is>
          <t>B005</t>
        </is>
      </c>
      <c r="B334" s="5" t="inlineStr">
        <is>
          <t>第五組</t>
        </is>
      </c>
      <c r="C334" s="6" t="n">
        <v>104</v>
      </c>
      <c r="D334" s="10">
        <f>J333</f>
        <v/>
      </c>
      <c r="E334" s="4">
        <f>SUMIFS('01_異動主檔'!$F:$F,'01_異動主檔'!$B:$B,104,'01_異動主檔'!$D:$D,B334,'01_異動主檔'!$E:$E,"移入")</f>
        <v/>
      </c>
      <c r="F334" s="4">
        <f>-SUMIFS('01_異動主檔'!$F:$F,'01_異動主檔'!$B:$B,104,'01_異動主檔'!$D:$D,B334,'01_異動主檔'!$E:$E,"移出")</f>
        <v/>
      </c>
      <c r="G334" s="4">
        <f>SUMIFS('01_異動主檔'!$F:$F,'01_異動主檔'!$B:$B,104,'01_異動主檔'!$D:$D,B334,'01_異動主檔'!$E:$E,"新增")</f>
        <v/>
      </c>
      <c r="H334" s="4">
        <f>-SUMIFS('01_異動主檔'!$F:$F,'01_異動主檔'!$B:$B,104,'01_異動主檔'!$D:$D,B334,'01_異動主檔'!$E:$E,"減列")</f>
        <v/>
      </c>
      <c r="I334" s="4">
        <f>-SUMIFS('01_異動主檔'!$F:$F,'01_異動主檔'!$B:$B,104,'01_異動主檔'!$D:$D,B334,'01_異動主檔'!$E:$E,"精簡")</f>
        <v/>
      </c>
      <c r="J334" s="10">
        <f>D334+E334+F334+G334+H334+I334</f>
        <v/>
      </c>
    </row>
    <row r="335" ht="18" customHeight="1">
      <c r="A335" s="4" t="inlineStr">
        <is>
          <t>B005</t>
        </is>
      </c>
      <c r="B335" s="3" t="inlineStr">
        <is>
          <t>第五組</t>
        </is>
      </c>
      <c r="C335" s="4" t="n">
        <v>105</v>
      </c>
      <c r="D335" s="10">
        <f>J334</f>
        <v/>
      </c>
      <c r="E335" s="4">
        <f>SUMIFS('01_異動主檔'!$F:$F,'01_異動主檔'!$B:$B,105,'01_異動主檔'!$D:$D,B335,'01_異動主檔'!$E:$E,"移入")</f>
        <v/>
      </c>
      <c r="F335" s="4">
        <f>-SUMIFS('01_異動主檔'!$F:$F,'01_異動主檔'!$B:$B,105,'01_異動主檔'!$D:$D,B335,'01_異動主檔'!$E:$E,"移出")</f>
        <v/>
      </c>
      <c r="G335" s="4">
        <f>SUMIFS('01_異動主檔'!$F:$F,'01_異動主檔'!$B:$B,105,'01_異動主檔'!$D:$D,B335,'01_異動主檔'!$E:$E,"新增")</f>
        <v/>
      </c>
      <c r="H335" s="4">
        <f>-SUMIFS('01_異動主檔'!$F:$F,'01_異動主檔'!$B:$B,105,'01_異動主檔'!$D:$D,B335,'01_異動主檔'!$E:$E,"減列")</f>
        <v/>
      </c>
      <c r="I335" s="4">
        <f>-SUMIFS('01_異動主檔'!$F:$F,'01_異動主檔'!$B:$B,105,'01_異動主檔'!$D:$D,B335,'01_異動主檔'!$E:$E,"精簡")</f>
        <v/>
      </c>
      <c r="J335" s="10">
        <f>D335+E335+F335+G335+H335+I335</f>
        <v/>
      </c>
    </row>
    <row r="336" ht="18" customHeight="1">
      <c r="A336" s="6" t="inlineStr">
        <is>
          <t>B005</t>
        </is>
      </c>
      <c r="B336" s="5" t="inlineStr">
        <is>
          <t>第五組</t>
        </is>
      </c>
      <c r="C336" s="6" t="n">
        <v>106</v>
      </c>
      <c r="D336" s="10">
        <f>J335</f>
        <v/>
      </c>
      <c r="E336" s="4">
        <f>SUMIFS('01_異動主檔'!$F:$F,'01_異動主檔'!$B:$B,106,'01_異動主檔'!$D:$D,B336,'01_異動主檔'!$E:$E,"移入")</f>
        <v/>
      </c>
      <c r="F336" s="4">
        <f>-SUMIFS('01_異動主檔'!$F:$F,'01_異動主檔'!$B:$B,106,'01_異動主檔'!$D:$D,B336,'01_異動主檔'!$E:$E,"移出")</f>
        <v/>
      </c>
      <c r="G336" s="4">
        <f>SUMIFS('01_異動主檔'!$F:$F,'01_異動主檔'!$B:$B,106,'01_異動主檔'!$D:$D,B336,'01_異動主檔'!$E:$E,"新增")</f>
        <v/>
      </c>
      <c r="H336" s="4">
        <f>-SUMIFS('01_異動主檔'!$F:$F,'01_異動主檔'!$B:$B,106,'01_異動主檔'!$D:$D,B336,'01_異動主檔'!$E:$E,"減列")</f>
        <v/>
      </c>
      <c r="I336" s="4">
        <f>-SUMIFS('01_異動主檔'!$F:$F,'01_異動主檔'!$B:$B,106,'01_異動主檔'!$D:$D,B336,'01_異動主檔'!$E:$E,"精簡")</f>
        <v/>
      </c>
      <c r="J336" s="10">
        <f>D336+E336+F336+G336+H336+I336</f>
        <v/>
      </c>
    </row>
    <row r="337" ht="18" customHeight="1">
      <c r="A337" s="4" t="inlineStr">
        <is>
          <t>B005</t>
        </is>
      </c>
      <c r="B337" s="3" t="inlineStr">
        <is>
          <t>第五組</t>
        </is>
      </c>
      <c r="C337" s="4" t="n">
        <v>107</v>
      </c>
      <c r="D337" s="10">
        <f>J336</f>
        <v/>
      </c>
      <c r="E337" s="4">
        <f>SUMIFS('01_異動主檔'!$F:$F,'01_異動主檔'!$B:$B,107,'01_異動主檔'!$D:$D,B337,'01_異動主檔'!$E:$E,"移入")</f>
        <v/>
      </c>
      <c r="F337" s="4">
        <f>-SUMIFS('01_異動主檔'!$F:$F,'01_異動主檔'!$B:$B,107,'01_異動主檔'!$D:$D,B337,'01_異動主檔'!$E:$E,"移出")</f>
        <v/>
      </c>
      <c r="G337" s="4">
        <f>SUMIFS('01_異動主檔'!$F:$F,'01_異動主檔'!$B:$B,107,'01_異動主檔'!$D:$D,B337,'01_異動主檔'!$E:$E,"新增")</f>
        <v/>
      </c>
      <c r="H337" s="4">
        <f>-SUMIFS('01_異動主檔'!$F:$F,'01_異動主檔'!$B:$B,107,'01_異動主檔'!$D:$D,B337,'01_異動主檔'!$E:$E,"減列")</f>
        <v/>
      </c>
      <c r="I337" s="4">
        <f>-SUMIFS('01_異動主檔'!$F:$F,'01_異動主檔'!$B:$B,107,'01_異動主檔'!$D:$D,B337,'01_異動主檔'!$E:$E,"精簡")</f>
        <v/>
      </c>
      <c r="J337" s="10">
        <f>D337+E337+F337+G337+H337+I337</f>
        <v/>
      </c>
    </row>
    <row r="338" ht="18" customHeight="1">
      <c r="A338" s="6" t="inlineStr">
        <is>
          <t>B005</t>
        </is>
      </c>
      <c r="B338" s="5" t="inlineStr">
        <is>
          <t>第五組</t>
        </is>
      </c>
      <c r="C338" s="6" t="n">
        <v>108</v>
      </c>
      <c r="D338" s="10">
        <f>J337</f>
        <v/>
      </c>
      <c r="E338" s="4">
        <f>SUMIFS('01_異動主檔'!$F:$F,'01_異動主檔'!$B:$B,108,'01_異動主檔'!$D:$D,B338,'01_異動主檔'!$E:$E,"移入")</f>
        <v/>
      </c>
      <c r="F338" s="4">
        <f>-SUMIFS('01_異動主檔'!$F:$F,'01_異動主檔'!$B:$B,108,'01_異動主檔'!$D:$D,B338,'01_異動主檔'!$E:$E,"移出")</f>
        <v/>
      </c>
      <c r="G338" s="4">
        <f>SUMIFS('01_異動主檔'!$F:$F,'01_異動主檔'!$B:$B,108,'01_異動主檔'!$D:$D,B338,'01_異動主檔'!$E:$E,"新增")</f>
        <v/>
      </c>
      <c r="H338" s="4">
        <f>-SUMIFS('01_異動主檔'!$F:$F,'01_異動主檔'!$B:$B,108,'01_異動主檔'!$D:$D,B338,'01_異動主檔'!$E:$E,"減列")</f>
        <v/>
      </c>
      <c r="I338" s="4">
        <f>-SUMIFS('01_異動主檔'!$F:$F,'01_異動主檔'!$B:$B,108,'01_異動主檔'!$D:$D,B338,'01_異動主檔'!$E:$E,"精簡")</f>
        <v/>
      </c>
      <c r="J338" s="10">
        <f>D338+E338+F338+G338+H338+I338</f>
        <v/>
      </c>
    </row>
    <row r="339" ht="18" customHeight="1">
      <c r="A339" s="4" t="inlineStr">
        <is>
          <t>B005</t>
        </is>
      </c>
      <c r="B339" s="3" t="inlineStr">
        <is>
          <t>第五組</t>
        </is>
      </c>
      <c r="C339" s="4" t="n">
        <v>109</v>
      </c>
      <c r="D339" s="10">
        <f>J338</f>
        <v/>
      </c>
      <c r="E339" s="4">
        <f>SUMIFS('01_異動主檔'!$F:$F,'01_異動主檔'!$B:$B,109,'01_異動主檔'!$D:$D,B339,'01_異動主檔'!$E:$E,"移入")</f>
        <v/>
      </c>
      <c r="F339" s="4">
        <f>-SUMIFS('01_異動主檔'!$F:$F,'01_異動主檔'!$B:$B,109,'01_異動主檔'!$D:$D,B339,'01_異動主檔'!$E:$E,"移出")</f>
        <v/>
      </c>
      <c r="G339" s="4">
        <f>SUMIFS('01_異動主檔'!$F:$F,'01_異動主檔'!$B:$B,109,'01_異動主檔'!$D:$D,B339,'01_異動主檔'!$E:$E,"新增")</f>
        <v/>
      </c>
      <c r="H339" s="4">
        <f>-SUMIFS('01_異動主檔'!$F:$F,'01_異動主檔'!$B:$B,109,'01_異動主檔'!$D:$D,B339,'01_異動主檔'!$E:$E,"減列")</f>
        <v/>
      </c>
      <c r="I339" s="4">
        <f>-SUMIFS('01_異動主檔'!$F:$F,'01_異動主檔'!$B:$B,109,'01_異動主檔'!$D:$D,B339,'01_異動主檔'!$E:$E,"精簡")</f>
        <v/>
      </c>
      <c r="J339" s="10">
        <f>D339+E339+F339+G339+H339+I339</f>
        <v/>
      </c>
    </row>
    <row r="340" ht="18" customHeight="1">
      <c r="A340" s="6" t="inlineStr">
        <is>
          <t>B005</t>
        </is>
      </c>
      <c r="B340" s="5" t="inlineStr">
        <is>
          <t>第五組</t>
        </is>
      </c>
      <c r="C340" s="6" t="n">
        <v>110</v>
      </c>
      <c r="D340" s="10">
        <f>J339</f>
        <v/>
      </c>
      <c r="E340" s="4">
        <f>SUMIFS('01_異動主檔'!$F:$F,'01_異動主檔'!$B:$B,110,'01_異動主檔'!$D:$D,B340,'01_異動主檔'!$E:$E,"移入")</f>
        <v/>
      </c>
      <c r="F340" s="4">
        <f>-SUMIFS('01_異動主檔'!$F:$F,'01_異動主檔'!$B:$B,110,'01_異動主檔'!$D:$D,B340,'01_異動主檔'!$E:$E,"移出")</f>
        <v/>
      </c>
      <c r="G340" s="4">
        <f>SUMIFS('01_異動主檔'!$F:$F,'01_異動主檔'!$B:$B,110,'01_異動主檔'!$D:$D,B340,'01_異動主檔'!$E:$E,"新增")</f>
        <v/>
      </c>
      <c r="H340" s="4">
        <f>-SUMIFS('01_異動主檔'!$F:$F,'01_異動主檔'!$B:$B,110,'01_異動主檔'!$D:$D,B340,'01_異動主檔'!$E:$E,"減列")</f>
        <v/>
      </c>
      <c r="I340" s="4">
        <f>-SUMIFS('01_異動主檔'!$F:$F,'01_異動主檔'!$B:$B,110,'01_異動主檔'!$D:$D,B340,'01_異動主檔'!$E:$E,"精簡")</f>
        <v/>
      </c>
      <c r="J340" s="10">
        <f>D340+E340+F340+G340+H340+I340</f>
        <v/>
      </c>
    </row>
    <row r="341" ht="18" customHeight="1">
      <c r="A341" s="4" t="inlineStr">
        <is>
          <t>B005</t>
        </is>
      </c>
      <c r="B341" s="3" t="inlineStr">
        <is>
          <t>第五組</t>
        </is>
      </c>
      <c r="C341" s="4" t="n">
        <v>111</v>
      </c>
      <c r="D341" s="10">
        <f>J340</f>
        <v/>
      </c>
      <c r="E341" s="4">
        <f>SUMIFS('01_異動主檔'!$F:$F,'01_異動主檔'!$B:$B,111,'01_異動主檔'!$D:$D,B341,'01_異動主檔'!$E:$E,"移入")</f>
        <v/>
      </c>
      <c r="F341" s="4">
        <f>-SUMIFS('01_異動主檔'!$F:$F,'01_異動主檔'!$B:$B,111,'01_異動主檔'!$D:$D,B341,'01_異動主檔'!$E:$E,"移出")</f>
        <v/>
      </c>
      <c r="G341" s="4">
        <f>SUMIFS('01_異動主檔'!$F:$F,'01_異動主檔'!$B:$B,111,'01_異動主檔'!$D:$D,B341,'01_異動主檔'!$E:$E,"新增")</f>
        <v/>
      </c>
      <c r="H341" s="4">
        <f>-SUMIFS('01_異動主檔'!$F:$F,'01_異動主檔'!$B:$B,111,'01_異動主檔'!$D:$D,B341,'01_異動主檔'!$E:$E,"減列")</f>
        <v/>
      </c>
      <c r="I341" s="4">
        <f>-SUMIFS('01_異動主檔'!$F:$F,'01_異動主檔'!$B:$B,111,'01_異動主檔'!$D:$D,B341,'01_異動主檔'!$E:$E,"精簡")</f>
        <v/>
      </c>
      <c r="J341" s="10">
        <f>D341+E341+F341+G341+H341+I341</f>
        <v/>
      </c>
    </row>
    <row r="342" ht="18" customHeight="1">
      <c r="A342" s="6" t="inlineStr">
        <is>
          <t>B005</t>
        </is>
      </c>
      <c r="B342" s="5" t="inlineStr">
        <is>
          <t>第五組</t>
        </is>
      </c>
      <c r="C342" s="6" t="n">
        <v>112</v>
      </c>
      <c r="D342" s="10">
        <f>J341</f>
        <v/>
      </c>
      <c r="E342" s="4">
        <f>SUMIFS('01_異動主檔'!$F:$F,'01_異動主檔'!$B:$B,112,'01_異動主檔'!$D:$D,B342,'01_異動主檔'!$E:$E,"移入")</f>
        <v/>
      </c>
      <c r="F342" s="4">
        <f>-SUMIFS('01_異動主檔'!$F:$F,'01_異動主檔'!$B:$B,112,'01_異動主檔'!$D:$D,B342,'01_異動主檔'!$E:$E,"移出")</f>
        <v/>
      </c>
      <c r="G342" s="4">
        <f>SUMIFS('01_異動主檔'!$F:$F,'01_異動主檔'!$B:$B,112,'01_異動主檔'!$D:$D,B342,'01_異動主檔'!$E:$E,"新增")</f>
        <v/>
      </c>
      <c r="H342" s="4">
        <f>-SUMIFS('01_異動主檔'!$F:$F,'01_異動主檔'!$B:$B,112,'01_異動主檔'!$D:$D,B342,'01_異動主檔'!$E:$E,"減列")</f>
        <v/>
      </c>
      <c r="I342" s="4">
        <f>-SUMIFS('01_異動主檔'!$F:$F,'01_異動主檔'!$B:$B,112,'01_異動主檔'!$D:$D,B342,'01_異動主檔'!$E:$E,"精簡")</f>
        <v/>
      </c>
      <c r="J342" s="10">
        <f>D342+E342+F342+G342+H342+I342</f>
        <v/>
      </c>
    </row>
    <row r="343" ht="18" customHeight="1">
      <c r="A343" s="4" t="inlineStr">
        <is>
          <t>B005</t>
        </is>
      </c>
      <c r="B343" s="3" t="inlineStr">
        <is>
          <t>第五組</t>
        </is>
      </c>
      <c r="C343" s="4" t="n">
        <v>113</v>
      </c>
      <c r="D343" s="10">
        <f>J342</f>
        <v/>
      </c>
      <c r="E343" s="4">
        <f>SUMIFS('01_異動主檔'!$F:$F,'01_異動主檔'!$B:$B,113,'01_異動主檔'!$D:$D,B343,'01_異動主檔'!$E:$E,"移入")</f>
        <v/>
      </c>
      <c r="F343" s="4">
        <f>-SUMIFS('01_異動主檔'!$F:$F,'01_異動主檔'!$B:$B,113,'01_異動主檔'!$D:$D,B343,'01_異動主檔'!$E:$E,"移出")</f>
        <v/>
      </c>
      <c r="G343" s="4">
        <f>SUMIFS('01_異動主檔'!$F:$F,'01_異動主檔'!$B:$B,113,'01_異動主檔'!$D:$D,B343,'01_異動主檔'!$E:$E,"新增")</f>
        <v/>
      </c>
      <c r="H343" s="4">
        <f>-SUMIFS('01_異動主檔'!$F:$F,'01_異動主檔'!$B:$B,113,'01_異動主檔'!$D:$D,B343,'01_異動主檔'!$E:$E,"減列")</f>
        <v/>
      </c>
      <c r="I343" s="4">
        <f>-SUMIFS('01_異動主檔'!$F:$F,'01_異動主檔'!$B:$B,113,'01_異動主檔'!$D:$D,B343,'01_異動主檔'!$E:$E,"精簡")</f>
        <v/>
      </c>
      <c r="J343" s="10">
        <f>D343+E343+F343+G343+H343+I343</f>
        <v/>
      </c>
    </row>
    <row r="344" ht="18" customHeight="1">
      <c r="A344" s="6" t="inlineStr">
        <is>
          <t>B005</t>
        </is>
      </c>
      <c r="B344" s="5" t="inlineStr">
        <is>
          <t>第五組</t>
        </is>
      </c>
      <c r="C344" s="6" t="n">
        <v>114</v>
      </c>
      <c r="D344" s="10">
        <f>J343</f>
        <v/>
      </c>
      <c r="E344" s="4">
        <f>SUMIFS('01_異動主檔'!$F:$F,'01_異動主檔'!$B:$B,114,'01_異動主檔'!$D:$D,B344,'01_異動主檔'!$E:$E,"移入")</f>
        <v/>
      </c>
      <c r="F344" s="4">
        <f>-SUMIFS('01_異動主檔'!$F:$F,'01_異動主檔'!$B:$B,114,'01_異動主檔'!$D:$D,B344,'01_異動主檔'!$E:$E,"移出")</f>
        <v/>
      </c>
      <c r="G344" s="4">
        <f>SUMIFS('01_異動主檔'!$F:$F,'01_異動主檔'!$B:$B,114,'01_異動主檔'!$D:$D,B344,'01_異動主檔'!$E:$E,"新增")</f>
        <v/>
      </c>
      <c r="H344" s="4">
        <f>-SUMIFS('01_異動主檔'!$F:$F,'01_異動主檔'!$B:$B,114,'01_異動主檔'!$D:$D,B344,'01_異動主檔'!$E:$E,"減列")</f>
        <v/>
      </c>
      <c r="I344" s="4">
        <f>-SUMIFS('01_異動主檔'!$F:$F,'01_異動主檔'!$B:$B,114,'01_異動主檔'!$D:$D,B344,'01_異動主檔'!$E:$E,"精簡")</f>
        <v/>
      </c>
      <c r="J344" s="10">
        <f>D344+E344+F344+G344+H344+I344</f>
        <v/>
      </c>
    </row>
    <row r="345" ht="18" customHeight="1">
      <c r="A345" s="4" t="inlineStr">
        <is>
          <t>B005</t>
        </is>
      </c>
      <c r="B345" s="3" t="inlineStr">
        <is>
          <t>第五組</t>
        </is>
      </c>
      <c r="C345" s="4" t="n">
        <v>115</v>
      </c>
      <c r="D345" s="10">
        <f>J344</f>
        <v/>
      </c>
      <c r="E345" s="4">
        <f>SUMIFS('01_異動主檔'!$F:$F,'01_異動主檔'!$B:$B,115,'01_異動主檔'!$D:$D,B345,'01_異動主檔'!$E:$E,"移入")</f>
        <v/>
      </c>
      <c r="F345" s="4">
        <f>-SUMIFS('01_異動主檔'!$F:$F,'01_異動主檔'!$B:$B,115,'01_異動主檔'!$D:$D,B345,'01_異動主檔'!$E:$E,"移出")</f>
        <v/>
      </c>
      <c r="G345" s="4">
        <f>SUMIFS('01_異動主檔'!$F:$F,'01_異動主檔'!$B:$B,115,'01_異動主檔'!$D:$D,B345,'01_異動主檔'!$E:$E,"新增")</f>
        <v/>
      </c>
      <c r="H345" s="4">
        <f>-SUMIFS('01_異動主檔'!$F:$F,'01_異動主檔'!$B:$B,115,'01_異動主檔'!$D:$D,B345,'01_異動主檔'!$E:$E,"減列")</f>
        <v/>
      </c>
      <c r="I345" s="4">
        <f>-SUMIFS('01_異動主檔'!$F:$F,'01_異動主檔'!$B:$B,115,'01_異動主檔'!$D:$D,B345,'01_異動主檔'!$E:$E,"精簡")</f>
        <v/>
      </c>
      <c r="J345" s="10">
        <f>D345+E345+F345+G345+H345+I345</f>
        <v/>
      </c>
    </row>
    <row r="346" ht="18" customHeight="1">
      <c r="A346" s="6" t="inlineStr">
        <is>
          <t>B005</t>
        </is>
      </c>
      <c r="B346" s="5" t="inlineStr">
        <is>
          <t>第五組</t>
        </is>
      </c>
      <c r="C346" s="6" t="n">
        <v>116</v>
      </c>
      <c r="D346" s="10">
        <f>J345</f>
        <v/>
      </c>
      <c r="E346" s="4">
        <f>SUMIFS('01_異動主檔'!$F:$F,'01_異動主檔'!$B:$B,116,'01_異動主檔'!$D:$D,B346,'01_異動主檔'!$E:$E,"移入")</f>
        <v/>
      </c>
      <c r="F346" s="4">
        <f>-SUMIFS('01_異動主檔'!$F:$F,'01_異動主檔'!$B:$B,116,'01_異動主檔'!$D:$D,B346,'01_異動主檔'!$E:$E,"移出")</f>
        <v/>
      </c>
      <c r="G346" s="4">
        <f>SUMIFS('01_異動主檔'!$F:$F,'01_異動主檔'!$B:$B,116,'01_異動主檔'!$D:$D,B346,'01_異動主檔'!$E:$E,"新增")</f>
        <v/>
      </c>
      <c r="H346" s="4">
        <f>-SUMIFS('01_異動主檔'!$F:$F,'01_異動主檔'!$B:$B,116,'01_異動主檔'!$D:$D,B346,'01_異動主檔'!$E:$E,"減列")</f>
        <v/>
      </c>
      <c r="I346" s="4">
        <f>-SUMIFS('01_異動主檔'!$F:$F,'01_異動主檔'!$B:$B,116,'01_異動主檔'!$D:$D,B346,'01_異動主檔'!$E:$E,"精簡")</f>
        <v/>
      </c>
      <c r="J346" s="10">
        <f>D346+E346+F346+G346+H346+I346</f>
        <v/>
      </c>
    </row>
    <row r="347" ht="18" customHeight="1">
      <c r="A347" s="4" t="inlineStr">
        <is>
          <t>B005</t>
        </is>
      </c>
      <c r="B347" s="3" t="inlineStr">
        <is>
          <t>第五組</t>
        </is>
      </c>
      <c r="C347" s="4" t="n">
        <v>117</v>
      </c>
      <c r="D347" s="10">
        <f>J346</f>
        <v/>
      </c>
      <c r="E347" s="4">
        <f>SUMIFS('01_異動主檔'!$F:$F,'01_異動主檔'!$B:$B,117,'01_異動主檔'!$D:$D,B347,'01_異動主檔'!$E:$E,"移入")</f>
        <v/>
      </c>
      <c r="F347" s="4">
        <f>-SUMIFS('01_異動主檔'!$F:$F,'01_異動主檔'!$B:$B,117,'01_異動主檔'!$D:$D,B347,'01_異動主檔'!$E:$E,"移出")</f>
        <v/>
      </c>
      <c r="G347" s="4">
        <f>SUMIFS('01_異動主檔'!$F:$F,'01_異動主檔'!$B:$B,117,'01_異動主檔'!$D:$D,B347,'01_異動主檔'!$E:$E,"新增")</f>
        <v/>
      </c>
      <c r="H347" s="4">
        <f>-SUMIFS('01_異動主檔'!$F:$F,'01_異動主檔'!$B:$B,117,'01_異動主檔'!$D:$D,B347,'01_異動主檔'!$E:$E,"減列")</f>
        <v/>
      </c>
      <c r="I347" s="4">
        <f>-SUMIFS('01_異動主檔'!$F:$F,'01_異動主檔'!$B:$B,117,'01_異動主檔'!$D:$D,B347,'01_異動主檔'!$E:$E,"精簡")</f>
        <v/>
      </c>
      <c r="J347" s="10">
        <f>D347+E347+F347+G347+H347+I347</f>
        <v/>
      </c>
    </row>
    <row r="348" ht="18" customHeight="1">
      <c r="A348" s="6" t="inlineStr">
        <is>
          <t>B005</t>
        </is>
      </c>
      <c r="B348" s="5" t="inlineStr">
        <is>
          <t>第五組</t>
        </is>
      </c>
      <c r="C348" s="6" t="n">
        <v>118</v>
      </c>
      <c r="D348" s="10">
        <f>J347</f>
        <v/>
      </c>
      <c r="E348" s="4">
        <f>SUMIFS('01_異動主檔'!$F:$F,'01_異動主檔'!$B:$B,118,'01_異動主檔'!$D:$D,B348,'01_異動主檔'!$E:$E,"移入")</f>
        <v/>
      </c>
      <c r="F348" s="4">
        <f>-SUMIFS('01_異動主檔'!$F:$F,'01_異動主檔'!$B:$B,118,'01_異動主檔'!$D:$D,B348,'01_異動主檔'!$E:$E,"移出")</f>
        <v/>
      </c>
      <c r="G348" s="4">
        <f>SUMIFS('01_異動主檔'!$F:$F,'01_異動主檔'!$B:$B,118,'01_異動主檔'!$D:$D,B348,'01_異動主檔'!$E:$E,"新增")</f>
        <v/>
      </c>
      <c r="H348" s="4">
        <f>-SUMIFS('01_異動主檔'!$F:$F,'01_異動主檔'!$B:$B,118,'01_異動主檔'!$D:$D,B348,'01_異動主檔'!$E:$E,"減列")</f>
        <v/>
      </c>
      <c r="I348" s="4">
        <f>-SUMIFS('01_異動主檔'!$F:$F,'01_異動主檔'!$B:$B,118,'01_異動主檔'!$D:$D,B348,'01_異動主檔'!$E:$E,"精簡")</f>
        <v/>
      </c>
      <c r="J348" s="10">
        <f>D348+E348+F348+G348+H348+I348</f>
        <v/>
      </c>
    </row>
    <row r="349" ht="18" customHeight="1">
      <c r="A349" s="4" t="inlineStr">
        <is>
          <t>B005</t>
        </is>
      </c>
      <c r="B349" s="3" t="inlineStr">
        <is>
          <t>第五組</t>
        </is>
      </c>
      <c r="C349" s="4" t="n">
        <v>119</v>
      </c>
      <c r="D349" s="10">
        <f>J348</f>
        <v/>
      </c>
      <c r="E349" s="4">
        <f>SUMIFS('01_異動主檔'!$F:$F,'01_異動主檔'!$B:$B,119,'01_異動主檔'!$D:$D,B349,'01_異動主檔'!$E:$E,"移入")</f>
        <v/>
      </c>
      <c r="F349" s="4">
        <f>-SUMIFS('01_異動主檔'!$F:$F,'01_異動主檔'!$B:$B,119,'01_異動主檔'!$D:$D,B349,'01_異動主檔'!$E:$E,"移出")</f>
        <v/>
      </c>
      <c r="G349" s="4">
        <f>SUMIFS('01_異動主檔'!$F:$F,'01_異動主檔'!$B:$B,119,'01_異動主檔'!$D:$D,B349,'01_異動主檔'!$E:$E,"新增")</f>
        <v/>
      </c>
      <c r="H349" s="4">
        <f>-SUMIFS('01_異動主檔'!$F:$F,'01_異動主檔'!$B:$B,119,'01_異動主檔'!$D:$D,B349,'01_異動主檔'!$E:$E,"減列")</f>
        <v/>
      </c>
      <c r="I349" s="4">
        <f>-SUMIFS('01_異動主檔'!$F:$F,'01_異動主檔'!$B:$B,119,'01_異動主檔'!$D:$D,B349,'01_異動主檔'!$E:$E,"精簡")</f>
        <v/>
      </c>
      <c r="J349" s="10">
        <f>D349+E349+F349+G349+H349+I349</f>
        <v/>
      </c>
    </row>
    <row r="350" ht="18" customHeight="1">
      <c r="A350" s="6" t="inlineStr">
        <is>
          <t>B005</t>
        </is>
      </c>
      <c r="B350" s="5" t="inlineStr">
        <is>
          <t>第五組</t>
        </is>
      </c>
      <c r="C350" s="6" t="n">
        <v>120</v>
      </c>
      <c r="D350" s="10">
        <f>J349</f>
        <v/>
      </c>
      <c r="E350" s="4">
        <f>SUMIFS('01_異動主檔'!$F:$F,'01_異動主檔'!$B:$B,120,'01_異動主檔'!$D:$D,B350,'01_異動主檔'!$E:$E,"移入")</f>
        <v/>
      </c>
      <c r="F350" s="4">
        <f>-SUMIFS('01_異動主檔'!$F:$F,'01_異動主檔'!$B:$B,120,'01_異動主檔'!$D:$D,B350,'01_異動主檔'!$E:$E,"移出")</f>
        <v/>
      </c>
      <c r="G350" s="4">
        <f>SUMIFS('01_異動主檔'!$F:$F,'01_異動主檔'!$B:$B,120,'01_異動主檔'!$D:$D,B350,'01_異動主檔'!$E:$E,"新增")</f>
        <v/>
      </c>
      <c r="H350" s="4">
        <f>-SUMIFS('01_異動主檔'!$F:$F,'01_異動主檔'!$B:$B,120,'01_異動主檔'!$D:$D,B350,'01_異動主檔'!$E:$E,"減列")</f>
        <v/>
      </c>
      <c r="I350" s="4">
        <f>-SUMIFS('01_異動主檔'!$F:$F,'01_異動主檔'!$B:$B,120,'01_異動主檔'!$D:$D,B350,'01_異動主檔'!$E:$E,"精簡")</f>
        <v/>
      </c>
      <c r="J350" s="10">
        <f>D350+E350+F350+G350+H350+I350</f>
        <v/>
      </c>
    </row>
    <row r="351" ht="18" customHeight="1">
      <c r="A351" s="4" t="inlineStr">
        <is>
          <t>B005</t>
        </is>
      </c>
      <c r="B351" s="3" t="inlineStr">
        <is>
          <t>第五組</t>
        </is>
      </c>
      <c r="C351" s="4" t="n">
        <v>121</v>
      </c>
      <c r="D351" s="10">
        <f>J350</f>
        <v/>
      </c>
      <c r="E351" s="4">
        <f>SUMIFS('01_異動主檔'!$F:$F,'01_異動主檔'!$B:$B,121,'01_異動主檔'!$D:$D,B351,'01_異動主檔'!$E:$E,"移入")</f>
        <v/>
      </c>
      <c r="F351" s="4">
        <f>-SUMIFS('01_異動主檔'!$F:$F,'01_異動主檔'!$B:$B,121,'01_異動主檔'!$D:$D,B351,'01_異動主檔'!$E:$E,"移出")</f>
        <v/>
      </c>
      <c r="G351" s="4">
        <f>SUMIFS('01_異動主檔'!$F:$F,'01_異動主檔'!$B:$B,121,'01_異動主檔'!$D:$D,B351,'01_異動主檔'!$E:$E,"新增")</f>
        <v/>
      </c>
      <c r="H351" s="4">
        <f>-SUMIFS('01_異動主檔'!$F:$F,'01_異動主檔'!$B:$B,121,'01_異動主檔'!$D:$D,B351,'01_異動主檔'!$E:$E,"減列")</f>
        <v/>
      </c>
      <c r="I351" s="4">
        <f>-SUMIFS('01_異動主檔'!$F:$F,'01_異動主檔'!$B:$B,121,'01_異動主檔'!$D:$D,B351,'01_異動主檔'!$E:$E,"精簡")</f>
        <v/>
      </c>
      <c r="J351" s="10">
        <f>D351+E351+F351+G351+H351+I351</f>
        <v/>
      </c>
    </row>
    <row r="352" ht="18" customHeight="1">
      <c r="A352" s="6" t="inlineStr">
        <is>
          <t>B005</t>
        </is>
      </c>
      <c r="B352" s="5" t="inlineStr">
        <is>
          <t>第五組</t>
        </is>
      </c>
      <c r="C352" s="6" t="n">
        <v>122</v>
      </c>
      <c r="D352" s="10">
        <f>J351</f>
        <v/>
      </c>
      <c r="E352" s="4">
        <f>SUMIFS('01_異動主檔'!$F:$F,'01_異動主檔'!$B:$B,122,'01_異動主檔'!$D:$D,B352,'01_異動主檔'!$E:$E,"移入")</f>
        <v/>
      </c>
      <c r="F352" s="4">
        <f>-SUMIFS('01_異動主檔'!$F:$F,'01_異動主檔'!$B:$B,122,'01_異動主檔'!$D:$D,B352,'01_異動主檔'!$E:$E,"移出")</f>
        <v/>
      </c>
      <c r="G352" s="4">
        <f>SUMIFS('01_異動主檔'!$F:$F,'01_異動主檔'!$B:$B,122,'01_異動主檔'!$D:$D,B352,'01_異動主檔'!$E:$E,"新增")</f>
        <v/>
      </c>
      <c r="H352" s="4">
        <f>-SUMIFS('01_異動主檔'!$F:$F,'01_異動主檔'!$B:$B,122,'01_異動主檔'!$D:$D,B352,'01_異動主檔'!$E:$E,"減列")</f>
        <v/>
      </c>
      <c r="I352" s="4">
        <f>-SUMIFS('01_異動主檔'!$F:$F,'01_異動主檔'!$B:$B,122,'01_異動主檔'!$D:$D,B352,'01_異動主檔'!$E:$E,"精簡")</f>
        <v/>
      </c>
      <c r="J352" s="10">
        <f>D352+E352+F352+G352+H352+I352</f>
        <v/>
      </c>
    </row>
    <row r="353" ht="18" customHeight="1">
      <c r="A353" s="4" t="inlineStr">
        <is>
          <t>B005</t>
        </is>
      </c>
      <c r="B353" s="3" t="inlineStr">
        <is>
          <t>第五組</t>
        </is>
      </c>
      <c r="C353" s="4" t="n">
        <v>123</v>
      </c>
      <c r="D353" s="10">
        <f>J352</f>
        <v/>
      </c>
      <c r="E353" s="4">
        <f>SUMIFS('01_異動主檔'!$F:$F,'01_異動主檔'!$B:$B,123,'01_異動主檔'!$D:$D,B353,'01_異動主檔'!$E:$E,"移入")</f>
        <v/>
      </c>
      <c r="F353" s="4">
        <f>-SUMIFS('01_異動主檔'!$F:$F,'01_異動主檔'!$B:$B,123,'01_異動主檔'!$D:$D,B353,'01_異動主檔'!$E:$E,"移出")</f>
        <v/>
      </c>
      <c r="G353" s="4">
        <f>SUMIFS('01_異動主檔'!$F:$F,'01_異動主檔'!$B:$B,123,'01_異動主檔'!$D:$D,B353,'01_異動主檔'!$E:$E,"新增")</f>
        <v/>
      </c>
      <c r="H353" s="4">
        <f>-SUMIFS('01_異動主檔'!$F:$F,'01_異動主檔'!$B:$B,123,'01_異動主檔'!$D:$D,B353,'01_異動主檔'!$E:$E,"減列")</f>
        <v/>
      </c>
      <c r="I353" s="4">
        <f>-SUMIFS('01_異動主檔'!$F:$F,'01_異動主檔'!$B:$B,123,'01_異動主檔'!$D:$D,B353,'01_異動主檔'!$E:$E,"精簡")</f>
        <v/>
      </c>
      <c r="J353" s="10">
        <f>D353+E353+F353+G353+H353+I353</f>
        <v/>
      </c>
    </row>
    <row r="354" ht="18" customHeight="1">
      <c r="A354" s="6" t="inlineStr">
        <is>
          <t>B005</t>
        </is>
      </c>
      <c r="B354" s="5" t="inlineStr">
        <is>
          <t>第五組</t>
        </is>
      </c>
      <c r="C354" s="6" t="n">
        <v>124</v>
      </c>
      <c r="D354" s="10">
        <f>J353</f>
        <v/>
      </c>
      <c r="E354" s="4">
        <f>SUMIFS('01_異動主檔'!$F:$F,'01_異動主檔'!$B:$B,124,'01_異動主檔'!$D:$D,B354,'01_異動主檔'!$E:$E,"移入")</f>
        <v/>
      </c>
      <c r="F354" s="4">
        <f>-SUMIFS('01_異動主檔'!$F:$F,'01_異動主檔'!$B:$B,124,'01_異動主檔'!$D:$D,B354,'01_異動主檔'!$E:$E,"移出")</f>
        <v/>
      </c>
      <c r="G354" s="4">
        <f>SUMIFS('01_異動主檔'!$F:$F,'01_異動主檔'!$B:$B,124,'01_異動主檔'!$D:$D,B354,'01_異動主檔'!$E:$E,"新增")</f>
        <v/>
      </c>
      <c r="H354" s="4">
        <f>-SUMIFS('01_異動主檔'!$F:$F,'01_異動主檔'!$B:$B,124,'01_異動主檔'!$D:$D,B354,'01_異動主檔'!$E:$E,"減列")</f>
        <v/>
      </c>
      <c r="I354" s="4">
        <f>-SUMIFS('01_異動主檔'!$F:$F,'01_異動主檔'!$B:$B,124,'01_異動主檔'!$D:$D,B354,'01_異動主檔'!$E:$E,"精簡")</f>
        <v/>
      </c>
      <c r="J354" s="10">
        <f>D354+E354+F354+G354+H354+I354</f>
        <v/>
      </c>
    </row>
    <row r="355" ht="18" customHeight="1">
      <c r="A355" s="4" t="inlineStr">
        <is>
          <t>B005</t>
        </is>
      </c>
      <c r="B355" s="3" t="inlineStr">
        <is>
          <t>第五組</t>
        </is>
      </c>
      <c r="C355" s="4" t="n">
        <v>125</v>
      </c>
      <c r="D355" s="10">
        <f>J354</f>
        <v/>
      </c>
      <c r="E355" s="4">
        <f>SUMIFS('01_異動主檔'!$F:$F,'01_異動主檔'!$B:$B,125,'01_異動主檔'!$D:$D,B355,'01_異動主檔'!$E:$E,"移入")</f>
        <v/>
      </c>
      <c r="F355" s="4">
        <f>-SUMIFS('01_異動主檔'!$F:$F,'01_異動主檔'!$B:$B,125,'01_異動主檔'!$D:$D,B355,'01_異動主檔'!$E:$E,"移出")</f>
        <v/>
      </c>
      <c r="G355" s="4">
        <f>SUMIFS('01_異動主檔'!$F:$F,'01_異動主檔'!$B:$B,125,'01_異動主檔'!$D:$D,B355,'01_異動主檔'!$E:$E,"新增")</f>
        <v/>
      </c>
      <c r="H355" s="4">
        <f>-SUMIFS('01_異動主檔'!$F:$F,'01_異動主檔'!$B:$B,125,'01_異動主檔'!$D:$D,B355,'01_異動主檔'!$E:$E,"減列")</f>
        <v/>
      </c>
      <c r="I355" s="4">
        <f>-SUMIFS('01_異動主檔'!$F:$F,'01_異動主檔'!$B:$B,125,'01_異動主檔'!$D:$D,B355,'01_異動主檔'!$E:$E,"精簡")</f>
        <v/>
      </c>
      <c r="J355" s="10">
        <f>D355+E355+F355+G355+H355+I355</f>
        <v/>
      </c>
    </row>
    <row r="356" ht="18" customHeight="1">
      <c r="A356" s="6" t="inlineStr">
        <is>
          <t>B006</t>
        </is>
      </c>
      <c r="B356" s="5" t="inlineStr">
        <is>
          <t>第六組</t>
        </is>
      </c>
      <c r="C356" s="6" t="n">
        <v>99</v>
      </c>
      <c r="D356" s="10">
        <f>'02_年初員額設定'!C18</f>
        <v/>
      </c>
      <c r="E356" s="4">
        <f>SUMIFS('01_異動主檔'!$F:$F,'01_異動主檔'!$B:$B,99,'01_異動主檔'!$D:$D,B356,'01_異動主檔'!$E:$E,"移入")</f>
        <v/>
      </c>
      <c r="F356" s="4">
        <f>-SUMIFS('01_異動主檔'!$F:$F,'01_異動主檔'!$B:$B,99,'01_異動主檔'!$D:$D,B356,'01_異動主檔'!$E:$E,"移出")</f>
        <v/>
      </c>
      <c r="G356" s="4">
        <f>SUMIFS('01_異動主檔'!$F:$F,'01_異動主檔'!$B:$B,99,'01_異動主檔'!$D:$D,B356,'01_異動主檔'!$E:$E,"新增")</f>
        <v/>
      </c>
      <c r="H356" s="4">
        <f>-SUMIFS('01_異動主檔'!$F:$F,'01_異動主檔'!$B:$B,99,'01_異動主檔'!$D:$D,B356,'01_異動主檔'!$E:$E,"減列")</f>
        <v/>
      </c>
      <c r="I356" s="4">
        <f>-SUMIFS('01_異動主檔'!$F:$F,'01_異動主檔'!$B:$B,99,'01_異動主檔'!$D:$D,B356,'01_異動主檔'!$E:$E,"精簡")</f>
        <v/>
      </c>
      <c r="J356" s="10">
        <f>D356+E356+F356+G356+H356+I356</f>
        <v/>
      </c>
    </row>
    <row r="357" ht="18" customHeight="1">
      <c r="A357" s="4" t="inlineStr">
        <is>
          <t>B006</t>
        </is>
      </c>
      <c r="B357" s="3" t="inlineStr">
        <is>
          <t>第六組</t>
        </is>
      </c>
      <c r="C357" s="4" t="n">
        <v>100</v>
      </c>
      <c r="D357" s="10">
        <f>J356</f>
        <v/>
      </c>
      <c r="E357" s="4">
        <f>SUMIFS('01_異動主檔'!$F:$F,'01_異動主檔'!$B:$B,100,'01_異動主檔'!$D:$D,B357,'01_異動主檔'!$E:$E,"移入")</f>
        <v/>
      </c>
      <c r="F357" s="4">
        <f>-SUMIFS('01_異動主檔'!$F:$F,'01_異動主檔'!$B:$B,100,'01_異動主檔'!$D:$D,B357,'01_異動主檔'!$E:$E,"移出")</f>
        <v/>
      </c>
      <c r="G357" s="4">
        <f>SUMIFS('01_異動主檔'!$F:$F,'01_異動主檔'!$B:$B,100,'01_異動主檔'!$D:$D,B357,'01_異動主檔'!$E:$E,"新增")</f>
        <v/>
      </c>
      <c r="H357" s="4">
        <f>-SUMIFS('01_異動主檔'!$F:$F,'01_異動主檔'!$B:$B,100,'01_異動主檔'!$D:$D,B357,'01_異動主檔'!$E:$E,"減列")</f>
        <v/>
      </c>
      <c r="I357" s="4">
        <f>-SUMIFS('01_異動主檔'!$F:$F,'01_異動主檔'!$B:$B,100,'01_異動主檔'!$D:$D,B357,'01_異動主檔'!$E:$E,"精簡")</f>
        <v/>
      </c>
      <c r="J357" s="10">
        <f>D357+E357+F357+G357+H357+I357</f>
        <v/>
      </c>
    </row>
    <row r="358" ht="18" customHeight="1">
      <c r="A358" s="6" t="inlineStr">
        <is>
          <t>B006</t>
        </is>
      </c>
      <c r="B358" s="5" t="inlineStr">
        <is>
          <t>第六組</t>
        </is>
      </c>
      <c r="C358" s="6" t="n">
        <v>101</v>
      </c>
      <c r="D358" s="10">
        <f>J357</f>
        <v/>
      </c>
      <c r="E358" s="4">
        <f>SUMIFS('01_異動主檔'!$F:$F,'01_異動主檔'!$B:$B,101,'01_異動主檔'!$D:$D,B358,'01_異動主檔'!$E:$E,"移入")</f>
        <v/>
      </c>
      <c r="F358" s="4">
        <f>-SUMIFS('01_異動主檔'!$F:$F,'01_異動主檔'!$B:$B,101,'01_異動主檔'!$D:$D,B358,'01_異動主檔'!$E:$E,"移出")</f>
        <v/>
      </c>
      <c r="G358" s="4">
        <f>SUMIFS('01_異動主檔'!$F:$F,'01_異動主檔'!$B:$B,101,'01_異動主檔'!$D:$D,B358,'01_異動主檔'!$E:$E,"新增")</f>
        <v/>
      </c>
      <c r="H358" s="4">
        <f>-SUMIFS('01_異動主檔'!$F:$F,'01_異動主檔'!$B:$B,101,'01_異動主檔'!$D:$D,B358,'01_異動主檔'!$E:$E,"減列")</f>
        <v/>
      </c>
      <c r="I358" s="4">
        <f>-SUMIFS('01_異動主檔'!$F:$F,'01_異動主檔'!$B:$B,101,'01_異動主檔'!$D:$D,B358,'01_異動主檔'!$E:$E,"精簡")</f>
        <v/>
      </c>
      <c r="J358" s="10">
        <f>D358+E358+F358+G358+H358+I358</f>
        <v/>
      </c>
    </row>
    <row r="359" ht="18" customHeight="1">
      <c r="A359" s="4" t="inlineStr">
        <is>
          <t>B006</t>
        </is>
      </c>
      <c r="B359" s="3" t="inlineStr">
        <is>
          <t>第六組</t>
        </is>
      </c>
      <c r="C359" s="4" t="n">
        <v>102</v>
      </c>
      <c r="D359" s="10">
        <f>J358</f>
        <v/>
      </c>
      <c r="E359" s="4">
        <f>SUMIFS('01_異動主檔'!$F:$F,'01_異動主檔'!$B:$B,102,'01_異動主檔'!$D:$D,B359,'01_異動主檔'!$E:$E,"移入")</f>
        <v/>
      </c>
      <c r="F359" s="4">
        <f>-SUMIFS('01_異動主檔'!$F:$F,'01_異動主檔'!$B:$B,102,'01_異動主檔'!$D:$D,B359,'01_異動主檔'!$E:$E,"移出")</f>
        <v/>
      </c>
      <c r="G359" s="4">
        <f>SUMIFS('01_異動主檔'!$F:$F,'01_異動主檔'!$B:$B,102,'01_異動主檔'!$D:$D,B359,'01_異動主檔'!$E:$E,"新增")</f>
        <v/>
      </c>
      <c r="H359" s="4">
        <f>-SUMIFS('01_異動主檔'!$F:$F,'01_異動主檔'!$B:$B,102,'01_異動主檔'!$D:$D,B359,'01_異動主檔'!$E:$E,"減列")</f>
        <v/>
      </c>
      <c r="I359" s="4">
        <f>-SUMIFS('01_異動主檔'!$F:$F,'01_異動主檔'!$B:$B,102,'01_異動主檔'!$D:$D,B359,'01_異動主檔'!$E:$E,"精簡")</f>
        <v/>
      </c>
      <c r="J359" s="10">
        <f>D359+E359+F359+G359+H359+I359</f>
        <v/>
      </c>
    </row>
    <row r="360" ht="18" customHeight="1">
      <c r="A360" s="6" t="inlineStr">
        <is>
          <t>B006</t>
        </is>
      </c>
      <c r="B360" s="5" t="inlineStr">
        <is>
          <t>第六組</t>
        </is>
      </c>
      <c r="C360" s="6" t="n">
        <v>103</v>
      </c>
      <c r="D360" s="10">
        <f>J359</f>
        <v/>
      </c>
      <c r="E360" s="4">
        <f>SUMIFS('01_異動主檔'!$F:$F,'01_異動主檔'!$B:$B,103,'01_異動主檔'!$D:$D,B360,'01_異動主檔'!$E:$E,"移入")</f>
        <v/>
      </c>
      <c r="F360" s="4">
        <f>-SUMIFS('01_異動主檔'!$F:$F,'01_異動主檔'!$B:$B,103,'01_異動主檔'!$D:$D,B360,'01_異動主檔'!$E:$E,"移出")</f>
        <v/>
      </c>
      <c r="G360" s="4">
        <f>SUMIFS('01_異動主檔'!$F:$F,'01_異動主檔'!$B:$B,103,'01_異動主檔'!$D:$D,B360,'01_異動主檔'!$E:$E,"新增")</f>
        <v/>
      </c>
      <c r="H360" s="4">
        <f>-SUMIFS('01_異動主檔'!$F:$F,'01_異動主檔'!$B:$B,103,'01_異動主檔'!$D:$D,B360,'01_異動主檔'!$E:$E,"減列")</f>
        <v/>
      </c>
      <c r="I360" s="4">
        <f>-SUMIFS('01_異動主檔'!$F:$F,'01_異動主檔'!$B:$B,103,'01_異動主檔'!$D:$D,B360,'01_異動主檔'!$E:$E,"精簡")</f>
        <v/>
      </c>
      <c r="J360" s="10">
        <f>D360+E360+F360+G360+H360+I360</f>
        <v/>
      </c>
    </row>
    <row r="361" ht="18" customHeight="1">
      <c r="A361" s="4" t="inlineStr">
        <is>
          <t>B006</t>
        </is>
      </c>
      <c r="B361" s="3" t="inlineStr">
        <is>
          <t>第六組</t>
        </is>
      </c>
      <c r="C361" s="4" t="n">
        <v>104</v>
      </c>
      <c r="D361" s="10">
        <f>J360</f>
        <v/>
      </c>
      <c r="E361" s="4">
        <f>SUMIFS('01_異動主檔'!$F:$F,'01_異動主檔'!$B:$B,104,'01_異動主檔'!$D:$D,B361,'01_異動主檔'!$E:$E,"移入")</f>
        <v/>
      </c>
      <c r="F361" s="4">
        <f>-SUMIFS('01_異動主檔'!$F:$F,'01_異動主檔'!$B:$B,104,'01_異動主檔'!$D:$D,B361,'01_異動主檔'!$E:$E,"移出")</f>
        <v/>
      </c>
      <c r="G361" s="4">
        <f>SUMIFS('01_異動主檔'!$F:$F,'01_異動主檔'!$B:$B,104,'01_異動主檔'!$D:$D,B361,'01_異動主檔'!$E:$E,"新增")</f>
        <v/>
      </c>
      <c r="H361" s="4">
        <f>-SUMIFS('01_異動主檔'!$F:$F,'01_異動主檔'!$B:$B,104,'01_異動主檔'!$D:$D,B361,'01_異動主檔'!$E:$E,"減列")</f>
        <v/>
      </c>
      <c r="I361" s="4">
        <f>-SUMIFS('01_異動主檔'!$F:$F,'01_異動主檔'!$B:$B,104,'01_異動主檔'!$D:$D,B361,'01_異動主檔'!$E:$E,"精簡")</f>
        <v/>
      </c>
      <c r="J361" s="10">
        <f>D361+E361+F361+G361+H361+I361</f>
        <v/>
      </c>
    </row>
    <row r="362" ht="18" customHeight="1">
      <c r="A362" s="6" t="inlineStr">
        <is>
          <t>B006</t>
        </is>
      </c>
      <c r="B362" s="5" t="inlineStr">
        <is>
          <t>第六組</t>
        </is>
      </c>
      <c r="C362" s="6" t="n">
        <v>105</v>
      </c>
      <c r="D362" s="10">
        <f>J361</f>
        <v/>
      </c>
      <c r="E362" s="4">
        <f>SUMIFS('01_異動主檔'!$F:$F,'01_異動主檔'!$B:$B,105,'01_異動主檔'!$D:$D,B362,'01_異動主檔'!$E:$E,"移入")</f>
        <v/>
      </c>
      <c r="F362" s="4">
        <f>-SUMIFS('01_異動主檔'!$F:$F,'01_異動主檔'!$B:$B,105,'01_異動主檔'!$D:$D,B362,'01_異動主檔'!$E:$E,"移出")</f>
        <v/>
      </c>
      <c r="G362" s="4">
        <f>SUMIFS('01_異動主檔'!$F:$F,'01_異動主檔'!$B:$B,105,'01_異動主檔'!$D:$D,B362,'01_異動主檔'!$E:$E,"新增")</f>
        <v/>
      </c>
      <c r="H362" s="4">
        <f>-SUMIFS('01_異動主檔'!$F:$F,'01_異動主檔'!$B:$B,105,'01_異動主檔'!$D:$D,B362,'01_異動主檔'!$E:$E,"減列")</f>
        <v/>
      </c>
      <c r="I362" s="4">
        <f>-SUMIFS('01_異動主檔'!$F:$F,'01_異動主檔'!$B:$B,105,'01_異動主檔'!$D:$D,B362,'01_異動主檔'!$E:$E,"精簡")</f>
        <v/>
      </c>
      <c r="J362" s="10">
        <f>D362+E362+F362+G362+H362+I362</f>
        <v/>
      </c>
    </row>
    <row r="363" ht="18" customHeight="1">
      <c r="A363" s="4" t="inlineStr">
        <is>
          <t>B006</t>
        </is>
      </c>
      <c r="B363" s="3" t="inlineStr">
        <is>
          <t>第六組</t>
        </is>
      </c>
      <c r="C363" s="4" t="n">
        <v>106</v>
      </c>
      <c r="D363" s="10">
        <f>J362</f>
        <v/>
      </c>
      <c r="E363" s="4">
        <f>SUMIFS('01_異動主檔'!$F:$F,'01_異動主檔'!$B:$B,106,'01_異動主檔'!$D:$D,B363,'01_異動主檔'!$E:$E,"移入")</f>
        <v/>
      </c>
      <c r="F363" s="4">
        <f>-SUMIFS('01_異動主檔'!$F:$F,'01_異動主檔'!$B:$B,106,'01_異動主檔'!$D:$D,B363,'01_異動主檔'!$E:$E,"移出")</f>
        <v/>
      </c>
      <c r="G363" s="4">
        <f>SUMIFS('01_異動主檔'!$F:$F,'01_異動主檔'!$B:$B,106,'01_異動主檔'!$D:$D,B363,'01_異動主檔'!$E:$E,"新增")</f>
        <v/>
      </c>
      <c r="H363" s="4">
        <f>-SUMIFS('01_異動主檔'!$F:$F,'01_異動主檔'!$B:$B,106,'01_異動主檔'!$D:$D,B363,'01_異動主檔'!$E:$E,"減列")</f>
        <v/>
      </c>
      <c r="I363" s="4">
        <f>-SUMIFS('01_異動主檔'!$F:$F,'01_異動主檔'!$B:$B,106,'01_異動主檔'!$D:$D,B363,'01_異動主檔'!$E:$E,"精簡")</f>
        <v/>
      </c>
      <c r="J363" s="10">
        <f>D363+E363+F363+G363+H363+I363</f>
        <v/>
      </c>
    </row>
    <row r="364" ht="18" customHeight="1">
      <c r="A364" s="6" t="inlineStr">
        <is>
          <t>B006</t>
        </is>
      </c>
      <c r="B364" s="5" t="inlineStr">
        <is>
          <t>第六組</t>
        </is>
      </c>
      <c r="C364" s="6" t="n">
        <v>107</v>
      </c>
      <c r="D364" s="10">
        <f>J363</f>
        <v/>
      </c>
      <c r="E364" s="4">
        <f>SUMIFS('01_異動主檔'!$F:$F,'01_異動主檔'!$B:$B,107,'01_異動主檔'!$D:$D,B364,'01_異動主檔'!$E:$E,"移入")</f>
        <v/>
      </c>
      <c r="F364" s="4">
        <f>-SUMIFS('01_異動主檔'!$F:$F,'01_異動主檔'!$B:$B,107,'01_異動主檔'!$D:$D,B364,'01_異動主檔'!$E:$E,"移出")</f>
        <v/>
      </c>
      <c r="G364" s="4">
        <f>SUMIFS('01_異動主檔'!$F:$F,'01_異動主檔'!$B:$B,107,'01_異動主檔'!$D:$D,B364,'01_異動主檔'!$E:$E,"新增")</f>
        <v/>
      </c>
      <c r="H364" s="4">
        <f>-SUMIFS('01_異動主檔'!$F:$F,'01_異動主檔'!$B:$B,107,'01_異動主檔'!$D:$D,B364,'01_異動主檔'!$E:$E,"減列")</f>
        <v/>
      </c>
      <c r="I364" s="4">
        <f>-SUMIFS('01_異動主檔'!$F:$F,'01_異動主檔'!$B:$B,107,'01_異動主檔'!$D:$D,B364,'01_異動主檔'!$E:$E,"精簡")</f>
        <v/>
      </c>
      <c r="J364" s="10">
        <f>D364+E364+F364+G364+H364+I364</f>
        <v/>
      </c>
    </row>
    <row r="365" ht="18" customHeight="1">
      <c r="A365" s="4" t="inlineStr">
        <is>
          <t>B006</t>
        </is>
      </c>
      <c r="B365" s="3" t="inlineStr">
        <is>
          <t>第六組</t>
        </is>
      </c>
      <c r="C365" s="4" t="n">
        <v>108</v>
      </c>
      <c r="D365" s="10">
        <f>J364</f>
        <v/>
      </c>
      <c r="E365" s="4">
        <f>SUMIFS('01_異動主檔'!$F:$F,'01_異動主檔'!$B:$B,108,'01_異動主檔'!$D:$D,B365,'01_異動主檔'!$E:$E,"移入")</f>
        <v/>
      </c>
      <c r="F365" s="4">
        <f>-SUMIFS('01_異動主檔'!$F:$F,'01_異動主檔'!$B:$B,108,'01_異動主檔'!$D:$D,B365,'01_異動主檔'!$E:$E,"移出")</f>
        <v/>
      </c>
      <c r="G365" s="4">
        <f>SUMIFS('01_異動主檔'!$F:$F,'01_異動主檔'!$B:$B,108,'01_異動主檔'!$D:$D,B365,'01_異動主檔'!$E:$E,"新增")</f>
        <v/>
      </c>
      <c r="H365" s="4">
        <f>-SUMIFS('01_異動主檔'!$F:$F,'01_異動主檔'!$B:$B,108,'01_異動主檔'!$D:$D,B365,'01_異動主檔'!$E:$E,"減列")</f>
        <v/>
      </c>
      <c r="I365" s="4">
        <f>-SUMIFS('01_異動主檔'!$F:$F,'01_異動主檔'!$B:$B,108,'01_異動主檔'!$D:$D,B365,'01_異動主檔'!$E:$E,"精簡")</f>
        <v/>
      </c>
      <c r="J365" s="10">
        <f>D365+E365+F365+G365+H365+I365</f>
        <v/>
      </c>
    </row>
    <row r="366" ht="18" customHeight="1">
      <c r="A366" s="6" t="inlineStr">
        <is>
          <t>B006</t>
        </is>
      </c>
      <c r="B366" s="5" t="inlineStr">
        <is>
          <t>第六組</t>
        </is>
      </c>
      <c r="C366" s="6" t="n">
        <v>109</v>
      </c>
      <c r="D366" s="10">
        <f>J365</f>
        <v/>
      </c>
      <c r="E366" s="4">
        <f>SUMIFS('01_異動主檔'!$F:$F,'01_異動主檔'!$B:$B,109,'01_異動主檔'!$D:$D,B366,'01_異動主檔'!$E:$E,"移入")</f>
        <v/>
      </c>
      <c r="F366" s="4">
        <f>-SUMIFS('01_異動主檔'!$F:$F,'01_異動主檔'!$B:$B,109,'01_異動主檔'!$D:$D,B366,'01_異動主檔'!$E:$E,"移出")</f>
        <v/>
      </c>
      <c r="G366" s="4">
        <f>SUMIFS('01_異動主檔'!$F:$F,'01_異動主檔'!$B:$B,109,'01_異動主檔'!$D:$D,B366,'01_異動主檔'!$E:$E,"新增")</f>
        <v/>
      </c>
      <c r="H366" s="4">
        <f>-SUMIFS('01_異動主檔'!$F:$F,'01_異動主檔'!$B:$B,109,'01_異動主檔'!$D:$D,B366,'01_異動主檔'!$E:$E,"減列")</f>
        <v/>
      </c>
      <c r="I366" s="4">
        <f>-SUMIFS('01_異動主檔'!$F:$F,'01_異動主檔'!$B:$B,109,'01_異動主檔'!$D:$D,B366,'01_異動主檔'!$E:$E,"精簡")</f>
        <v/>
      </c>
      <c r="J366" s="10">
        <f>D366+E366+F366+G366+H366+I366</f>
        <v/>
      </c>
    </row>
    <row r="367" ht="18" customHeight="1">
      <c r="A367" s="4" t="inlineStr">
        <is>
          <t>B006</t>
        </is>
      </c>
      <c r="B367" s="3" t="inlineStr">
        <is>
          <t>第六組</t>
        </is>
      </c>
      <c r="C367" s="4" t="n">
        <v>110</v>
      </c>
      <c r="D367" s="10">
        <f>J366</f>
        <v/>
      </c>
      <c r="E367" s="4">
        <f>SUMIFS('01_異動主檔'!$F:$F,'01_異動主檔'!$B:$B,110,'01_異動主檔'!$D:$D,B367,'01_異動主檔'!$E:$E,"移入")</f>
        <v/>
      </c>
      <c r="F367" s="4">
        <f>-SUMIFS('01_異動主檔'!$F:$F,'01_異動主檔'!$B:$B,110,'01_異動主檔'!$D:$D,B367,'01_異動主檔'!$E:$E,"移出")</f>
        <v/>
      </c>
      <c r="G367" s="4">
        <f>SUMIFS('01_異動主檔'!$F:$F,'01_異動主檔'!$B:$B,110,'01_異動主檔'!$D:$D,B367,'01_異動主檔'!$E:$E,"新增")</f>
        <v/>
      </c>
      <c r="H367" s="4">
        <f>-SUMIFS('01_異動主檔'!$F:$F,'01_異動主檔'!$B:$B,110,'01_異動主檔'!$D:$D,B367,'01_異動主檔'!$E:$E,"減列")</f>
        <v/>
      </c>
      <c r="I367" s="4">
        <f>-SUMIFS('01_異動主檔'!$F:$F,'01_異動主檔'!$B:$B,110,'01_異動主檔'!$D:$D,B367,'01_異動主檔'!$E:$E,"精簡")</f>
        <v/>
      </c>
      <c r="J367" s="10">
        <f>D367+E367+F367+G367+H367+I367</f>
        <v/>
      </c>
    </row>
    <row r="368" ht="18" customHeight="1">
      <c r="A368" s="6" t="inlineStr">
        <is>
          <t>B006</t>
        </is>
      </c>
      <c r="B368" s="5" t="inlineStr">
        <is>
          <t>第六組</t>
        </is>
      </c>
      <c r="C368" s="6" t="n">
        <v>111</v>
      </c>
      <c r="D368" s="10">
        <f>J367</f>
        <v/>
      </c>
      <c r="E368" s="4">
        <f>SUMIFS('01_異動主檔'!$F:$F,'01_異動主檔'!$B:$B,111,'01_異動主檔'!$D:$D,B368,'01_異動主檔'!$E:$E,"移入")</f>
        <v/>
      </c>
      <c r="F368" s="4">
        <f>-SUMIFS('01_異動主檔'!$F:$F,'01_異動主檔'!$B:$B,111,'01_異動主檔'!$D:$D,B368,'01_異動主檔'!$E:$E,"移出")</f>
        <v/>
      </c>
      <c r="G368" s="4">
        <f>SUMIFS('01_異動主檔'!$F:$F,'01_異動主檔'!$B:$B,111,'01_異動主檔'!$D:$D,B368,'01_異動主檔'!$E:$E,"新增")</f>
        <v/>
      </c>
      <c r="H368" s="4">
        <f>-SUMIFS('01_異動主檔'!$F:$F,'01_異動主檔'!$B:$B,111,'01_異動主檔'!$D:$D,B368,'01_異動主檔'!$E:$E,"減列")</f>
        <v/>
      </c>
      <c r="I368" s="4">
        <f>-SUMIFS('01_異動主檔'!$F:$F,'01_異動主檔'!$B:$B,111,'01_異動主檔'!$D:$D,B368,'01_異動主檔'!$E:$E,"精簡")</f>
        <v/>
      </c>
      <c r="J368" s="10">
        <f>D368+E368+F368+G368+H368+I368</f>
        <v/>
      </c>
    </row>
    <row r="369" ht="18" customHeight="1">
      <c r="A369" s="4" t="inlineStr">
        <is>
          <t>B006</t>
        </is>
      </c>
      <c r="B369" s="3" t="inlineStr">
        <is>
          <t>第六組</t>
        </is>
      </c>
      <c r="C369" s="4" t="n">
        <v>112</v>
      </c>
      <c r="D369" s="10">
        <f>J368</f>
        <v/>
      </c>
      <c r="E369" s="4">
        <f>SUMIFS('01_異動主檔'!$F:$F,'01_異動主檔'!$B:$B,112,'01_異動主檔'!$D:$D,B369,'01_異動主檔'!$E:$E,"移入")</f>
        <v/>
      </c>
      <c r="F369" s="4">
        <f>-SUMIFS('01_異動主檔'!$F:$F,'01_異動主檔'!$B:$B,112,'01_異動主檔'!$D:$D,B369,'01_異動主檔'!$E:$E,"移出")</f>
        <v/>
      </c>
      <c r="G369" s="4">
        <f>SUMIFS('01_異動主檔'!$F:$F,'01_異動主檔'!$B:$B,112,'01_異動主檔'!$D:$D,B369,'01_異動主檔'!$E:$E,"新增")</f>
        <v/>
      </c>
      <c r="H369" s="4">
        <f>-SUMIFS('01_異動主檔'!$F:$F,'01_異動主檔'!$B:$B,112,'01_異動主檔'!$D:$D,B369,'01_異動主檔'!$E:$E,"減列")</f>
        <v/>
      </c>
      <c r="I369" s="4">
        <f>-SUMIFS('01_異動主檔'!$F:$F,'01_異動主檔'!$B:$B,112,'01_異動主檔'!$D:$D,B369,'01_異動主檔'!$E:$E,"精簡")</f>
        <v/>
      </c>
      <c r="J369" s="10">
        <f>D369+E369+F369+G369+H369+I369</f>
        <v/>
      </c>
    </row>
    <row r="370" ht="18" customHeight="1">
      <c r="A370" s="6" t="inlineStr">
        <is>
          <t>B006</t>
        </is>
      </c>
      <c r="B370" s="5" t="inlineStr">
        <is>
          <t>第六組</t>
        </is>
      </c>
      <c r="C370" s="6" t="n">
        <v>113</v>
      </c>
      <c r="D370" s="10">
        <f>J369</f>
        <v/>
      </c>
      <c r="E370" s="4">
        <f>SUMIFS('01_異動主檔'!$F:$F,'01_異動主檔'!$B:$B,113,'01_異動主檔'!$D:$D,B370,'01_異動主檔'!$E:$E,"移入")</f>
        <v/>
      </c>
      <c r="F370" s="4">
        <f>-SUMIFS('01_異動主檔'!$F:$F,'01_異動主檔'!$B:$B,113,'01_異動主檔'!$D:$D,B370,'01_異動主檔'!$E:$E,"移出")</f>
        <v/>
      </c>
      <c r="G370" s="4">
        <f>SUMIFS('01_異動主檔'!$F:$F,'01_異動主檔'!$B:$B,113,'01_異動主檔'!$D:$D,B370,'01_異動主檔'!$E:$E,"新增")</f>
        <v/>
      </c>
      <c r="H370" s="4">
        <f>-SUMIFS('01_異動主檔'!$F:$F,'01_異動主檔'!$B:$B,113,'01_異動主檔'!$D:$D,B370,'01_異動主檔'!$E:$E,"減列")</f>
        <v/>
      </c>
      <c r="I370" s="4">
        <f>-SUMIFS('01_異動主檔'!$F:$F,'01_異動主檔'!$B:$B,113,'01_異動主檔'!$D:$D,B370,'01_異動主檔'!$E:$E,"精簡")</f>
        <v/>
      </c>
      <c r="J370" s="10">
        <f>D370+E370+F370+G370+H370+I370</f>
        <v/>
      </c>
    </row>
    <row r="371" ht="18" customHeight="1">
      <c r="A371" s="4" t="inlineStr">
        <is>
          <t>B006</t>
        </is>
      </c>
      <c r="B371" s="3" t="inlineStr">
        <is>
          <t>第六組</t>
        </is>
      </c>
      <c r="C371" s="4" t="n">
        <v>114</v>
      </c>
      <c r="D371" s="10">
        <f>J370</f>
        <v/>
      </c>
      <c r="E371" s="4">
        <f>SUMIFS('01_異動主檔'!$F:$F,'01_異動主檔'!$B:$B,114,'01_異動主檔'!$D:$D,B371,'01_異動主檔'!$E:$E,"移入")</f>
        <v/>
      </c>
      <c r="F371" s="4">
        <f>-SUMIFS('01_異動主檔'!$F:$F,'01_異動主檔'!$B:$B,114,'01_異動主檔'!$D:$D,B371,'01_異動主檔'!$E:$E,"移出")</f>
        <v/>
      </c>
      <c r="G371" s="4">
        <f>SUMIFS('01_異動主檔'!$F:$F,'01_異動主檔'!$B:$B,114,'01_異動主檔'!$D:$D,B371,'01_異動主檔'!$E:$E,"新增")</f>
        <v/>
      </c>
      <c r="H371" s="4">
        <f>-SUMIFS('01_異動主檔'!$F:$F,'01_異動主檔'!$B:$B,114,'01_異動主檔'!$D:$D,B371,'01_異動主檔'!$E:$E,"減列")</f>
        <v/>
      </c>
      <c r="I371" s="4">
        <f>-SUMIFS('01_異動主檔'!$F:$F,'01_異動主檔'!$B:$B,114,'01_異動主檔'!$D:$D,B371,'01_異動主檔'!$E:$E,"精簡")</f>
        <v/>
      </c>
      <c r="J371" s="10">
        <f>D371+E371+F371+G371+H371+I371</f>
        <v/>
      </c>
    </row>
    <row r="372" ht="18" customHeight="1">
      <c r="A372" s="6" t="inlineStr">
        <is>
          <t>B006</t>
        </is>
      </c>
      <c r="B372" s="5" t="inlineStr">
        <is>
          <t>第六組</t>
        </is>
      </c>
      <c r="C372" s="6" t="n">
        <v>115</v>
      </c>
      <c r="D372" s="10">
        <f>J371</f>
        <v/>
      </c>
      <c r="E372" s="4">
        <f>SUMIFS('01_異動主檔'!$F:$F,'01_異動主檔'!$B:$B,115,'01_異動主檔'!$D:$D,B372,'01_異動主檔'!$E:$E,"移入")</f>
        <v/>
      </c>
      <c r="F372" s="4">
        <f>-SUMIFS('01_異動主檔'!$F:$F,'01_異動主檔'!$B:$B,115,'01_異動主檔'!$D:$D,B372,'01_異動主檔'!$E:$E,"移出")</f>
        <v/>
      </c>
      <c r="G372" s="4">
        <f>SUMIFS('01_異動主檔'!$F:$F,'01_異動主檔'!$B:$B,115,'01_異動主檔'!$D:$D,B372,'01_異動主檔'!$E:$E,"新增")</f>
        <v/>
      </c>
      <c r="H372" s="4">
        <f>-SUMIFS('01_異動主檔'!$F:$F,'01_異動主檔'!$B:$B,115,'01_異動主檔'!$D:$D,B372,'01_異動主檔'!$E:$E,"減列")</f>
        <v/>
      </c>
      <c r="I372" s="4">
        <f>-SUMIFS('01_異動主檔'!$F:$F,'01_異動主檔'!$B:$B,115,'01_異動主檔'!$D:$D,B372,'01_異動主檔'!$E:$E,"精簡")</f>
        <v/>
      </c>
      <c r="J372" s="10">
        <f>D372+E372+F372+G372+H372+I372</f>
        <v/>
      </c>
    </row>
    <row r="373" ht="18" customHeight="1">
      <c r="A373" s="4" t="inlineStr">
        <is>
          <t>B006</t>
        </is>
      </c>
      <c r="B373" s="3" t="inlineStr">
        <is>
          <t>第六組</t>
        </is>
      </c>
      <c r="C373" s="4" t="n">
        <v>116</v>
      </c>
      <c r="D373" s="10">
        <f>J372</f>
        <v/>
      </c>
      <c r="E373" s="4">
        <f>SUMIFS('01_異動主檔'!$F:$F,'01_異動主檔'!$B:$B,116,'01_異動主檔'!$D:$D,B373,'01_異動主檔'!$E:$E,"移入")</f>
        <v/>
      </c>
      <c r="F373" s="4">
        <f>-SUMIFS('01_異動主檔'!$F:$F,'01_異動主檔'!$B:$B,116,'01_異動主檔'!$D:$D,B373,'01_異動主檔'!$E:$E,"移出")</f>
        <v/>
      </c>
      <c r="G373" s="4">
        <f>SUMIFS('01_異動主檔'!$F:$F,'01_異動主檔'!$B:$B,116,'01_異動主檔'!$D:$D,B373,'01_異動主檔'!$E:$E,"新增")</f>
        <v/>
      </c>
      <c r="H373" s="4">
        <f>-SUMIFS('01_異動主檔'!$F:$F,'01_異動主檔'!$B:$B,116,'01_異動主檔'!$D:$D,B373,'01_異動主檔'!$E:$E,"減列")</f>
        <v/>
      </c>
      <c r="I373" s="4">
        <f>-SUMIFS('01_異動主檔'!$F:$F,'01_異動主檔'!$B:$B,116,'01_異動主檔'!$D:$D,B373,'01_異動主檔'!$E:$E,"精簡")</f>
        <v/>
      </c>
      <c r="J373" s="10">
        <f>D373+E373+F373+G373+H373+I373</f>
        <v/>
      </c>
    </row>
    <row r="374" ht="18" customHeight="1">
      <c r="A374" s="6" t="inlineStr">
        <is>
          <t>B006</t>
        </is>
      </c>
      <c r="B374" s="5" t="inlineStr">
        <is>
          <t>第六組</t>
        </is>
      </c>
      <c r="C374" s="6" t="n">
        <v>117</v>
      </c>
      <c r="D374" s="10">
        <f>J373</f>
        <v/>
      </c>
      <c r="E374" s="4">
        <f>SUMIFS('01_異動主檔'!$F:$F,'01_異動主檔'!$B:$B,117,'01_異動主檔'!$D:$D,B374,'01_異動主檔'!$E:$E,"移入")</f>
        <v/>
      </c>
      <c r="F374" s="4">
        <f>-SUMIFS('01_異動主檔'!$F:$F,'01_異動主檔'!$B:$B,117,'01_異動主檔'!$D:$D,B374,'01_異動主檔'!$E:$E,"移出")</f>
        <v/>
      </c>
      <c r="G374" s="4">
        <f>SUMIFS('01_異動主檔'!$F:$F,'01_異動主檔'!$B:$B,117,'01_異動主檔'!$D:$D,B374,'01_異動主檔'!$E:$E,"新增")</f>
        <v/>
      </c>
      <c r="H374" s="4">
        <f>-SUMIFS('01_異動主檔'!$F:$F,'01_異動主檔'!$B:$B,117,'01_異動主檔'!$D:$D,B374,'01_異動主檔'!$E:$E,"減列")</f>
        <v/>
      </c>
      <c r="I374" s="4">
        <f>-SUMIFS('01_異動主檔'!$F:$F,'01_異動主檔'!$B:$B,117,'01_異動主檔'!$D:$D,B374,'01_異動主檔'!$E:$E,"精簡")</f>
        <v/>
      </c>
      <c r="J374" s="10">
        <f>D374+E374+F374+G374+H374+I374</f>
        <v/>
      </c>
    </row>
    <row r="375" ht="18" customHeight="1">
      <c r="A375" s="4" t="inlineStr">
        <is>
          <t>B006</t>
        </is>
      </c>
      <c r="B375" s="3" t="inlineStr">
        <is>
          <t>第六組</t>
        </is>
      </c>
      <c r="C375" s="4" t="n">
        <v>118</v>
      </c>
      <c r="D375" s="10">
        <f>J374</f>
        <v/>
      </c>
      <c r="E375" s="4">
        <f>SUMIFS('01_異動主檔'!$F:$F,'01_異動主檔'!$B:$B,118,'01_異動主檔'!$D:$D,B375,'01_異動主檔'!$E:$E,"移入")</f>
        <v/>
      </c>
      <c r="F375" s="4">
        <f>-SUMIFS('01_異動主檔'!$F:$F,'01_異動主檔'!$B:$B,118,'01_異動主檔'!$D:$D,B375,'01_異動主檔'!$E:$E,"移出")</f>
        <v/>
      </c>
      <c r="G375" s="4">
        <f>SUMIFS('01_異動主檔'!$F:$F,'01_異動主檔'!$B:$B,118,'01_異動主檔'!$D:$D,B375,'01_異動主檔'!$E:$E,"新增")</f>
        <v/>
      </c>
      <c r="H375" s="4">
        <f>-SUMIFS('01_異動主檔'!$F:$F,'01_異動主檔'!$B:$B,118,'01_異動主檔'!$D:$D,B375,'01_異動主檔'!$E:$E,"減列")</f>
        <v/>
      </c>
      <c r="I375" s="4">
        <f>-SUMIFS('01_異動主檔'!$F:$F,'01_異動主檔'!$B:$B,118,'01_異動主檔'!$D:$D,B375,'01_異動主檔'!$E:$E,"精簡")</f>
        <v/>
      </c>
      <c r="J375" s="10">
        <f>D375+E375+F375+G375+H375+I375</f>
        <v/>
      </c>
    </row>
    <row r="376" ht="18" customHeight="1">
      <c r="A376" s="6" t="inlineStr">
        <is>
          <t>B006</t>
        </is>
      </c>
      <c r="B376" s="5" t="inlineStr">
        <is>
          <t>第六組</t>
        </is>
      </c>
      <c r="C376" s="6" t="n">
        <v>119</v>
      </c>
      <c r="D376" s="10">
        <f>J375</f>
        <v/>
      </c>
      <c r="E376" s="4">
        <f>SUMIFS('01_異動主檔'!$F:$F,'01_異動主檔'!$B:$B,119,'01_異動主檔'!$D:$D,B376,'01_異動主檔'!$E:$E,"移入")</f>
        <v/>
      </c>
      <c r="F376" s="4">
        <f>-SUMIFS('01_異動主檔'!$F:$F,'01_異動主檔'!$B:$B,119,'01_異動主檔'!$D:$D,B376,'01_異動主檔'!$E:$E,"移出")</f>
        <v/>
      </c>
      <c r="G376" s="4">
        <f>SUMIFS('01_異動主檔'!$F:$F,'01_異動主檔'!$B:$B,119,'01_異動主檔'!$D:$D,B376,'01_異動主檔'!$E:$E,"新增")</f>
        <v/>
      </c>
      <c r="H376" s="4">
        <f>-SUMIFS('01_異動主檔'!$F:$F,'01_異動主檔'!$B:$B,119,'01_異動主檔'!$D:$D,B376,'01_異動主檔'!$E:$E,"減列")</f>
        <v/>
      </c>
      <c r="I376" s="4">
        <f>-SUMIFS('01_異動主檔'!$F:$F,'01_異動主檔'!$B:$B,119,'01_異動主檔'!$D:$D,B376,'01_異動主檔'!$E:$E,"精簡")</f>
        <v/>
      </c>
      <c r="J376" s="10">
        <f>D376+E376+F376+G376+H376+I376</f>
        <v/>
      </c>
    </row>
    <row r="377" ht="18" customHeight="1">
      <c r="A377" s="4" t="inlineStr">
        <is>
          <t>B006</t>
        </is>
      </c>
      <c r="B377" s="3" t="inlineStr">
        <is>
          <t>第六組</t>
        </is>
      </c>
      <c r="C377" s="4" t="n">
        <v>120</v>
      </c>
      <c r="D377" s="10">
        <f>J376</f>
        <v/>
      </c>
      <c r="E377" s="4">
        <f>SUMIFS('01_異動主檔'!$F:$F,'01_異動主檔'!$B:$B,120,'01_異動主檔'!$D:$D,B377,'01_異動主檔'!$E:$E,"移入")</f>
        <v/>
      </c>
      <c r="F377" s="4">
        <f>-SUMIFS('01_異動主檔'!$F:$F,'01_異動主檔'!$B:$B,120,'01_異動主檔'!$D:$D,B377,'01_異動主檔'!$E:$E,"移出")</f>
        <v/>
      </c>
      <c r="G377" s="4">
        <f>SUMIFS('01_異動主檔'!$F:$F,'01_異動主檔'!$B:$B,120,'01_異動主檔'!$D:$D,B377,'01_異動主檔'!$E:$E,"新增")</f>
        <v/>
      </c>
      <c r="H377" s="4">
        <f>-SUMIFS('01_異動主檔'!$F:$F,'01_異動主檔'!$B:$B,120,'01_異動主檔'!$D:$D,B377,'01_異動主檔'!$E:$E,"減列")</f>
        <v/>
      </c>
      <c r="I377" s="4">
        <f>-SUMIFS('01_異動主檔'!$F:$F,'01_異動主檔'!$B:$B,120,'01_異動主檔'!$D:$D,B377,'01_異動主檔'!$E:$E,"精簡")</f>
        <v/>
      </c>
      <c r="J377" s="10">
        <f>D377+E377+F377+G377+H377+I377</f>
        <v/>
      </c>
    </row>
    <row r="378" ht="18" customHeight="1">
      <c r="A378" s="6" t="inlineStr">
        <is>
          <t>B006</t>
        </is>
      </c>
      <c r="B378" s="5" t="inlineStr">
        <is>
          <t>第六組</t>
        </is>
      </c>
      <c r="C378" s="6" t="n">
        <v>121</v>
      </c>
      <c r="D378" s="10">
        <f>J377</f>
        <v/>
      </c>
      <c r="E378" s="4">
        <f>SUMIFS('01_異動主檔'!$F:$F,'01_異動主檔'!$B:$B,121,'01_異動主檔'!$D:$D,B378,'01_異動主檔'!$E:$E,"移入")</f>
        <v/>
      </c>
      <c r="F378" s="4">
        <f>-SUMIFS('01_異動主檔'!$F:$F,'01_異動主檔'!$B:$B,121,'01_異動主檔'!$D:$D,B378,'01_異動主檔'!$E:$E,"移出")</f>
        <v/>
      </c>
      <c r="G378" s="4">
        <f>SUMIFS('01_異動主檔'!$F:$F,'01_異動主檔'!$B:$B,121,'01_異動主檔'!$D:$D,B378,'01_異動主檔'!$E:$E,"新增")</f>
        <v/>
      </c>
      <c r="H378" s="4">
        <f>-SUMIFS('01_異動主檔'!$F:$F,'01_異動主檔'!$B:$B,121,'01_異動主檔'!$D:$D,B378,'01_異動主檔'!$E:$E,"減列")</f>
        <v/>
      </c>
      <c r="I378" s="4">
        <f>-SUMIFS('01_異動主檔'!$F:$F,'01_異動主檔'!$B:$B,121,'01_異動主檔'!$D:$D,B378,'01_異動主檔'!$E:$E,"精簡")</f>
        <v/>
      </c>
      <c r="J378" s="10">
        <f>D378+E378+F378+G378+H378+I378</f>
        <v/>
      </c>
    </row>
    <row r="379" ht="18" customHeight="1">
      <c r="A379" s="4" t="inlineStr">
        <is>
          <t>B006</t>
        </is>
      </c>
      <c r="B379" s="3" t="inlineStr">
        <is>
          <t>第六組</t>
        </is>
      </c>
      <c r="C379" s="4" t="n">
        <v>122</v>
      </c>
      <c r="D379" s="10">
        <f>J378</f>
        <v/>
      </c>
      <c r="E379" s="4">
        <f>SUMIFS('01_異動主檔'!$F:$F,'01_異動主檔'!$B:$B,122,'01_異動主檔'!$D:$D,B379,'01_異動主檔'!$E:$E,"移入")</f>
        <v/>
      </c>
      <c r="F379" s="4">
        <f>-SUMIFS('01_異動主檔'!$F:$F,'01_異動主檔'!$B:$B,122,'01_異動主檔'!$D:$D,B379,'01_異動主檔'!$E:$E,"移出")</f>
        <v/>
      </c>
      <c r="G379" s="4">
        <f>SUMIFS('01_異動主檔'!$F:$F,'01_異動主檔'!$B:$B,122,'01_異動主檔'!$D:$D,B379,'01_異動主檔'!$E:$E,"新增")</f>
        <v/>
      </c>
      <c r="H379" s="4">
        <f>-SUMIFS('01_異動主檔'!$F:$F,'01_異動主檔'!$B:$B,122,'01_異動主檔'!$D:$D,B379,'01_異動主檔'!$E:$E,"減列")</f>
        <v/>
      </c>
      <c r="I379" s="4">
        <f>-SUMIFS('01_異動主檔'!$F:$F,'01_異動主檔'!$B:$B,122,'01_異動主檔'!$D:$D,B379,'01_異動主檔'!$E:$E,"精簡")</f>
        <v/>
      </c>
      <c r="J379" s="10">
        <f>D379+E379+F379+G379+H379+I379</f>
        <v/>
      </c>
    </row>
    <row r="380" ht="18" customHeight="1">
      <c r="A380" s="6" t="inlineStr">
        <is>
          <t>B006</t>
        </is>
      </c>
      <c r="B380" s="5" t="inlineStr">
        <is>
          <t>第六組</t>
        </is>
      </c>
      <c r="C380" s="6" t="n">
        <v>123</v>
      </c>
      <c r="D380" s="10">
        <f>J379</f>
        <v/>
      </c>
      <c r="E380" s="4">
        <f>SUMIFS('01_異動主檔'!$F:$F,'01_異動主檔'!$B:$B,123,'01_異動主檔'!$D:$D,B380,'01_異動主檔'!$E:$E,"移入")</f>
        <v/>
      </c>
      <c r="F380" s="4">
        <f>-SUMIFS('01_異動主檔'!$F:$F,'01_異動主檔'!$B:$B,123,'01_異動主檔'!$D:$D,B380,'01_異動主檔'!$E:$E,"移出")</f>
        <v/>
      </c>
      <c r="G380" s="4">
        <f>SUMIFS('01_異動主檔'!$F:$F,'01_異動主檔'!$B:$B,123,'01_異動主檔'!$D:$D,B380,'01_異動主檔'!$E:$E,"新增")</f>
        <v/>
      </c>
      <c r="H380" s="4">
        <f>-SUMIFS('01_異動主檔'!$F:$F,'01_異動主檔'!$B:$B,123,'01_異動主檔'!$D:$D,B380,'01_異動主檔'!$E:$E,"減列")</f>
        <v/>
      </c>
      <c r="I380" s="4">
        <f>-SUMIFS('01_異動主檔'!$F:$F,'01_異動主檔'!$B:$B,123,'01_異動主檔'!$D:$D,B380,'01_異動主檔'!$E:$E,"精簡")</f>
        <v/>
      </c>
      <c r="J380" s="10">
        <f>D380+E380+F380+G380+H380+I380</f>
        <v/>
      </c>
    </row>
    <row r="381" ht="18" customHeight="1">
      <c r="A381" s="4" t="inlineStr">
        <is>
          <t>B006</t>
        </is>
      </c>
      <c r="B381" s="3" t="inlineStr">
        <is>
          <t>第六組</t>
        </is>
      </c>
      <c r="C381" s="4" t="n">
        <v>124</v>
      </c>
      <c r="D381" s="10">
        <f>J380</f>
        <v/>
      </c>
      <c r="E381" s="4">
        <f>SUMIFS('01_異動主檔'!$F:$F,'01_異動主檔'!$B:$B,124,'01_異動主檔'!$D:$D,B381,'01_異動主檔'!$E:$E,"移入")</f>
        <v/>
      </c>
      <c r="F381" s="4">
        <f>-SUMIFS('01_異動主檔'!$F:$F,'01_異動主檔'!$B:$B,124,'01_異動主檔'!$D:$D,B381,'01_異動主檔'!$E:$E,"移出")</f>
        <v/>
      </c>
      <c r="G381" s="4">
        <f>SUMIFS('01_異動主檔'!$F:$F,'01_異動主檔'!$B:$B,124,'01_異動主檔'!$D:$D,B381,'01_異動主檔'!$E:$E,"新增")</f>
        <v/>
      </c>
      <c r="H381" s="4">
        <f>-SUMIFS('01_異動主檔'!$F:$F,'01_異動主檔'!$B:$B,124,'01_異動主檔'!$D:$D,B381,'01_異動主檔'!$E:$E,"減列")</f>
        <v/>
      </c>
      <c r="I381" s="4">
        <f>-SUMIFS('01_異動主檔'!$F:$F,'01_異動主檔'!$B:$B,124,'01_異動主檔'!$D:$D,B381,'01_異動主檔'!$E:$E,"精簡")</f>
        <v/>
      </c>
      <c r="J381" s="10">
        <f>D381+E381+F381+G381+H381+I381</f>
        <v/>
      </c>
    </row>
    <row r="382" ht="18" customHeight="1">
      <c r="A382" s="6" t="inlineStr">
        <is>
          <t>B006</t>
        </is>
      </c>
      <c r="B382" s="5" t="inlineStr">
        <is>
          <t>第六組</t>
        </is>
      </c>
      <c r="C382" s="6" t="n">
        <v>125</v>
      </c>
      <c r="D382" s="10">
        <f>J381</f>
        <v/>
      </c>
      <c r="E382" s="4">
        <f>SUMIFS('01_異動主檔'!$F:$F,'01_異動主檔'!$B:$B,125,'01_異動主檔'!$D:$D,B382,'01_異動主檔'!$E:$E,"移入")</f>
        <v/>
      </c>
      <c r="F382" s="4">
        <f>-SUMIFS('01_異動主檔'!$F:$F,'01_異動主檔'!$B:$B,125,'01_異動主檔'!$D:$D,B382,'01_異動主檔'!$E:$E,"移出")</f>
        <v/>
      </c>
      <c r="G382" s="4">
        <f>SUMIFS('01_異動主檔'!$F:$F,'01_異動主檔'!$B:$B,125,'01_異動主檔'!$D:$D,B382,'01_異動主檔'!$E:$E,"新增")</f>
        <v/>
      </c>
      <c r="H382" s="4">
        <f>-SUMIFS('01_異動主檔'!$F:$F,'01_異動主檔'!$B:$B,125,'01_異動主檔'!$D:$D,B382,'01_異動主檔'!$E:$E,"減列")</f>
        <v/>
      </c>
      <c r="I382" s="4">
        <f>-SUMIFS('01_異動主檔'!$F:$F,'01_異動主檔'!$B:$B,125,'01_異動主檔'!$D:$D,B382,'01_異動主檔'!$E:$E,"精簡")</f>
        <v/>
      </c>
      <c r="J382" s="10">
        <f>D382+E382+F382+G382+H382+I382</f>
        <v/>
      </c>
    </row>
    <row r="383" ht="18" customHeight="1">
      <c r="A383" s="4" t="inlineStr">
        <is>
          <t>B007</t>
        </is>
      </c>
      <c r="B383" s="3" t="inlineStr">
        <is>
          <t>第七組</t>
        </is>
      </c>
      <c r="C383" s="4" t="n">
        <v>99</v>
      </c>
      <c r="D383" s="10">
        <f>'02_年初員額設定'!C19</f>
        <v/>
      </c>
      <c r="E383" s="4">
        <f>SUMIFS('01_異動主檔'!$F:$F,'01_異動主檔'!$B:$B,99,'01_異動主檔'!$D:$D,B383,'01_異動主檔'!$E:$E,"移入")</f>
        <v/>
      </c>
      <c r="F383" s="4">
        <f>-SUMIFS('01_異動主檔'!$F:$F,'01_異動主檔'!$B:$B,99,'01_異動主檔'!$D:$D,B383,'01_異動主檔'!$E:$E,"移出")</f>
        <v/>
      </c>
      <c r="G383" s="4">
        <f>SUMIFS('01_異動主檔'!$F:$F,'01_異動主檔'!$B:$B,99,'01_異動主檔'!$D:$D,B383,'01_異動主檔'!$E:$E,"新增")</f>
        <v/>
      </c>
      <c r="H383" s="4">
        <f>-SUMIFS('01_異動主檔'!$F:$F,'01_異動主檔'!$B:$B,99,'01_異動主檔'!$D:$D,B383,'01_異動主檔'!$E:$E,"減列")</f>
        <v/>
      </c>
      <c r="I383" s="4">
        <f>-SUMIFS('01_異動主檔'!$F:$F,'01_異動主檔'!$B:$B,99,'01_異動主檔'!$D:$D,B383,'01_異動主檔'!$E:$E,"精簡")</f>
        <v/>
      </c>
      <c r="J383" s="10">
        <f>D383+E383+F383+G383+H383+I383</f>
        <v/>
      </c>
    </row>
    <row r="384" ht="18" customHeight="1">
      <c r="A384" s="6" t="inlineStr">
        <is>
          <t>B007</t>
        </is>
      </c>
      <c r="B384" s="5" t="inlineStr">
        <is>
          <t>第七組</t>
        </is>
      </c>
      <c r="C384" s="6" t="n">
        <v>100</v>
      </c>
      <c r="D384" s="10">
        <f>J383</f>
        <v/>
      </c>
      <c r="E384" s="4">
        <f>SUMIFS('01_異動主檔'!$F:$F,'01_異動主檔'!$B:$B,100,'01_異動主檔'!$D:$D,B384,'01_異動主檔'!$E:$E,"移入")</f>
        <v/>
      </c>
      <c r="F384" s="4">
        <f>-SUMIFS('01_異動主檔'!$F:$F,'01_異動主檔'!$B:$B,100,'01_異動主檔'!$D:$D,B384,'01_異動主檔'!$E:$E,"移出")</f>
        <v/>
      </c>
      <c r="G384" s="4">
        <f>SUMIFS('01_異動主檔'!$F:$F,'01_異動主檔'!$B:$B,100,'01_異動主檔'!$D:$D,B384,'01_異動主檔'!$E:$E,"新增")</f>
        <v/>
      </c>
      <c r="H384" s="4">
        <f>-SUMIFS('01_異動主檔'!$F:$F,'01_異動主檔'!$B:$B,100,'01_異動主檔'!$D:$D,B384,'01_異動主檔'!$E:$E,"減列")</f>
        <v/>
      </c>
      <c r="I384" s="4">
        <f>-SUMIFS('01_異動主檔'!$F:$F,'01_異動主檔'!$B:$B,100,'01_異動主檔'!$D:$D,B384,'01_異動主檔'!$E:$E,"精簡")</f>
        <v/>
      </c>
      <c r="J384" s="10">
        <f>D384+E384+F384+G384+H384+I384</f>
        <v/>
      </c>
    </row>
    <row r="385" ht="18" customHeight="1">
      <c r="A385" s="4" t="inlineStr">
        <is>
          <t>B007</t>
        </is>
      </c>
      <c r="B385" s="3" t="inlineStr">
        <is>
          <t>第七組</t>
        </is>
      </c>
      <c r="C385" s="4" t="n">
        <v>101</v>
      </c>
      <c r="D385" s="10">
        <f>J384</f>
        <v/>
      </c>
      <c r="E385" s="4">
        <f>SUMIFS('01_異動主檔'!$F:$F,'01_異動主檔'!$B:$B,101,'01_異動主檔'!$D:$D,B385,'01_異動主檔'!$E:$E,"移入")</f>
        <v/>
      </c>
      <c r="F385" s="4">
        <f>-SUMIFS('01_異動主檔'!$F:$F,'01_異動主檔'!$B:$B,101,'01_異動主檔'!$D:$D,B385,'01_異動主檔'!$E:$E,"移出")</f>
        <v/>
      </c>
      <c r="G385" s="4">
        <f>SUMIFS('01_異動主檔'!$F:$F,'01_異動主檔'!$B:$B,101,'01_異動主檔'!$D:$D,B385,'01_異動主檔'!$E:$E,"新增")</f>
        <v/>
      </c>
      <c r="H385" s="4">
        <f>-SUMIFS('01_異動主檔'!$F:$F,'01_異動主檔'!$B:$B,101,'01_異動主檔'!$D:$D,B385,'01_異動主檔'!$E:$E,"減列")</f>
        <v/>
      </c>
      <c r="I385" s="4">
        <f>-SUMIFS('01_異動主檔'!$F:$F,'01_異動主檔'!$B:$B,101,'01_異動主檔'!$D:$D,B385,'01_異動主檔'!$E:$E,"精簡")</f>
        <v/>
      </c>
      <c r="J385" s="10">
        <f>D385+E385+F385+G385+H385+I385</f>
        <v/>
      </c>
    </row>
    <row r="386" ht="18" customHeight="1">
      <c r="A386" s="6" t="inlineStr">
        <is>
          <t>B007</t>
        </is>
      </c>
      <c r="B386" s="5" t="inlineStr">
        <is>
          <t>第七組</t>
        </is>
      </c>
      <c r="C386" s="6" t="n">
        <v>102</v>
      </c>
      <c r="D386" s="10">
        <f>J385</f>
        <v/>
      </c>
      <c r="E386" s="4">
        <f>SUMIFS('01_異動主檔'!$F:$F,'01_異動主檔'!$B:$B,102,'01_異動主檔'!$D:$D,B386,'01_異動主檔'!$E:$E,"移入")</f>
        <v/>
      </c>
      <c r="F386" s="4">
        <f>-SUMIFS('01_異動主檔'!$F:$F,'01_異動主檔'!$B:$B,102,'01_異動主檔'!$D:$D,B386,'01_異動主檔'!$E:$E,"移出")</f>
        <v/>
      </c>
      <c r="G386" s="4">
        <f>SUMIFS('01_異動主檔'!$F:$F,'01_異動主檔'!$B:$B,102,'01_異動主檔'!$D:$D,B386,'01_異動主檔'!$E:$E,"新增")</f>
        <v/>
      </c>
      <c r="H386" s="4">
        <f>-SUMIFS('01_異動主檔'!$F:$F,'01_異動主檔'!$B:$B,102,'01_異動主檔'!$D:$D,B386,'01_異動主檔'!$E:$E,"減列")</f>
        <v/>
      </c>
      <c r="I386" s="4">
        <f>-SUMIFS('01_異動主檔'!$F:$F,'01_異動主檔'!$B:$B,102,'01_異動主檔'!$D:$D,B386,'01_異動主檔'!$E:$E,"精簡")</f>
        <v/>
      </c>
      <c r="J386" s="10">
        <f>D386+E386+F386+G386+H386+I386</f>
        <v/>
      </c>
    </row>
    <row r="387" ht="18" customHeight="1">
      <c r="A387" s="4" t="inlineStr">
        <is>
          <t>B007</t>
        </is>
      </c>
      <c r="B387" s="3" t="inlineStr">
        <is>
          <t>第七組</t>
        </is>
      </c>
      <c r="C387" s="4" t="n">
        <v>103</v>
      </c>
      <c r="D387" s="10">
        <f>J386</f>
        <v/>
      </c>
      <c r="E387" s="4">
        <f>SUMIFS('01_異動主檔'!$F:$F,'01_異動主檔'!$B:$B,103,'01_異動主檔'!$D:$D,B387,'01_異動主檔'!$E:$E,"移入")</f>
        <v/>
      </c>
      <c r="F387" s="4">
        <f>-SUMIFS('01_異動主檔'!$F:$F,'01_異動主檔'!$B:$B,103,'01_異動主檔'!$D:$D,B387,'01_異動主檔'!$E:$E,"移出")</f>
        <v/>
      </c>
      <c r="G387" s="4">
        <f>SUMIFS('01_異動主檔'!$F:$F,'01_異動主檔'!$B:$B,103,'01_異動主檔'!$D:$D,B387,'01_異動主檔'!$E:$E,"新增")</f>
        <v/>
      </c>
      <c r="H387" s="4">
        <f>-SUMIFS('01_異動主檔'!$F:$F,'01_異動主檔'!$B:$B,103,'01_異動主檔'!$D:$D,B387,'01_異動主檔'!$E:$E,"減列")</f>
        <v/>
      </c>
      <c r="I387" s="4">
        <f>-SUMIFS('01_異動主檔'!$F:$F,'01_異動主檔'!$B:$B,103,'01_異動主檔'!$D:$D,B387,'01_異動主檔'!$E:$E,"精簡")</f>
        <v/>
      </c>
      <c r="J387" s="10">
        <f>D387+E387+F387+G387+H387+I387</f>
        <v/>
      </c>
    </row>
    <row r="388" ht="18" customHeight="1">
      <c r="A388" s="6" t="inlineStr">
        <is>
          <t>B007</t>
        </is>
      </c>
      <c r="B388" s="5" t="inlineStr">
        <is>
          <t>第七組</t>
        </is>
      </c>
      <c r="C388" s="6" t="n">
        <v>104</v>
      </c>
      <c r="D388" s="10">
        <f>J387</f>
        <v/>
      </c>
      <c r="E388" s="4">
        <f>SUMIFS('01_異動主檔'!$F:$F,'01_異動主檔'!$B:$B,104,'01_異動主檔'!$D:$D,B388,'01_異動主檔'!$E:$E,"移入")</f>
        <v/>
      </c>
      <c r="F388" s="4">
        <f>-SUMIFS('01_異動主檔'!$F:$F,'01_異動主檔'!$B:$B,104,'01_異動主檔'!$D:$D,B388,'01_異動主檔'!$E:$E,"移出")</f>
        <v/>
      </c>
      <c r="G388" s="4">
        <f>SUMIFS('01_異動主檔'!$F:$F,'01_異動主檔'!$B:$B,104,'01_異動主檔'!$D:$D,B388,'01_異動主檔'!$E:$E,"新增")</f>
        <v/>
      </c>
      <c r="H388" s="4">
        <f>-SUMIFS('01_異動主檔'!$F:$F,'01_異動主檔'!$B:$B,104,'01_異動主檔'!$D:$D,B388,'01_異動主檔'!$E:$E,"減列")</f>
        <v/>
      </c>
      <c r="I388" s="4">
        <f>-SUMIFS('01_異動主檔'!$F:$F,'01_異動主檔'!$B:$B,104,'01_異動主檔'!$D:$D,B388,'01_異動主檔'!$E:$E,"精簡")</f>
        <v/>
      </c>
      <c r="J388" s="10">
        <f>D388+E388+F388+G388+H388+I388</f>
        <v/>
      </c>
    </row>
    <row r="389" ht="18" customHeight="1">
      <c r="A389" s="4" t="inlineStr">
        <is>
          <t>B007</t>
        </is>
      </c>
      <c r="B389" s="3" t="inlineStr">
        <is>
          <t>第七組</t>
        </is>
      </c>
      <c r="C389" s="4" t="n">
        <v>105</v>
      </c>
      <c r="D389" s="10">
        <f>J388</f>
        <v/>
      </c>
      <c r="E389" s="4">
        <f>SUMIFS('01_異動主檔'!$F:$F,'01_異動主檔'!$B:$B,105,'01_異動主檔'!$D:$D,B389,'01_異動主檔'!$E:$E,"移入")</f>
        <v/>
      </c>
      <c r="F389" s="4">
        <f>-SUMIFS('01_異動主檔'!$F:$F,'01_異動主檔'!$B:$B,105,'01_異動主檔'!$D:$D,B389,'01_異動主檔'!$E:$E,"移出")</f>
        <v/>
      </c>
      <c r="G389" s="4">
        <f>SUMIFS('01_異動主檔'!$F:$F,'01_異動主檔'!$B:$B,105,'01_異動主檔'!$D:$D,B389,'01_異動主檔'!$E:$E,"新增")</f>
        <v/>
      </c>
      <c r="H389" s="4">
        <f>-SUMIFS('01_異動主檔'!$F:$F,'01_異動主檔'!$B:$B,105,'01_異動主檔'!$D:$D,B389,'01_異動主檔'!$E:$E,"減列")</f>
        <v/>
      </c>
      <c r="I389" s="4">
        <f>-SUMIFS('01_異動主檔'!$F:$F,'01_異動主檔'!$B:$B,105,'01_異動主檔'!$D:$D,B389,'01_異動主檔'!$E:$E,"精簡")</f>
        <v/>
      </c>
      <c r="J389" s="10">
        <f>D389+E389+F389+G389+H389+I389</f>
        <v/>
      </c>
    </row>
    <row r="390" ht="18" customHeight="1">
      <c r="A390" s="6" t="inlineStr">
        <is>
          <t>B007</t>
        </is>
      </c>
      <c r="B390" s="5" t="inlineStr">
        <is>
          <t>第七組</t>
        </is>
      </c>
      <c r="C390" s="6" t="n">
        <v>106</v>
      </c>
      <c r="D390" s="10">
        <f>J389</f>
        <v/>
      </c>
      <c r="E390" s="4">
        <f>SUMIFS('01_異動主檔'!$F:$F,'01_異動主檔'!$B:$B,106,'01_異動主檔'!$D:$D,B390,'01_異動主檔'!$E:$E,"移入")</f>
        <v/>
      </c>
      <c r="F390" s="4">
        <f>-SUMIFS('01_異動主檔'!$F:$F,'01_異動主檔'!$B:$B,106,'01_異動主檔'!$D:$D,B390,'01_異動主檔'!$E:$E,"移出")</f>
        <v/>
      </c>
      <c r="G390" s="4">
        <f>SUMIFS('01_異動主檔'!$F:$F,'01_異動主檔'!$B:$B,106,'01_異動主檔'!$D:$D,B390,'01_異動主檔'!$E:$E,"新增")</f>
        <v/>
      </c>
      <c r="H390" s="4">
        <f>-SUMIFS('01_異動主檔'!$F:$F,'01_異動主檔'!$B:$B,106,'01_異動主檔'!$D:$D,B390,'01_異動主檔'!$E:$E,"減列")</f>
        <v/>
      </c>
      <c r="I390" s="4">
        <f>-SUMIFS('01_異動主檔'!$F:$F,'01_異動主檔'!$B:$B,106,'01_異動主檔'!$D:$D,B390,'01_異動主檔'!$E:$E,"精簡")</f>
        <v/>
      </c>
      <c r="J390" s="10">
        <f>D390+E390+F390+G390+H390+I390</f>
        <v/>
      </c>
    </row>
    <row r="391" ht="18" customHeight="1">
      <c r="A391" s="4" t="inlineStr">
        <is>
          <t>B007</t>
        </is>
      </c>
      <c r="B391" s="3" t="inlineStr">
        <is>
          <t>第七組</t>
        </is>
      </c>
      <c r="C391" s="4" t="n">
        <v>107</v>
      </c>
      <c r="D391" s="10">
        <f>J390</f>
        <v/>
      </c>
      <c r="E391" s="4">
        <f>SUMIFS('01_異動主檔'!$F:$F,'01_異動主檔'!$B:$B,107,'01_異動主檔'!$D:$D,B391,'01_異動主檔'!$E:$E,"移入")</f>
        <v/>
      </c>
      <c r="F391" s="4">
        <f>-SUMIFS('01_異動主檔'!$F:$F,'01_異動主檔'!$B:$B,107,'01_異動主檔'!$D:$D,B391,'01_異動主檔'!$E:$E,"移出")</f>
        <v/>
      </c>
      <c r="G391" s="4">
        <f>SUMIFS('01_異動主檔'!$F:$F,'01_異動主檔'!$B:$B,107,'01_異動主檔'!$D:$D,B391,'01_異動主檔'!$E:$E,"新增")</f>
        <v/>
      </c>
      <c r="H391" s="4">
        <f>-SUMIFS('01_異動主檔'!$F:$F,'01_異動主檔'!$B:$B,107,'01_異動主檔'!$D:$D,B391,'01_異動主檔'!$E:$E,"減列")</f>
        <v/>
      </c>
      <c r="I391" s="4">
        <f>-SUMIFS('01_異動主檔'!$F:$F,'01_異動主檔'!$B:$B,107,'01_異動主檔'!$D:$D,B391,'01_異動主檔'!$E:$E,"精簡")</f>
        <v/>
      </c>
      <c r="J391" s="10">
        <f>D391+E391+F391+G391+H391+I391</f>
        <v/>
      </c>
    </row>
    <row r="392" ht="18" customHeight="1">
      <c r="A392" s="6" t="inlineStr">
        <is>
          <t>B007</t>
        </is>
      </c>
      <c r="B392" s="5" t="inlineStr">
        <is>
          <t>第七組</t>
        </is>
      </c>
      <c r="C392" s="6" t="n">
        <v>108</v>
      </c>
      <c r="D392" s="10">
        <f>J391</f>
        <v/>
      </c>
      <c r="E392" s="4">
        <f>SUMIFS('01_異動主檔'!$F:$F,'01_異動主檔'!$B:$B,108,'01_異動主檔'!$D:$D,B392,'01_異動主檔'!$E:$E,"移入")</f>
        <v/>
      </c>
      <c r="F392" s="4">
        <f>-SUMIFS('01_異動主檔'!$F:$F,'01_異動主檔'!$B:$B,108,'01_異動主檔'!$D:$D,B392,'01_異動主檔'!$E:$E,"移出")</f>
        <v/>
      </c>
      <c r="G392" s="4">
        <f>SUMIFS('01_異動主檔'!$F:$F,'01_異動主檔'!$B:$B,108,'01_異動主檔'!$D:$D,B392,'01_異動主檔'!$E:$E,"新增")</f>
        <v/>
      </c>
      <c r="H392" s="4">
        <f>-SUMIFS('01_異動主檔'!$F:$F,'01_異動主檔'!$B:$B,108,'01_異動主檔'!$D:$D,B392,'01_異動主檔'!$E:$E,"減列")</f>
        <v/>
      </c>
      <c r="I392" s="4">
        <f>-SUMIFS('01_異動主檔'!$F:$F,'01_異動主檔'!$B:$B,108,'01_異動主檔'!$D:$D,B392,'01_異動主檔'!$E:$E,"精簡")</f>
        <v/>
      </c>
      <c r="J392" s="10">
        <f>D392+E392+F392+G392+H392+I392</f>
        <v/>
      </c>
    </row>
    <row r="393" ht="18" customHeight="1">
      <c r="A393" s="4" t="inlineStr">
        <is>
          <t>B007</t>
        </is>
      </c>
      <c r="B393" s="3" t="inlineStr">
        <is>
          <t>第七組</t>
        </is>
      </c>
      <c r="C393" s="4" t="n">
        <v>109</v>
      </c>
      <c r="D393" s="10">
        <f>J392</f>
        <v/>
      </c>
      <c r="E393" s="4">
        <f>SUMIFS('01_異動主檔'!$F:$F,'01_異動主檔'!$B:$B,109,'01_異動主檔'!$D:$D,B393,'01_異動主檔'!$E:$E,"移入")</f>
        <v/>
      </c>
      <c r="F393" s="4">
        <f>-SUMIFS('01_異動主檔'!$F:$F,'01_異動主檔'!$B:$B,109,'01_異動主檔'!$D:$D,B393,'01_異動主檔'!$E:$E,"移出")</f>
        <v/>
      </c>
      <c r="G393" s="4">
        <f>SUMIFS('01_異動主檔'!$F:$F,'01_異動主檔'!$B:$B,109,'01_異動主檔'!$D:$D,B393,'01_異動主檔'!$E:$E,"新增")</f>
        <v/>
      </c>
      <c r="H393" s="4">
        <f>-SUMIFS('01_異動主檔'!$F:$F,'01_異動主檔'!$B:$B,109,'01_異動主檔'!$D:$D,B393,'01_異動主檔'!$E:$E,"減列")</f>
        <v/>
      </c>
      <c r="I393" s="4">
        <f>-SUMIFS('01_異動主檔'!$F:$F,'01_異動主檔'!$B:$B,109,'01_異動主檔'!$D:$D,B393,'01_異動主檔'!$E:$E,"精簡")</f>
        <v/>
      </c>
      <c r="J393" s="10">
        <f>D393+E393+F393+G393+H393+I393</f>
        <v/>
      </c>
    </row>
    <row r="394" ht="18" customHeight="1">
      <c r="A394" s="6" t="inlineStr">
        <is>
          <t>B007</t>
        </is>
      </c>
      <c r="B394" s="5" t="inlineStr">
        <is>
          <t>第七組</t>
        </is>
      </c>
      <c r="C394" s="6" t="n">
        <v>110</v>
      </c>
      <c r="D394" s="10">
        <f>J393</f>
        <v/>
      </c>
      <c r="E394" s="4">
        <f>SUMIFS('01_異動主檔'!$F:$F,'01_異動主檔'!$B:$B,110,'01_異動主檔'!$D:$D,B394,'01_異動主檔'!$E:$E,"移入")</f>
        <v/>
      </c>
      <c r="F394" s="4">
        <f>-SUMIFS('01_異動主檔'!$F:$F,'01_異動主檔'!$B:$B,110,'01_異動主檔'!$D:$D,B394,'01_異動主檔'!$E:$E,"移出")</f>
        <v/>
      </c>
      <c r="G394" s="4">
        <f>SUMIFS('01_異動主檔'!$F:$F,'01_異動主檔'!$B:$B,110,'01_異動主檔'!$D:$D,B394,'01_異動主檔'!$E:$E,"新增")</f>
        <v/>
      </c>
      <c r="H394" s="4">
        <f>-SUMIFS('01_異動主檔'!$F:$F,'01_異動主檔'!$B:$B,110,'01_異動主檔'!$D:$D,B394,'01_異動主檔'!$E:$E,"減列")</f>
        <v/>
      </c>
      <c r="I394" s="4">
        <f>-SUMIFS('01_異動主檔'!$F:$F,'01_異動主檔'!$B:$B,110,'01_異動主檔'!$D:$D,B394,'01_異動主檔'!$E:$E,"精簡")</f>
        <v/>
      </c>
      <c r="J394" s="10">
        <f>D394+E394+F394+G394+H394+I394</f>
        <v/>
      </c>
    </row>
    <row r="395" ht="18" customHeight="1">
      <c r="A395" s="4" t="inlineStr">
        <is>
          <t>B007</t>
        </is>
      </c>
      <c r="B395" s="3" t="inlineStr">
        <is>
          <t>第七組</t>
        </is>
      </c>
      <c r="C395" s="4" t="n">
        <v>111</v>
      </c>
      <c r="D395" s="10">
        <f>J394</f>
        <v/>
      </c>
      <c r="E395" s="4">
        <f>SUMIFS('01_異動主檔'!$F:$F,'01_異動主檔'!$B:$B,111,'01_異動主檔'!$D:$D,B395,'01_異動主檔'!$E:$E,"移入")</f>
        <v/>
      </c>
      <c r="F395" s="4">
        <f>-SUMIFS('01_異動主檔'!$F:$F,'01_異動主檔'!$B:$B,111,'01_異動主檔'!$D:$D,B395,'01_異動主檔'!$E:$E,"移出")</f>
        <v/>
      </c>
      <c r="G395" s="4">
        <f>SUMIFS('01_異動主檔'!$F:$F,'01_異動主檔'!$B:$B,111,'01_異動主檔'!$D:$D,B395,'01_異動主檔'!$E:$E,"新增")</f>
        <v/>
      </c>
      <c r="H395" s="4">
        <f>-SUMIFS('01_異動主檔'!$F:$F,'01_異動主檔'!$B:$B,111,'01_異動主檔'!$D:$D,B395,'01_異動主檔'!$E:$E,"減列")</f>
        <v/>
      </c>
      <c r="I395" s="4">
        <f>-SUMIFS('01_異動主檔'!$F:$F,'01_異動主檔'!$B:$B,111,'01_異動主檔'!$D:$D,B395,'01_異動主檔'!$E:$E,"精簡")</f>
        <v/>
      </c>
      <c r="J395" s="10">
        <f>D395+E395+F395+G395+H395+I395</f>
        <v/>
      </c>
    </row>
    <row r="396" ht="18" customHeight="1">
      <c r="A396" s="6" t="inlineStr">
        <is>
          <t>B007</t>
        </is>
      </c>
      <c r="B396" s="5" t="inlineStr">
        <is>
          <t>第七組</t>
        </is>
      </c>
      <c r="C396" s="6" t="n">
        <v>112</v>
      </c>
      <c r="D396" s="10">
        <f>J395</f>
        <v/>
      </c>
      <c r="E396" s="4">
        <f>SUMIFS('01_異動主檔'!$F:$F,'01_異動主檔'!$B:$B,112,'01_異動主檔'!$D:$D,B396,'01_異動主檔'!$E:$E,"移入")</f>
        <v/>
      </c>
      <c r="F396" s="4">
        <f>-SUMIFS('01_異動主檔'!$F:$F,'01_異動主檔'!$B:$B,112,'01_異動主檔'!$D:$D,B396,'01_異動主檔'!$E:$E,"移出")</f>
        <v/>
      </c>
      <c r="G396" s="4">
        <f>SUMIFS('01_異動主檔'!$F:$F,'01_異動主檔'!$B:$B,112,'01_異動主檔'!$D:$D,B396,'01_異動主檔'!$E:$E,"新增")</f>
        <v/>
      </c>
      <c r="H396" s="4">
        <f>-SUMIFS('01_異動主檔'!$F:$F,'01_異動主檔'!$B:$B,112,'01_異動主檔'!$D:$D,B396,'01_異動主檔'!$E:$E,"減列")</f>
        <v/>
      </c>
      <c r="I396" s="4">
        <f>-SUMIFS('01_異動主檔'!$F:$F,'01_異動主檔'!$B:$B,112,'01_異動主檔'!$D:$D,B396,'01_異動主檔'!$E:$E,"精簡")</f>
        <v/>
      </c>
      <c r="J396" s="10">
        <f>D396+E396+F396+G396+H396+I396</f>
        <v/>
      </c>
    </row>
    <row r="397" ht="18" customHeight="1">
      <c r="A397" s="4" t="inlineStr">
        <is>
          <t>B007</t>
        </is>
      </c>
      <c r="B397" s="3" t="inlineStr">
        <is>
          <t>第七組</t>
        </is>
      </c>
      <c r="C397" s="4" t="n">
        <v>113</v>
      </c>
      <c r="D397" s="10">
        <f>J396</f>
        <v/>
      </c>
      <c r="E397" s="4">
        <f>SUMIFS('01_異動主檔'!$F:$F,'01_異動主檔'!$B:$B,113,'01_異動主檔'!$D:$D,B397,'01_異動主檔'!$E:$E,"移入")</f>
        <v/>
      </c>
      <c r="F397" s="4">
        <f>-SUMIFS('01_異動主檔'!$F:$F,'01_異動主檔'!$B:$B,113,'01_異動主檔'!$D:$D,B397,'01_異動主檔'!$E:$E,"移出")</f>
        <v/>
      </c>
      <c r="G397" s="4">
        <f>SUMIFS('01_異動主檔'!$F:$F,'01_異動主檔'!$B:$B,113,'01_異動主檔'!$D:$D,B397,'01_異動主檔'!$E:$E,"新增")</f>
        <v/>
      </c>
      <c r="H397" s="4">
        <f>-SUMIFS('01_異動主檔'!$F:$F,'01_異動主檔'!$B:$B,113,'01_異動主檔'!$D:$D,B397,'01_異動主檔'!$E:$E,"減列")</f>
        <v/>
      </c>
      <c r="I397" s="4">
        <f>-SUMIFS('01_異動主檔'!$F:$F,'01_異動主檔'!$B:$B,113,'01_異動主檔'!$D:$D,B397,'01_異動主檔'!$E:$E,"精簡")</f>
        <v/>
      </c>
      <c r="J397" s="10">
        <f>D397+E397+F397+G397+H397+I397</f>
        <v/>
      </c>
    </row>
    <row r="398" ht="18" customHeight="1">
      <c r="A398" s="6" t="inlineStr">
        <is>
          <t>B007</t>
        </is>
      </c>
      <c r="B398" s="5" t="inlineStr">
        <is>
          <t>第七組</t>
        </is>
      </c>
      <c r="C398" s="6" t="n">
        <v>114</v>
      </c>
      <c r="D398" s="10">
        <f>J397</f>
        <v/>
      </c>
      <c r="E398" s="4">
        <f>SUMIFS('01_異動主檔'!$F:$F,'01_異動主檔'!$B:$B,114,'01_異動主檔'!$D:$D,B398,'01_異動主檔'!$E:$E,"移入")</f>
        <v/>
      </c>
      <c r="F398" s="4">
        <f>-SUMIFS('01_異動主檔'!$F:$F,'01_異動主檔'!$B:$B,114,'01_異動主檔'!$D:$D,B398,'01_異動主檔'!$E:$E,"移出")</f>
        <v/>
      </c>
      <c r="G398" s="4">
        <f>SUMIFS('01_異動主檔'!$F:$F,'01_異動主檔'!$B:$B,114,'01_異動主檔'!$D:$D,B398,'01_異動主檔'!$E:$E,"新增")</f>
        <v/>
      </c>
      <c r="H398" s="4">
        <f>-SUMIFS('01_異動主檔'!$F:$F,'01_異動主檔'!$B:$B,114,'01_異動主檔'!$D:$D,B398,'01_異動主檔'!$E:$E,"減列")</f>
        <v/>
      </c>
      <c r="I398" s="4">
        <f>-SUMIFS('01_異動主檔'!$F:$F,'01_異動主檔'!$B:$B,114,'01_異動主檔'!$D:$D,B398,'01_異動主檔'!$E:$E,"精簡")</f>
        <v/>
      </c>
      <c r="J398" s="10">
        <f>D398+E398+F398+G398+H398+I398</f>
        <v/>
      </c>
    </row>
    <row r="399" ht="18" customHeight="1">
      <c r="A399" s="4" t="inlineStr">
        <is>
          <t>B007</t>
        </is>
      </c>
      <c r="B399" s="3" t="inlineStr">
        <is>
          <t>第七組</t>
        </is>
      </c>
      <c r="C399" s="4" t="n">
        <v>115</v>
      </c>
      <c r="D399" s="10">
        <f>J398</f>
        <v/>
      </c>
      <c r="E399" s="4">
        <f>SUMIFS('01_異動主檔'!$F:$F,'01_異動主檔'!$B:$B,115,'01_異動主檔'!$D:$D,B399,'01_異動主檔'!$E:$E,"移入")</f>
        <v/>
      </c>
      <c r="F399" s="4">
        <f>-SUMIFS('01_異動主檔'!$F:$F,'01_異動主檔'!$B:$B,115,'01_異動主檔'!$D:$D,B399,'01_異動主檔'!$E:$E,"移出")</f>
        <v/>
      </c>
      <c r="G399" s="4">
        <f>SUMIFS('01_異動主檔'!$F:$F,'01_異動主檔'!$B:$B,115,'01_異動主檔'!$D:$D,B399,'01_異動主檔'!$E:$E,"新增")</f>
        <v/>
      </c>
      <c r="H399" s="4">
        <f>-SUMIFS('01_異動主檔'!$F:$F,'01_異動主檔'!$B:$B,115,'01_異動主檔'!$D:$D,B399,'01_異動主檔'!$E:$E,"減列")</f>
        <v/>
      </c>
      <c r="I399" s="4">
        <f>-SUMIFS('01_異動主檔'!$F:$F,'01_異動主檔'!$B:$B,115,'01_異動主檔'!$D:$D,B399,'01_異動主檔'!$E:$E,"精簡")</f>
        <v/>
      </c>
      <c r="J399" s="10">
        <f>D399+E399+F399+G399+H399+I399</f>
        <v/>
      </c>
    </row>
    <row r="400" ht="18" customHeight="1">
      <c r="A400" s="6" t="inlineStr">
        <is>
          <t>B007</t>
        </is>
      </c>
      <c r="B400" s="5" t="inlineStr">
        <is>
          <t>第七組</t>
        </is>
      </c>
      <c r="C400" s="6" t="n">
        <v>116</v>
      </c>
      <c r="D400" s="10">
        <f>J399</f>
        <v/>
      </c>
      <c r="E400" s="4">
        <f>SUMIFS('01_異動主檔'!$F:$F,'01_異動主檔'!$B:$B,116,'01_異動主檔'!$D:$D,B400,'01_異動主檔'!$E:$E,"移入")</f>
        <v/>
      </c>
      <c r="F400" s="4">
        <f>-SUMIFS('01_異動主檔'!$F:$F,'01_異動主檔'!$B:$B,116,'01_異動主檔'!$D:$D,B400,'01_異動主檔'!$E:$E,"移出")</f>
        <v/>
      </c>
      <c r="G400" s="4">
        <f>SUMIFS('01_異動主檔'!$F:$F,'01_異動主檔'!$B:$B,116,'01_異動主檔'!$D:$D,B400,'01_異動主檔'!$E:$E,"新增")</f>
        <v/>
      </c>
      <c r="H400" s="4">
        <f>-SUMIFS('01_異動主檔'!$F:$F,'01_異動主檔'!$B:$B,116,'01_異動主檔'!$D:$D,B400,'01_異動主檔'!$E:$E,"減列")</f>
        <v/>
      </c>
      <c r="I400" s="4">
        <f>-SUMIFS('01_異動主檔'!$F:$F,'01_異動主檔'!$B:$B,116,'01_異動主檔'!$D:$D,B400,'01_異動主檔'!$E:$E,"精簡")</f>
        <v/>
      </c>
      <c r="J400" s="10">
        <f>D400+E400+F400+G400+H400+I400</f>
        <v/>
      </c>
    </row>
    <row r="401" ht="18" customHeight="1">
      <c r="A401" s="4" t="inlineStr">
        <is>
          <t>B007</t>
        </is>
      </c>
      <c r="B401" s="3" t="inlineStr">
        <is>
          <t>第七組</t>
        </is>
      </c>
      <c r="C401" s="4" t="n">
        <v>117</v>
      </c>
      <c r="D401" s="10">
        <f>J400</f>
        <v/>
      </c>
      <c r="E401" s="4">
        <f>SUMIFS('01_異動主檔'!$F:$F,'01_異動主檔'!$B:$B,117,'01_異動主檔'!$D:$D,B401,'01_異動主檔'!$E:$E,"移入")</f>
        <v/>
      </c>
      <c r="F401" s="4">
        <f>-SUMIFS('01_異動主檔'!$F:$F,'01_異動主檔'!$B:$B,117,'01_異動主檔'!$D:$D,B401,'01_異動主檔'!$E:$E,"移出")</f>
        <v/>
      </c>
      <c r="G401" s="4">
        <f>SUMIFS('01_異動主檔'!$F:$F,'01_異動主檔'!$B:$B,117,'01_異動主檔'!$D:$D,B401,'01_異動主檔'!$E:$E,"新增")</f>
        <v/>
      </c>
      <c r="H401" s="4">
        <f>-SUMIFS('01_異動主檔'!$F:$F,'01_異動主檔'!$B:$B,117,'01_異動主檔'!$D:$D,B401,'01_異動主檔'!$E:$E,"減列")</f>
        <v/>
      </c>
      <c r="I401" s="4">
        <f>-SUMIFS('01_異動主檔'!$F:$F,'01_異動主檔'!$B:$B,117,'01_異動主檔'!$D:$D,B401,'01_異動主檔'!$E:$E,"精簡")</f>
        <v/>
      </c>
      <c r="J401" s="10">
        <f>D401+E401+F401+G401+H401+I401</f>
        <v/>
      </c>
    </row>
    <row r="402" ht="18" customHeight="1">
      <c r="A402" s="6" t="inlineStr">
        <is>
          <t>B007</t>
        </is>
      </c>
      <c r="B402" s="5" t="inlineStr">
        <is>
          <t>第七組</t>
        </is>
      </c>
      <c r="C402" s="6" t="n">
        <v>118</v>
      </c>
      <c r="D402" s="10">
        <f>J401</f>
        <v/>
      </c>
      <c r="E402" s="4">
        <f>SUMIFS('01_異動主檔'!$F:$F,'01_異動主檔'!$B:$B,118,'01_異動主檔'!$D:$D,B402,'01_異動主檔'!$E:$E,"移入")</f>
        <v/>
      </c>
      <c r="F402" s="4">
        <f>-SUMIFS('01_異動主檔'!$F:$F,'01_異動主檔'!$B:$B,118,'01_異動主檔'!$D:$D,B402,'01_異動主檔'!$E:$E,"移出")</f>
        <v/>
      </c>
      <c r="G402" s="4">
        <f>SUMIFS('01_異動主檔'!$F:$F,'01_異動主檔'!$B:$B,118,'01_異動主檔'!$D:$D,B402,'01_異動主檔'!$E:$E,"新增")</f>
        <v/>
      </c>
      <c r="H402" s="4">
        <f>-SUMIFS('01_異動主檔'!$F:$F,'01_異動主檔'!$B:$B,118,'01_異動主檔'!$D:$D,B402,'01_異動主檔'!$E:$E,"減列")</f>
        <v/>
      </c>
      <c r="I402" s="4">
        <f>-SUMIFS('01_異動主檔'!$F:$F,'01_異動主檔'!$B:$B,118,'01_異動主檔'!$D:$D,B402,'01_異動主檔'!$E:$E,"精簡")</f>
        <v/>
      </c>
      <c r="J402" s="10">
        <f>D402+E402+F402+G402+H402+I402</f>
        <v/>
      </c>
    </row>
    <row r="403" ht="18" customHeight="1">
      <c r="A403" s="4" t="inlineStr">
        <is>
          <t>B007</t>
        </is>
      </c>
      <c r="B403" s="3" t="inlineStr">
        <is>
          <t>第七組</t>
        </is>
      </c>
      <c r="C403" s="4" t="n">
        <v>119</v>
      </c>
      <c r="D403" s="10">
        <f>J402</f>
        <v/>
      </c>
      <c r="E403" s="4">
        <f>SUMIFS('01_異動主檔'!$F:$F,'01_異動主檔'!$B:$B,119,'01_異動主檔'!$D:$D,B403,'01_異動主檔'!$E:$E,"移入")</f>
        <v/>
      </c>
      <c r="F403" s="4">
        <f>-SUMIFS('01_異動主檔'!$F:$F,'01_異動主檔'!$B:$B,119,'01_異動主檔'!$D:$D,B403,'01_異動主檔'!$E:$E,"移出")</f>
        <v/>
      </c>
      <c r="G403" s="4">
        <f>SUMIFS('01_異動主檔'!$F:$F,'01_異動主檔'!$B:$B,119,'01_異動主檔'!$D:$D,B403,'01_異動主檔'!$E:$E,"新增")</f>
        <v/>
      </c>
      <c r="H403" s="4">
        <f>-SUMIFS('01_異動主檔'!$F:$F,'01_異動主檔'!$B:$B,119,'01_異動主檔'!$D:$D,B403,'01_異動主檔'!$E:$E,"減列")</f>
        <v/>
      </c>
      <c r="I403" s="4">
        <f>-SUMIFS('01_異動主檔'!$F:$F,'01_異動主檔'!$B:$B,119,'01_異動主檔'!$D:$D,B403,'01_異動主檔'!$E:$E,"精簡")</f>
        <v/>
      </c>
      <c r="J403" s="10">
        <f>D403+E403+F403+G403+H403+I403</f>
        <v/>
      </c>
    </row>
    <row r="404" ht="18" customHeight="1">
      <c r="A404" s="6" t="inlineStr">
        <is>
          <t>B007</t>
        </is>
      </c>
      <c r="B404" s="5" t="inlineStr">
        <is>
          <t>第七組</t>
        </is>
      </c>
      <c r="C404" s="6" t="n">
        <v>120</v>
      </c>
      <c r="D404" s="10">
        <f>J403</f>
        <v/>
      </c>
      <c r="E404" s="4">
        <f>SUMIFS('01_異動主檔'!$F:$F,'01_異動主檔'!$B:$B,120,'01_異動主檔'!$D:$D,B404,'01_異動主檔'!$E:$E,"移入")</f>
        <v/>
      </c>
      <c r="F404" s="4">
        <f>-SUMIFS('01_異動主檔'!$F:$F,'01_異動主檔'!$B:$B,120,'01_異動主檔'!$D:$D,B404,'01_異動主檔'!$E:$E,"移出")</f>
        <v/>
      </c>
      <c r="G404" s="4">
        <f>SUMIFS('01_異動主檔'!$F:$F,'01_異動主檔'!$B:$B,120,'01_異動主檔'!$D:$D,B404,'01_異動主檔'!$E:$E,"新增")</f>
        <v/>
      </c>
      <c r="H404" s="4">
        <f>-SUMIFS('01_異動主檔'!$F:$F,'01_異動主檔'!$B:$B,120,'01_異動主檔'!$D:$D,B404,'01_異動主檔'!$E:$E,"減列")</f>
        <v/>
      </c>
      <c r="I404" s="4">
        <f>-SUMIFS('01_異動主檔'!$F:$F,'01_異動主檔'!$B:$B,120,'01_異動主檔'!$D:$D,B404,'01_異動主檔'!$E:$E,"精簡")</f>
        <v/>
      </c>
      <c r="J404" s="10">
        <f>D404+E404+F404+G404+H404+I404</f>
        <v/>
      </c>
    </row>
    <row r="405" ht="18" customHeight="1">
      <c r="A405" s="4" t="inlineStr">
        <is>
          <t>B007</t>
        </is>
      </c>
      <c r="B405" s="3" t="inlineStr">
        <is>
          <t>第七組</t>
        </is>
      </c>
      <c r="C405" s="4" t="n">
        <v>121</v>
      </c>
      <c r="D405" s="10">
        <f>J404</f>
        <v/>
      </c>
      <c r="E405" s="4">
        <f>SUMIFS('01_異動主檔'!$F:$F,'01_異動主檔'!$B:$B,121,'01_異動主檔'!$D:$D,B405,'01_異動主檔'!$E:$E,"移入")</f>
        <v/>
      </c>
      <c r="F405" s="4">
        <f>-SUMIFS('01_異動主檔'!$F:$F,'01_異動主檔'!$B:$B,121,'01_異動主檔'!$D:$D,B405,'01_異動主檔'!$E:$E,"移出")</f>
        <v/>
      </c>
      <c r="G405" s="4">
        <f>SUMIFS('01_異動主檔'!$F:$F,'01_異動主檔'!$B:$B,121,'01_異動主檔'!$D:$D,B405,'01_異動主檔'!$E:$E,"新增")</f>
        <v/>
      </c>
      <c r="H405" s="4">
        <f>-SUMIFS('01_異動主檔'!$F:$F,'01_異動主檔'!$B:$B,121,'01_異動主檔'!$D:$D,B405,'01_異動主檔'!$E:$E,"減列")</f>
        <v/>
      </c>
      <c r="I405" s="4">
        <f>-SUMIFS('01_異動主檔'!$F:$F,'01_異動主檔'!$B:$B,121,'01_異動主檔'!$D:$D,B405,'01_異動主檔'!$E:$E,"精簡")</f>
        <v/>
      </c>
      <c r="J405" s="10">
        <f>D405+E405+F405+G405+H405+I405</f>
        <v/>
      </c>
    </row>
    <row r="406" ht="18" customHeight="1">
      <c r="A406" s="6" t="inlineStr">
        <is>
          <t>B007</t>
        </is>
      </c>
      <c r="B406" s="5" t="inlineStr">
        <is>
          <t>第七組</t>
        </is>
      </c>
      <c r="C406" s="6" t="n">
        <v>122</v>
      </c>
      <c r="D406" s="10">
        <f>J405</f>
        <v/>
      </c>
      <c r="E406" s="4">
        <f>SUMIFS('01_異動主檔'!$F:$F,'01_異動主檔'!$B:$B,122,'01_異動主檔'!$D:$D,B406,'01_異動主檔'!$E:$E,"移入")</f>
        <v/>
      </c>
      <c r="F406" s="4">
        <f>-SUMIFS('01_異動主檔'!$F:$F,'01_異動主檔'!$B:$B,122,'01_異動主檔'!$D:$D,B406,'01_異動主檔'!$E:$E,"移出")</f>
        <v/>
      </c>
      <c r="G406" s="4">
        <f>SUMIFS('01_異動主檔'!$F:$F,'01_異動主檔'!$B:$B,122,'01_異動主檔'!$D:$D,B406,'01_異動主檔'!$E:$E,"新增")</f>
        <v/>
      </c>
      <c r="H406" s="4">
        <f>-SUMIFS('01_異動主檔'!$F:$F,'01_異動主檔'!$B:$B,122,'01_異動主檔'!$D:$D,B406,'01_異動主檔'!$E:$E,"減列")</f>
        <v/>
      </c>
      <c r="I406" s="4">
        <f>-SUMIFS('01_異動主檔'!$F:$F,'01_異動主檔'!$B:$B,122,'01_異動主檔'!$D:$D,B406,'01_異動主檔'!$E:$E,"精簡")</f>
        <v/>
      </c>
      <c r="J406" s="10">
        <f>D406+E406+F406+G406+H406+I406</f>
        <v/>
      </c>
    </row>
    <row r="407" ht="18" customHeight="1">
      <c r="A407" s="4" t="inlineStr">
        <is>
          <t>B007</t>
        </is>
      </c>
      <c r="B407" s="3" t="inlineStr">
        <is>
          <t>第七組</t>
        </is>
      </c>
      <c r="C407" s="4" t="n">
        <v>123</v>
      </c>
      <c r="D407" s="10">
        <f>J406</f>
        <v/>
      </c>
      <c r="E407" s="4">
        <f>SUMIFS('01_異動主檔'!$F:$F,'01_異動主檔'!$B:$B,123,'01_異動主檔'!$D:$D,B407,'01_異動主檔'!$E:$E,"移入")</f>
        <v/>
      </c>
      <c r="F407" s="4">
        <f>-SUMIFS('01_異動主檔'!$F:$F,'01_異動主檔'!$B:$B,123,'01_異動主檔'!$D:$D,B407,'01_異動主檔'!$E:$E,"移出")</f>
        <v/>
      </c>
      <c r="G407" s="4">
        <f>SUMIFS('01_異動主檔'!$F:$F,'01_異動主檔'!$B:$B,123,'01_異動主檔'!$D:$D,B407,'01_異動主檔'!$E:$E,"新增")</f>
        <v/>
      </c>
      <c r="H407" s="4">
        <f>-SUMIFS('01_異動主檔'!$F:$F,'01_異動主檔'!$B:$B,123,'01_異動主檔'!$D:$D,B407,'01_異動主檔'!$E:$E,"減列")</f>
        <v/>
      </c>
      <c r="I407" s="4">
        <f>-SUMIFS('01_異動主檔'!$F:$F,'01_異動主檔'!$B:$B,123,'01_異動主檔'!$D:$D,B407,'01_異動主檔'!$E:$E,"精簡")</f>
        <v/>
      </c>
      <c r="J407" s="10">
        <f>D407+E407+F407+G407+H407+I407</f>
        <v/>
      </c>
    </row>
    <row r="408" ht="18" customHeight="1">
      <c r="A408" s="6" t="inlineStr">
        <is>
          <t>B007</t>
        </is>
      </c>
      <c r="B408" s="5" t="inlineStr">
        <is>
          <t>第七組</t>
        </is>
      </c>
      <c r="C408" s="6" t="n">
        <v>124</v>
      </c>
      <c r="D408" s="10">
        <f>J407</f>
        <v/>
      </c>
      <c r="E408" s="4">
        <f>SUMIFS('01_異動主檔'!$F:$F,'01_異動主檔'!$B:$B,124,'01_異動主檔'!$D:$D,B408,'01_異動主檔'!$E:$E,"移入")</f>
        <v/>
      </c>
      <c r="F408" s="4">
        <f>-SUMIFS('01_異動主檔'!$F:$F,'01_異動主檔'!$B:$B,124,'01_異動主檔'!$D:$D,B408,'01_異動主檔'!$E:$E,"移出")</f>
        <v/>
      </c>
      <c r="G408" s="4">
        <f>SUMIFS('01_異動主檔'!$F:$F,'01_異動主檔'!$B:$B,124,'01_異動主檔'!$D:$D,B408,'01_異動主檔'!$E:$E,"新增")</f>
        <v/>
      </c>
      <c r="H408" s="4">
        <f>-SUMIFS('01_異動主檔'!$F:$F,'01_異動主檔'!$B:$B,124,'01_異動主檔'!$D:$D,B408,'01_異動主檔'!$E:$E,"減列")</f>
        <v/>
      </c>
      <c r="I408" s="4">
        <f>-SUMIFS('01_異動主檔'!$F:$F,'01_異動主檔'!$B:$B,124,'01_異動主檔'!$D:$D,B408,'01_異動主檔'!$E:$E,"精簡")</f>
        <v/>
      </c>
      <c r="J408" s="10">
        <f>D408+E408+F408+G408+H408+I408</f>
        <v/>
      </c>
    </row>
    <row r="409" ht="18" customHeight="1">
      <c r="A409" s="4" t="inlineStr">
        <is>
          <t>B007</t>
        </is>
      </c>
      <c r="B409" s="3" t="inlineStr">
        <is>
          <t>第七組</t>
        </is>
      </c>
      <c r="C409" s="4" t="n">
        <v>125</v>
      </c>
      <c r="D409" s="10">
        <f>J408</f>
        <v/>
      </c>
      <c r="E409" s="4">
        <f>SUMIFS('01_異動主檔'!$F:$F,'01_異動主檔'!$B:$B,125,'01_異動主檔'!$D:$D,B409,'01_異動主檔'!$E:$E,"移入")</f>
        <v/>
      </c>
      <c r="F409" s="4">
        <f>-SUMIFS('01_異動主檔'!$F:$F,'01_異動主檔'!$B:$B,125,'01_異動主檔'!$D:$D,B409,'01_異動主檔'!$E:$E,"移出")</f>
        <v/>
      </c>
      <c r="G409" s="4">
        <f>SUMIFS('01_異動主檔'!$F:$F,'01_異動主檔'!$B:$B,125,'01_異動主檔'!$D:$D,B409,'01_異動主檔'!$E:$E,"新增")</f>
        <v/>
      </c>
      <c r="H409" s="4">
        <f>-SUMIFS('01_異動主檔'!$F:$F,'01_異動主檔'!$B:$B,125,'01_異動主檔'!$D:$D,B409,'01_異動主檔'!$E:$E,"減列")</f>
        <v/>
      </c>
      <c r="I409" s="4">
        <f>-SUMIFS('01_異動主檔'!$F:$F,'01_異動主檔'!$B:$B,125,'01_異動主檔'!$D:$D,B409,'01_異動主檔'!$E:$E,"精簡")</f>
        <v/>
      </c>
      <c r="J409" s="10">
        <f>D409+E409+F409+G409+H409+I409</f>
        <v/>
      </c>
    </row>
    <row r="410" ht="18" customHeight="1">
      <c r="A410" s="6" t="inlineStr">
        <is>
          <t>B008</t>
        </is>
      </c>
      <c r="B410" s="5" t="inlineStr">
        <is>
          <t>第八組</t>
        </is>
      </c>
      <c r="C410" s="6" t="n">
        <v>99</v>
      </c>
      <c r="D410" s="10">
        <f>'02_年初員額設定'!C20</f>
        <v/>
      </c>
      <c r="E410" s="4">
        <f>SUMIFS('01_異動主檔'!$F:$F,'01_異動主檔'!$B:$B,99,'01_異動主檔'!$D:$D,B410,'01_異動主檔'!$E:$E,"移入")</f>
        <v/>
      </c>
      <c r="F410" s="4">
        <f>-SUMIFS('01_異動主檔'!$F:$F,'01_異動主檔'!$B:$B,99,'01_異動主檔'!$D:$D,B410,'01_異動主檔'!$E:$E,"移出")</f>
        <v/>
      </c>
      <c r="G410" s="4">
        <f>SUMIFS('01_異動主檔'!$F:$F,'01_異動主檔'!$B:$B,99,'01_異動主檔'!$D:$D,B410,'01_異動主檔'!$E:$E,"新增")</f>
        <v/>
      </c>
      <c r="H410" s="4">
        <f>-SUMIFS('01_異動主檔'!$F:$F,'01_異動主檔'!$B:$B,99,'01_異動主檔'!$D:$D,B410,'01_異動主檔'!$E:$E,"減列")</f>
        <v/>
      </c>
      <c r="I410" s="4">
        <f>-SUMIFS('01_異動主檔'!$F:$F,'01_異動主檔'!$B:$B,99,'01_異動主檔'!$D:$D,B410,'01_異動主檔'!$E:$E,"精簡")</f>
        <v/>
      </c>
      <c r="J410" s="10">
        <f>D410+E410+F410+G410+H410+I410</f>
        <v/>
      </c>
    </row>
    <row r="411" ht="18" customHeight="1">
      <c r="A411" s="4" t="inlineStr">
        <is>
          <t>B008</t>
        </is>
      </c>
      <c r="B411" s="3" t="inlineStr">
        <is>
          <t>第八組</t>
        </is>
      </c>
      <c r="C411" s="4" t="n">
        <v>100</v>
      </c>
      <c r="D411" s="10">
        <f>J410</f>
        <v/>
      </c>
      <c r="E411" s="4">
        <f>SUMIFS('01_異動主檔'!$F:$F,'01_異動主檔'!$B:$B,100,'01_異動主檔'!$D:$D,B411,'01_異動主檔'!$E:$E,"移入")</f>
        <v/>
      </c>
      <c r="F411" s="4">
        <f>-SUMIFS('01_異動主檔'!$F:$F,'01_異動主檔'!$B:$B,100,'01_異動主檔'!$D:$D,B411,'01_異動主檔'!$E:$E,"移出")</f>
        <v/>
      </c>
      <c r="G411" s="4">
        <f>SUMIFS('01_異動主檔'!$F:$F,'01_異動主檔'!$B:$B,100,'01_異動主檔'!$D:$D,B411,'01_異動主檔'!$E:$E,"新增")</f>
        <v/>
      </c>
      <c r="H411" s="4">
        <f>-SUMIFS('01_異動主檔'!$F:$F,'01_異動主檔'!$B:$B,100,'01_異動主檔'!$D:$D,B411,'01_異動主檔'!$E:$E,"減列")</f>
        <v/>
      </c>
      <c r="I411" s="4">
        <f>-SUMIFS('01_異動主檔'!$F:$F,'01_異動主檔'!$B:$B,100,'01_異動主檔'!$D:$D,B411,'01_異動主檔'!$E:$E,"精簡")</f>
        <v/>
      </c>
      <c r="J411" s="10">
        <f>D411+E411+F411+G411+H411+I411</f>
        <v/>
      </c>
    </row>
    <row r="412" ht="18" customHeight="1">
      <c r="A412" s="6" t="inlineStr">
        <is>
          <t>B008</t>
        </is>
      </c>
      <c r="B412" s="5" t="inlineStr">
        <is>
          <t>第八組</t>
        </is>
      </c>
      <c r="C412" s="6" t="n">
        <v>101</v>
      </c>
      <c r="D412" s="10">
        <f>J411</f>
        <v/>
      </c>
      <c r="E412" s="4">
        <f>SUMIFS('01_異動主檔'!$F:$F,'01_異動主檔'!$B:$B,101,'01_異動主檔'!$D:$D,B412,'01_異動主檔'!$E:$E,"移入")</f>
        <v/>
      </c>
      <c r="F412" s="4">
        <f>-SUMIFS('01_異動主檔'!$F:$F,'01_異動主檔'!$B:$B,101,'01_異動主檔'!$D:$D,B412,'01_異動主檔'!$E:$E,"移出")</f>
        <v/>
      </c>
      <c r="G412" s="4">
        <f>SUMIFS('01_異動主檔'!$F:$F,'01_異動主檔'!$B:$B,101,'01_異動主檔'!$D:$D,B412,'01_異動主檔'!$E:$E,"新增")</f>
        <v/>
      </c>
      <c r="H412" s="4">
        <f>-SUMIFS('01_異動主檔'!$F:$F,'01_異動主檔'!$B:$B,101,'01_異動主檔'!$D:$D,B412,'01_異動主檔'!$E:$E,"減列")</f>
        <v/>
      </c>
      <c r="I412" s="4">
        <f>-SUMIFS('01_異動主檔'!$F:$F,'01_異動主檔'!$B:$B,101,'01_異動主檔'!$D:$D,B412,'01_異動主檔'!$E:$E,"精簡")</f>
        <v/>
      </c>
      <c r="J412" s="10">
        <f>D412+E412+F412+G412+H412+I412</f>
        <v/>
      </c>
    </row>
    <row r="413" ht="18" customHeight="1">
      <c r="A413" s="4" t="inlineStr">
        <is>
          <t>B008</t>
        </is>
      </c>
      <c r="B413" s="3" t="inlineStr">
        <is>
          <t>第八組</t>
        </is>
      </c>
      <c r="C413" s="4" t="n">
        <v>102</v>
      </c>
      <c r="D413" s="10">
        <f>J412</f>
        <v/>
      </c>
      <c r="E413" s="4">
        <f>SUMIFS('01_異動主檔'!$F:$F,'01_異動主檔'!$B:$B,102,'01_異動主檔'!$D:$D,B413,'01_異動主檔'!$E:$E,"移入")</f>
        <v/>
      </c>
      <c r="F413" s="4">
        <f>-SUMIFS('01_異動主檔'!$F:$F,'01_異動主檔'!$B:$B,102,'01_異動主檔'!$D:$D,B413,'01_異動主檔'!$E:$E,"移出")</f>
        <v/>
      </c>
      <c r="G413" s="4">
        <f>SUMIFS('01_異動主檔'!$F:$F,'01_異動主檔'!$B:$B,102,'01_異動主檔'!$D:$D,B413,'01_異動主檔'!$E:$E,"新增")</f>
        <v/>
      </c>
      <c r="H413" s="4">
        <f>-SUMIFS('01_異動主檔'!$F:$F,'01_異動主檔'!$B:$B,102,'01_異動主檔'!$D:$D,B413,'01_異動主檔'!$E:$E,"減列")</f>
        <v/>
      </c>
      <c r="I413" s="4">
        <f>-SUMIFS('01_異動主檔'!$F:$F,'01_異動主檔'!$B:$B,102,'01_異動主檔'!$D:$D,B413,'01_異動主檔'!$E:$E,"精簡")</f>
        <v/>
      </c>
      <c r="J413" s="10">
        <f>D413+E413+F413+G413+H413+I413</f>
        <v/>
      </c>
    </row>
    <row r="414" ht="18" customHeight="1">
      <c r="A414" s="6" t="inlineStr">
        <is>
          <t>B008</t>
        </is>
      </c>
      <c r="B414" s="5" t="inlineStr">
        <is>
          <t>第八組</t>
        </is>
      </c>
      <c r="C414" s="6" t="n">
        <v>103</v>
      </c>
      <c r="D414" s="10">
        <f>J413</f>
        <v/>
      </c>
      <c r="E414" s="4">
        <f>SUMIFS('01_異動主檔'!$F:$F,'01_異動主檔'!$B:$B,103,'01_異動主檔'!$D:$D,B414,'01_異動主檔'!$E:$E,"移入")</f>
        <v/>
      </c>
      <c r="F414" s="4">
        <f>-SUMIFS('01_異動主檔'!$F:$F,'01_異動主檔'!$B:$B,103,'01_異動主檔'!$D:$D,B414,'01_異動主檔'!$E:$E,"移出")</f>
        <v/>
      </c>
      <c r="G414" s="4">
        <f>SUMIFS('01_異動主檔'!$F:$F,'01_異動主檔'!$B:$B,103,'01_異動主檔'!$D:$D,B414,'01_異動主檔'!$E:$E,"新增")</f>
        <v/>
      </c>
      <c r="H414" s="4">
        <f>-SUMIFS('01_異動主檔'!$F:$F,'01_異動主檔'!$B:$B,103,'01_異動主檔'!$D:$D,B414,'01_異動主檔'!$E:$E,"減列")</f>
        <v/>
      </c>
      <c r="I414" s="4">
        <f>-SUMIFS('01_異動主檔'!$F:$F,'01_異動主檔'!$B:$B,103,'01_異動主檔'!$D:$D,B414,'01_異動主檔'!$E:$E,"精簡")</f>
        <v/>
      </c>
      <c r="J414" s="10">
        <f>D414+E414+F414+G414+H414+I414</f>
        <v/>
      </c>
    </row>
    <row r="415" ht="18" customHeight="1">
      <c r="A415" s="4" t="inlineStr">
        <is>
          <t>B008</t>
        </is>
      </c>
      <c r="B415" s="3" t="inlineStr">
        <is>
          <t>第八組</t>
        </is>
      </c>
      <c r="C415" s="4" t="n">
        <v>104</v>
      </c>
      <c r="D415" s="10">
        <f>J414</f>
        <v/>
      </c>
      <c r="E415" s="4">
        <f>SUMIFS('01_異動主檔'!$F:$F,'01_異動主檔'!$B:$B,104,'01_異動主檔'!$D:$D,B415,'01_異動主檔'!$E:$E,"移入")</f>
        <v/>
      </c>
      <c r="F415" s="4">
        <f>-SUMIFS('01_異動主檔'!$F:$F,'01_異動主檔'!$B:$B,104,'01_異動主檔'!$D:$D,B415,'01_異動主檔'!$E:$E,"移出")</f>
        <v/>
      </c>
      <c r="G415" s="4">
        <f>SUMIFS('01_異動主檔'!$F:$F,'01_異動主檔'!$B:$B,104,'01_異動主檔'!$D:$D,B415,'01_異動主檔'!$E:$E,"新增")</f>
        <v/>
      </c>
      <c r="H415" s="4">
        <f>-SUMIFS('01_異動主檔'!$F:$F,'01_異動主檔'!$B:$B,104,'01_異動主檔'!$D:$D,B415,'01_異動主檔'!$E:$E,"減列")</f>
        <v/>
      </c>
      <c r="I415" s="4">
        <f>-SUMIFS('01_異動主檔'!$F:$F,'01_異動主檔'!$B:$B,104,'01_異動主檔'!$D:$D,B415,'01_異動主檔'!$E:$E,"精簡")</f>
        <v/>
      </c>
      <c r="J415" s="10">
        <f>D415+E415+F415+G415+H415+I415</f>
        <v/>
      </c>
    </row>
    <row r="416" ht="18" customHeight="1">
      <c r="A416" s="6" t="inlineStr">
        <is>
          <t>B008</t>
        </is>
      </c>
      <c r="B416" s="5" t="inlineStr">
        <is>
          <t>第八組</t>
        </is>
      </c>
      <c r="C416" s="6" t="n">
        <v>105</v>
      </c>
      <c r="D416" s="10">
        <f>J415</f>
        <v/>
      </c>
      <c r="E416" s="4">
        <f>SUMIFS('01_異動主檔'!$F:$F,'01_異動主檔'!$B:$B,105,'01_異動主檔'!$D:$D,B416,'01_異動主檔'!$E:$E,"移入")</f>
        <v/>
      </c>
      <c r="F416" s="4">
        <f>-SUMIFS('01_異動主檔'!$F:$F,'01_異動主檔'!$B:$B,105,'01_異動主檔'!$D:$D,B416,'01_異動主檔'!$E:$E,"移出")</f>
        <v/>
      </c>
      <c r="G416" s="4">
        <f>SUMIFS('01_異動主檔'!$F:$F,'01_異動主檔'!$B:$B,105,'01_異動主檔'!$D:$D,B416,'01_異動主檔'!$E:$E,"新增")</f>
        <v/>
      </c>
      <c r="H416" s="4">
        <f>-SUMIFS('01_異動主檔'!$F:$F,'01_異動主檔'!$B:$B,105,'01_異動主檔'!$D:$D,B416,'01_異動主檔'!$E:$E,"減列")</f>
        <v/>
      </c>
      <c r="I416" s="4">
        <f>-SUMIFS('01_異動主檔'!$F:$F,'01_異動主檔'!$B:$B,105,'01_異動主檔'!$D:$D,B416,'01_異動主檔'!$E:$E,"精簡")</f>
        <v/>
      </c>
      <c r="J416" s="10">
        <f>D416+E416+F416+G416+H416+I416</f>
        <v/>
      </c>
    </row>
    <row r="417" ht="18" customHeight="1">
      <c r="A417" s="4" t="inlineStr">
        <is>
          <t>B008</t>
        </is>
      </c>
      <c r="B417" s="3" t="inlineStr">
        <is>
          <t>第八組</t>
        </is>
      </c>
      <c r="C417" s="4" t="n">
        <v>106</v>
      </c>
      <c r="D417" s="10">
        <f>J416</f>
        <v/>
      </c>
      <c r="E417" s="4">
        <f>SUMIFS('01_異動主檔'!$F:$F,'01_異動主檔'!$B:$B,106,'01_異動主檔'!$D:$D,B417,'01_異動主檔'!$E:$E,"移入")</f>
        <v/>
      </c>
      <c r="F417" s="4">
        <f>-SUMIFS('01_異動主檔'!$F:$F,'01_異動主檔'!$B:$B,106,'01_異動主檔'!$D:$D,B417,'01_異動主檔'!$E:$E,"移出")</f>
        <v/>
      </c>
      <c r="G417" s="4">
        <f>SUMIFS('01_異動主檔'!$F:$F,'01_異動主檔'!$B:$B,106,'01_異動主檔'!$D:$D,B417,'01_異動主檔'!$E:$E,"新增")</f>
        <v/>
      </c>
      <c r="H417" s="4">
        <f>-SUMIFS('01_異動主檔'!$F:$F,'01_異動主檔'!$B:$B,106,'01_異動主檔'!$D:$D,B417,'01_異動主檔'!$E:$E,"減列")</f>
        <v/>
      </c>
      <c r="I417" s="4">
        <f>-SUMIFS('01_異動主檔'!$F:$F,'01_異動主檔'!$B:$B,106,'01_異動主檔'!$D:$D,B417,'01_異動主檔'!$E:$E,"精簡")</f>
        <v/>
      </c>
      <c r="J417" s="10">
        <f>D417+E417+F417+G417+H417+I417</f>
        <v/>
      </c>
    </row>
    <row r="418" ht="18" customHeight="1">
      <c r="A418" s="6" t="inlineStr">
        <is>
          <t>B008</t>
        </is>
      </c>
      <c r="B418" s="5" t="inlineStr">
        <is>
          <t>第八組</t>
        </is>
      </c>
      <c r="C418" s="6" t="n">
        <v>107</v>
      </c>
      <c r="D418" s="10">
        <f>J417</f>
        <v/>
      </c>
      <c r="E418" s="4">
        <f>SUMIFS('01_異動主檔'!$F:$F,'01_異動主檔'!$B:$B,107,'01_異動主檔'!$D:$D,B418,'01_異動主檔'!$E:$E,"移入")</f>
        <v/>
      </c>
      <c r="F418" s="4">
        <f>-SUMIFS('01_異動主檔'!$F:$F,'01_異動主檔'!$B:$B,107,'01_異動主檔'!$D:$D,B418,'01_異動主檔'!$E:$E,"移出")</f>
        <v/>
      </c>
      <c r="G418" s="4">
        <f>SUMIFS('01_異動主檔'!$F:$F,'01_異動主檔'!$B:$B,107,'01_異動主檔'!$D:$D,B418,'01_異動主檔'!$E:$E,"新增")</f>
        <v/>
      </c>
      <c r="H418" s="4">
        <f>-SUMIFS('01_異動主檔'!$F:$F,'01_異動主檔'!$B:$B,107,'01_異動主檔'!$D:$D,B418,'01_異動主檔'!$E:$E,"減列")</f>
        <v/>
      </c>
      <c r="I418" s="4">
        <f>-SUMIFS('01_異動主檔'!$F:$F,'01_異動主檔'!$B:$B,107,'01_異動主檔'!$D:$D,B418,'01_異動主檔'!$E:$E,"精簡")</f>
        <v/>
      </c>
      <c r="J418" s="10">
        <f>D418+E418+F418+G418+H418+I418</f>
        <v/>
      </c>
    </row>
    <row r="419" ht="18" customHeight="1">
      <c r="A419" s="4" t="inlineStr">
        <is>
          <t>B008</t>
        </is>
      </c>
      <c r="B419" s="3" t="inlineStr">
        <is>
          <t>第八組</t>
        </is>
      </c>
      <c r="C419" s="4" t="n">
        <v>108</v>
      </c>
      <c r="D419" s="10">
        <f>J418</f>
        <v/>
      </c>
      <c r="E419" s="4">
        <f>SUMIFS('01_異動主檔'!$F:$F,'01_異動主檔'!$B:$B,108,'01_異動主檔'!$D:$D,B419,'01_異動主檔'!$E:$E,"移入")</f>
        <v/>
      </c>
      <c r="F419" s="4">
        <f>-SUMIFS('01_異動主檔'!$F:$F,'01_異動主檔'!$B:$B,108,'01_異動主檔'!$D:$D,B419,'01_異動主檔'!$E:$E,"移出")</f>
        <v/>
      </c>
      <c r="G419" s="4">
        <f>SUMIFS('01_異動主檔'!$F:$F,'01_異動主檔'!$B:$B,108,'01_異動主檔'!$D:$D,B419,'01_異動主檔'!$E:$E,"新增")</f>
        <v/>
      </c>
      <c r="H419" s="4">
        <f>-SUMIFS('01_異動主檔'!$F:$F,'01_異動主檔'!$B:$B,108,'01_異動主檔'!$D:$D,B419,'01_異動主檔'!$E:$E,"減列")</f>
        <v/>
      </c>
      <c r="I419" s="4">
        <f>-SUMIFS('01_異動主檔'!$F:$F,'01_異動主檔'!$B:$B,108,'01_異動主檔'!$D:$D,B419,'01_異動主檔'!$E:$E,"精簡")</f>
        <v/>
      </c>
      <c r="J419" s="10">
        <f>D419+E419+F419+G419+H419+I419</f>
        <v/>
      </c>
    </row>
    <row r="420" ht="18" customHeight="1">
      <c r="A420" s="6" t="inlineStr">
        <is>
          <t>B008</t>
        </is>
      </c>
      <c r="B420" s="5" t="inlineStr">
        <is>
          <t>第八組</t>
        </is>
      </c>
      <c r="C420" s="6" t="n">
        <v>109</v>
      </c>
      <c r="D420" s="10">
        <f>J419</f>
        <v/>
      </c>
      <c r="E420" s="4">
        <f>SUMIFS('01_異動主檔'!$F:$F,'01_異動主檔'!$B:$B,109,'01_異動主檔'!$D:$D,B420,'01_異動主檔'!$E:$E,"移入")</f>
        <v/>
      </c>
      <c r="F420" s="4">
        <f>-SUMIFS('01_異動主檔'!$F:$F,'01_異動主檔'!$B:$B,109,'01_異動主檔'!$D:$D,B420,'01_異動主檔'!$E:$E,"移出")</f>
        <v/>
      </c>
      <c r="G420" s="4">
        <f>SUMIFS('01_異動主檔'!$F:$F,'01_異動主檔'!$B:$B,109,'01_異動主檔'!$D:$D,B420,'01_異動主檔'!$E:$E,"新增")</f>
        <v/>
      </c>
      <c r="H420" s="4">
        <f>-SUMIFS('01_異動主檔'!$F:$F,'01_異動主檔'!$B:$B,109,'01_異動主檔'!$D:$D,B420,'01_異動主檔'!$E:$E,"減列")</f>
        <v/>
      </c>
      <c r="I420" s="4">
        <f>-SUMIFS('01_異動主檔'!$F:$F,'01_異動主檔'!$B:$B,109,'01_異動主檔'!$D:$D,B420,'01_異動主檔'!$E:$E,"精簡")</f>
        <v/>
      </c>
      <c r="J420" s="10">
        <f>D420+E420+F420+G420+H420+I420</f>
        <v/>
      </c>
    </row>
    <row r="421" ht="18" customHeight="1">
      <c r="A421" s="4" t="inlineStr">
        <is>
          <t>B008</t>
        </is>
      </c>
      <c r="B421" s="3" t="inlineStr">
        <is>
          <t>第八組</t>
        </is>
      </c>
      <c r="C421" s="4" t="n">
        <v>110</v>
      </c>
      <c r="D421" s="10">
        <f>J420</f>
        <v/>
      </c>
      <c r="E421" s="4">
        <f>SUMIFS('01_異動主檔'!$F:$F,'01_異動主檔'!$B:$B,110,'01_異動主檔'!$D:$D,B421,'01_異動主檔'!$E:$E,"移入")</f>
        <v/>
      </c>
      <c r="F421" s="4">
        <f>-SUMIFS('01_異動主檔'!$F:$F,'01_異動主檔'!$B:$B,110,'01_異動主檔'!$D:$D,B421,'01_異動主檔'!$E:$E,"移出")</f>
        <v/>
      </c>
      <c r="G421" s="4">
        <f>SUMIFS('01_異動主檔'!$F:$F,'01_異動主檔'!$B:$B,110,'01_異動主檔'!$D:$D,B421,'01_異動主檔'!$E:$E,"新增")</f>
        <v/>
      </c>
      <c r="H421" s="4">
        <f>-SUMIFS('01_異動主檔'!$F:$F,'01_異動主檔'!$B:$B,110,'01_異動主檔'!$D:$D,B421,'01_異動主檔'!$E:$E,"減列")</f>
        <v/>
      </c>
      <c r="I421" s="4">
        <f>-SUMIFS('01_異動主檔'!$F:$F,'01_異動主檔'!$B:$B,110,'01_異動主檔'!$D:$D,B421,'01_異動主檔'!$E:$E,"精簡")</f>
        <v/>
      </c>
      <c r="J421" s="10">
        <f>D421+E421+F421+G421+H421+I421</f>
        <v/>
      </c>
    </row>
    <row r="422" ht="18" customHeight="1">
      <c r="A422" s="6" t="inlineStr">
        <is>
          <t>B008</t>
        </is>
      </c>
      <c r="B422" s="5" t="inlineStr">
        <is>
          <t>第八組</t>
        </is>
      </c>
      <c r="C422" s="6" t="n">
        <v>111</v>
      </c>
      <c r="D422" s="10">
        <f>J421</f>
        <v/>
      </c>
      <c r="E422" s="4">
        <f>SUMIFS('01_異動主檔'!$F:$F,'01_異動主檔'!$B:$B,111,'01_異動主檔'!$D:$D,B422,'01_異動主檔'!$E:$E,"移入")</f>
        <v/>
      </c>
      <c r="F422" s="4">
        <f>-SUMIFS('01_異動主檔'!$F:$F,'01_異動主檔'!$B:$B,111,'01_異動主檔'!$D:$D,B422,'01_異動主檔'!$E:$E,"移出")</f>
        <v/>
      </c>
      <c r="G422" s="4">
        <f>SUMIFS('01_異動主檔'!$F:$F,'01_異動主檔'!$B:$B,111,'01_異動主檔'!$D:$D,B422,'01_異動主檔'!$E:$E,"新增")</f>
        <v/>
      </c>
      <c r="H422" s="4">
        <f>-SUMIFS('01_異動主檔'!$F:$F,'01_異動主檔'!$B:$B,111,'01_異動主檔'!$D:$D,B422,'01_異動主檔'!$E:$E,"減列")</f>
        <v/>
      </c>
      <c r="I422" s="4">
        <f>-SUMIFS('01_異動主檔'!$F:$F,'01_異動主檔'!$B:$B,111,'01_異動主檔'!$D:$D,B422,'01_異動主檔'!$E:$E,"精簡")</f>
        <v/>
      </c>
      <c r="J422" s="10">
        <f>D422+E422+F422+G422+H422+I422</f>
        <v/>
      </c>
    </row>
    <row r="423" ht="18" customHeight="1">
      <c r="A423" s="4" t="inlineStr">
        <is>
          <t>B008</t>
        </is>
      </c>
      <c r="B423" s="3" t="inlineStr">
        <is>
          <t>第八組</t>
        </is>
      </c>
      <c r="C423" s="4" t="n">
        <v>112</v>
      </c>
      <c r="D423" s="10">
        <f>J422</f>
        <v/>
      </c>
      <c r="E423" s="4">
        <f>SUMIFS('01_異動主檔'!$F:$F,'01_異動主檔'!$B:$B,112,'01_異動主檔'!$D:$D,B423,'01_異動主檔'!$E:$E,"移入")</f>
        <v/>
      </c>
      <c r="F423" s="4">
        <f>-SUMIFS('01_異動主檔'!$F:$F,'01_異動主檔'!$B:$B,112,'01_異動主檔'!$D:$D,B423,'01_異動主檔'!$E:$E,"移出")</f>
        <v/>
      </c>
      <c r="G423" s="4">
        <f>SUMIFS('01_異動主檔'!$F:$F,'01_異動主檔'!$B:$B,112,'01_異動主檔'!$D:$D,B423,'01_異動主檔'!$E:$E,"新增")</f>
        <v/>
      </c>
      <c r="H423" s="4">
        <f>-SUMIFS('01_異動主檔'!$F:$F,'01_異動主檔'!$B:$B,112,'01_異動主檔'!$D:$D,B423,'01_異動主檔'!$E:$E,"減列")</f>
        <v/>
      </c>
      <c r="I423" s="4">
        <f>-SUMIFS('01_異動主檔'!$F:$F,'01_異動主檔'!$B:$B,112,'01_異動主檔'!$D:$D,B423,'01_異動主檔'!$E:$E,"精簡")</f>
        <v/>
      </c>
      <c r="J423" s="10">
        <f>D423+E423+F423+G423+H423+I423</f>
        <v/>
      </c>
    </row>
    <row r="424" ht="18" customHeight="1">
      <c r="A424" s="6" t="inlineStr">
        <is>
          <t>B008</t>
        </is>
      </c>
      <c r="B424" s="5" t="inlineStr">
        <is>
          <t>第八組</t>
        </is>
      </c>
      <c r="C424" s="6" t="n">
        <v>113</v>
      </c>
      <c r="D424" s="10">
        <f>J423</f>
        <v/>
      </c>
      <c r="E424" s="4">
        <f>SUMIFS('01_異動主檔'!$F:$F,'01_異動主檔'!$B:$B,113,'01_異動主檔'!$D:$D,B424,'01_異動主檔'!$E:$E,"移入")</f>
        <v/>
      </c>
      <c r="F424" s="4">
        <f>-SUMIFS('01_異動主檔'!$F:$F,'01_異動主檔'!$B:$B,113,'01_異動主檔'!$D:$D,B424,'01_異動主檔'!$E:$E,"移出")</f>
        <v/>
      </c>
      <c r="G424" s="4">
        <f>SUMIFS('01_異動主檔'!$F:$F,'01_異動主檔'!$B:$B,113,'01_異動主檔'!$D:$D,B424,'01_異動主檔'!$E:$E,"新增")</f>
        <v/>
      </c>
      <c r="H424" s="4">
        <f>-SUMIFS('01_異動主檔'!$F:$F,'01_異動主檔'!$B:$B,113,'01_異動主檔'!$D:$D,B424,'01_異動主檔'!$E:$E,"減列")</f>
        <v/>
      </c>
      <c r="I424" s="4">
        <f>-SUMIFS('01_異動主檔'!$F:$F,'01_異動主檔'!$B:$B,113,'01_異動主檔'!$D:$D,B424,'01_異動主檔'!$E:$E,"精簡")</f>
        <v/>
      </c>
      <c r="J424" s="10">
        <f>D424+E424+F424+G424+H424+I424</f>
        <v/>
      </c>
    </row>
    <row r="425" ht="18" customHeight="1">
      <c r="A425" s="4" t="inlineStr">
        <is>
          <t>B008</t>
        </is>
      </c>
      <c r="B425" s="3" t="inlineStr">
        <is>
          <t>第八組</t>
        </is>
      </c>
      <c r="C425" s="4" t="n">
        <v>114</v>
      </c>
      <c r="D425" s="10">
        <f>J424</f>
        <v/>
      </c>
      <c r="E425" s="4">
        <f>SUMIFS('01_異動主檔'!$F:$F,'01_異動主檔'!$B:$B,114,'01_異動主檔'!$D:$D,B425,'01_異動主檔'!$E:$E,"移入")</f>
        <v/>
      </c>
      <c r="F425" s="4">
        <f>-SUMIFS('01_異動主檔'!$F:$F,'01_異動主檔'!$B:$B,114,'01_異動主檔'!$D:$D,B425,'01_異動主檔'!$E:$E,"移出")</f>
        <v/>
      </c>
      <c r="G425" s="4">
        <f>SUMIFS('01_異動主檔'!$F:$F,'01_異動主檔'!$B:$B,114,'01_異動主檔'!$D:$D,B425,'01_異動主檔'!$E:$E,"新增")</f>
        <v/>
      </c>
      <c r="H425" s="4">
        <f>-SUMIFS('01_異動主檔'!$F:$F,'01_異動主檔'!$B:$B,114,'01_異動主檔'!$D:$D,B425,'01_異動主檔'!$E:$E,"減列")</f>
        <v/>
      </c>
      <c r="I425" s="4">
        <f>-SUMIFS('01_異動主檔'!$F:$F,'01_異動主檔'!$B:$B,114,'01_異動主檔'!$D:$D,B425,'01_異動主檔'!$E:$E,"精簡")</f>
        <v/>
      </c>
      <c r="J425" s="10">
        <f>D425+E425+F425+G425+H425+I425</f>
        <v/>
      </c>
    </row>
    <row r="426" ht="18" customHeight="1">
      <c r="A426" s="6" t="inlineStr">
        <is>
          <t>B008</t>
        </is>
      </c>
      <c r="B426" s="5" t="inlineStr">
        <is>
          <t>第八組</t>
        </is>
      </c>
      <c r="C426" s="6" t="n">
        <v>115</v>
      </c>
      <c r="D426" s="10">
        <f>J425</f>
        <v/>
      </c>
      <c r="E426" s="4">
        <f>SUMIFS('01_異動主檔'!$F:$F,'01_異動主檔'!$B:$B,115,'01_異動主檔'!$D:$D,B426,'01_異動主檔'!$E:$E,"移入")</f>
        <v/>
      </c>
      <c r="F426" s="4">
        <f>-SUMIFS('01_異動主檔'!$F:$F,'01_異動主檔'!$B:$B,115,'01_異動主檔'!$D:$D,B426,'01_異動主檔'!$E:$E,"移出")</f>
        <v/>
      </c>
      <c r="G426" s="4">
        <f>SUMIFS('01_異動主檔'!$F:$F,'01_異動主檔'!$B:$B,115,'01_異動主檔'!$D:$D,B426,'01_異動主檔'!$E:$E,"新增")</f>
        <v/>
      </c>
      <c r="H426" s="4">
        <f>-SUMIFS('01_異動主檔'!$F:$F,'01_異動主檔'!$B:$B,115,'01_異動主檔'!$D:$D,B426,'01_異動主檔'!$E:$E,"減列")</f>
        <v/>
      </c>
      <c r="I426" s="4">
        <f>-SUMIFS('01_異動主檔'!$F:$F,'01_異動主檔'!$B:$B,115,'01_異動主檔'!$D:$D,B426,'01_異動主檔'!$E:$E,"精簡")</f>
        <v/>
      </c>
      <c r="J426" s="10">
        <f>D426+E426+F426+G426+H426+I426</f>
        <v/>
      </c>
    </row>
    <row r="427" ht="18" customHeight="1">
      <c r="A427" s="4" t="inlineStr">
        <is>
          <t>B008</t>
        </is>
      </c>
      <c r="B427" s="3" t="inlineStr">
        <is>
          <t>第八組</t>
        </is>
      </c>
      <c r="C427" s="4" t="n">
        <v>116</v>
      </c>
      <c r="D427" s="10">
        <f>J426</f>
        <v/>
      </c>
      <c r="E427" s="4">
        <f>SUMIFS('01_異動主檔'!$F:$F,'01_異動主檔'!$B:$B,116,'01_異動主檔'!$D:$D,B427,'01_異動主檔'!$E:$E,"移入")</f>
        <v/>
      </c>
      <c r="F427" s="4">
        <f>-SUMIFS('01_異動主檔'!$F:$F,'01_異動主檔'!$B:$B,116,'01_異動主檔'!$D:$D,B427,'01_異動主檔'!$E:$E,"移出")</f>
        <v/>
      </c>
      <c r="G427" s="4">
        <f>SUMIFS('01_異動主檔'!$F:$F,'01_異動主檔'!$B:$B,116,'01_異動主檔'!$D:$D,B427,'01_異動主檔'!$E:$E,"新增")</f>
        <v/>
      </c>
      <c r="H427" s="4">
        <f>-SUMIFS('01_異動主檔'!$F:$F,'01_異動主檔'!$B:$B,116,'01_異動主檔'!$D:$D,B427,'01_異動主檔'!$E:$E,"減列")</f>
        <v/>
      </c>
      <c r="I427" s="4">
        <f>-SUMIFS('01_異動主檔'!$F:$F,'01_異動主檔'!$B:$B,116,'01_異動主檔'!$D:$D,B427,'01_異動主檔'!$E:$E,"精簡")</f>
        <v/>
      </c>
      <c r="J427" s="10">
        <f>D427+E427+F427+G427+H427+I427</f>
        <v/>
      </c>
    </row>
    <row r="428" ht="18" customHeight="1">
      <c r="A428" s="6" t="inlineStr">
        <is>
          <t>B008</t>
        </is>
      </c>
      <c r="B428" s="5" t="inlineStr">
        <is>
          <t>第八組</t>
        </is>
      </c>
      <c r="C428" s="6" t="n">
        <v>117</v>
      </c>
      <c r="D428" s="10">
        <f>J427</f>
        <v/>
      </c>
      <c r="E428" s="4">
        <f>SUMIFS('01_異動主檔'!$F:$F,'01_異動主檔'!$B:$B,117,'01_異動主檔'!$D:$D,B428,'01_異動主檔'!$E:$E,"移入")</f>
        <v/>
      </c>
      <c r="F428" s="4">
        <f>-SUMIFS('01_異動主檔'!$F:$F,'01_異動主檔'!$B:$B,117,'01_異動主檔'!$D:$D,B428,'01_異動主檔'!$E:$E,"移出")</f>
        <v/>
      </c>
      <c r="G428" s="4">
        <f>SUMIFS('01_異動主檔'!$F:$F,'01_異動主檔'!$B:$B,117,'01_異動主檔'!$D:$D,B428,'01_異動主檔'!$E:$E,"新增")</f>
        <v/>
      </c>
      <c r="H428" s="4">
        <f>-SUMIFS('01_異動主檔'!$F:$F,'01_異動主檔'!$B:$B,117,'01_異動主檔'!$D:$D,B428,'01_異動主檔'!$E:$E,"減列")</f>
        <v/>
      </c>
      <c r="I428" s="4">
        <f>-SUMIFS('01_異動主檔'!$F:$F,'01_異動主檔'!$B:$B,117,'01_異動主檔'!$D:$D,B428,'01_異動主檔'!$E:$E,"精簡")</f>
        <v/>
      </c>
      <c r="J428" s="10">
        <f>D428+E428+F428+G428+H428+I428</f>
        <v/>
      </c>
    </row>
    <row r="429" ht="18" customHeight="1">
      <c r="A429" s="4" t="inlineStr">
        <is>
          <t>B008</t>
        </is>
      </c>
      <c r="B429" s="3" t="inlineStr">
        <is>
          <t>第八組</t>
        </is>
      </c>
      <c r="C429" s="4" t="n">
        <v>118</v>
      </c>
      <c r="D429" s="10">
        <f>J428</f>
        <v/>
      </c>
      <c r="E429" s="4">
        <f>SUMIFS('01_異動主檔'!$F:$F,'01_異動主檔'!$B:$B,118,'01_異動主檔'!$D:$D,B429,'01_異動主檔'!$E:$E,"移入")</f>
        <v/>
      </c>
      <c r="F429" s="4">
        <f>-SUMIFS('01_異動主檔'!$F:$F,'01_異動主檔'!$B:$B,118,'01_異動主檔'!$D:$D,B429,'01_異動主檔'!$E:$E,"移出")</f>
        <v/>
      </c>
      <c r="G429" s="4">
        <f>SUMIFS('01_異動主檔'!$F:$F,'01_異動主檔'!$B:$B,118,'01_異動主檔'!$D:$D,B429,'01_異動主檔'!$E:$E,"新增")</f>
        <v/>
      </c>
      <c r="H429" s="4">
        <f>-SUMIFS('01_異動主檔'!$F:$F,'01_異動主檔'!$B:$B,118,'01_異動主檔'!$D:$D,B429,'01_異動主檔'!$E:$E,"減列")</f>
        <v/>
      </c>
      <c r="I429" s="4">
        <f>-SUMIFS('01_異動主檔'!$F:$F,'01_異動主檔'!$B:$B,118,'01_異動主檔'!$D:$D,B429,'01_異動主檔'!$E:$E,"精簡")</f>
        <v/>
      </c>
      <c r="J429" s="10">
        <f>D429+E429+F429+G429+H429+I429</f>
        <v/>
      </c>
    </row>
    <row r="430" ht="18" customHeight="1">
      <c r="A430" s="6" t="inlineStr">
        <is>
          <t>B008</t>
        </is>
      </c>
      <c r="B430" s="5" t="inlineStr">
        <is>
          <t>第八組</t>
        </is>
      </c>
      <c r="C430" s="6" t="n">
        <v>119</v>
      </c>
      <c r="D430" s="10">
        <f>J429</f>
        <v/>
      </c>
      <c r="E430" s="4">
        <f>SUMIFS('01_異動主檔'!$F:$F,'01_異動主檔'!$B:$B,119,'01_異動主檔'!$D:$D,B430,'01_異動主檔'!$E:$E,"移入")</f>
        <v/>
      </c>
      <c r="F430" s="4">
        <f>-SUMIFS('01_異動主檔'!$F:$F,'01_異動主檔'!$B:$B,119,'01_異動主檔'!$D:$D,B430,'01_異動主檔'!$E:$E,"移出")</f>
        <v/>
      </c>
      <c r="G430" s="4">
        <f>SUMIFS('01_異動主檔'!$F:$F,'01_異動主檔'!$B:$B,119,'01_異動主檔'!$D:$D,B430,'01_異動主檔'!$E:$E,"新增")</f>
        <v/>
      </c>
      <c r="H430" s="4">
        <f>-SUMIFS('01_異動主檔'!$F:$F,'01_異動主檔'!$B:$B,119,'01_異動主檔'!$D:$D,B430,'01_異動主檔'!$E:$E,"減列")</f>
        <v/>
      </c>
      <c r="I430" s="4">
        <f>-SUMIFS('01_異動主檔'!$F:$F,'01_異動主檔'!$B:$B,119,'01_異動主檔'!$D:$D,B430,'01_異動主檔'!$E:$E,"精簡")</f>
        <v/>
      </c>
      <c r="J430" s="10">
        <f>D430+E430+F430+G430+H430+I430</f>
        <v/>
      </c>
    </row>
    <row r="431" ht="18" customHeight="1">
      <c r="A431" s="4" t="inlineStr">
        <is>
          <t>B008</t>
        </is>
      </c>
      <c r="B431" s="3" t="inlineStr">
        <is>
          <t>第八組</t>
        </is>
      </c>
      <c r="C431" s="4" t="n">
        <v>120</v>
      </c>
      <c r="D431" s="10">
        <f>J430</f>
        <v/>
      </c>
      <c r="E431" s="4">
        <f>SUMIFS('01_異動主檔'!$F:$F,'01_異動主檔'!$B:$B,120,'01_異動主檔'!$D:$D,B431,'01_異動主檔'!$E:$E,"移入")</f>
        <v/>
      </c>
      <c r="F431" s="4">
        <f>-SUMIFS('01_異動主檔'!$F:$F,'01_異動主檔'!$B:$B,120,'01_異動主檔'!$D:$D,B431,'01_異動主檔'!$E:$E,"移出")</f>
        <v/>
      </c>
      <c r="G431" s="4">
        <f>SUMIFS('01_異動主檔'!$F:$F,'01_異動主檔'!$B:$B,120,'01_異動主檔'!$D:$D,B431,'01_異動主檔'!$E:$E,"新增")</f>
        <v/>
      </c>
      <c r="H431" s="4">
        <f>-SUMIFS('01_異動主檔'!$F:$F,'01_異動主檔'!$B:$B,120,'01_異動主檔'!$D:$D,B431,'01_異動主檔'!$E:$E,"減列")</f>
        <v/>
      </c>
      <c r="I431" s="4">
        <f>-SUMIFS('01_異動主檔'!$F:$F,'01_異動主檔'!$B:$B,120,'01_異動主檔'!$D:$D,B431,'01_異動主檔'!$E:$E,"精簡")</f>
        <v/>
      </c>
      <c r="J431" s="10">
        <f>D431+E431+F431+G431+H431+I431</f>
        <v/>
      </c>
    </row>
    <row r="432" ht="18" customHeight="1">
      <c r="A432" s="6" t="inlineStr">
        <is>
          <t>B008</t>
        </is>
      </c>
      <c r="B432" s="5" t="inlineStr">
        <is>
          <t>第八組</t>
        </is>
      </c>
      <c r="C432" s="6" t="n">
        <v>121</v>
      </c>
      <c r="D432" s="10">
        <f>J431</f>
        <v/>
      </c>
      <c r="E432" s="4">
        <f>SUMIFS('01_異動主檔'!$F:$F,'01_異動主檔'!$B:$B,121,'01_異動主檔'!$D:$D,B432,'01_異動主檔'!$E:$E,"移入")</f>
        <v/>
      </c>
      <c r="F432" s="4">
        <f>-SUMIFS('01_異動主檔'!$F:$F,'01_異動主檔'!$B:$B,121,'01_異動主檔'!$D:$D,B432,'01_異動主檔'!$E:$E,"移出")</f>
        <v/>
      </c>
      <c r="G432" s="4">
        <f>SUMIFS('01_異動主檔'!$F:$F,'01_異動主檔'!$B:$B,121,'01_異動主檔'!$D:$D,B432,'01_異動主檔'!$E:$E,"新增")</f>
        <v/>
      </c>
      <c r="H432" s="4">
        <f>-SUMIFS('01_異動主檔'!$F:$F,'01_異動主檔'!$B:$B,121,'01_異動主檔'!$D:$D,B432,'01_異動主檔'!$E:$E,"減列")</f>
        <v/>
      </c>
      <c r="I432" s="4">
        <f>-SUMIFS('01_異動主檔'!$F:$F,'01_異動主檔'!$B:$B,121,'01_異動主檔'!$D:$D,B432,'01_異動主檔'!$E:$E,"精簡")</f>
        <v/>
      </c>
      <c r="J432" s="10">
        <f>D432+E432+F432+G432+H432+I432</f>
        <v/>
      </c>
    </row>
    <row r="433" ht="18" customHeight="1">
      <c r="A433" s="4" t="inlineStr">
        <is>
          <t>B008</t>
        </is>
      </c>
      <c r="B433" s="3" t="inlineStr">
        <is>
          <t>第八組</t>
        </is>
      </c>
      <c r="C433" s="4" t="n">
        <v>122</v>
      </c>
      <c r="D433" s="10">
        <f>J432</f>
        <v/>
      </c>
      <c r="E433" s="4">
        <f>SUMIFS('01_異動主檔'!$F:$F,'01_異動主檔'!$B:$B,122,'01_異動主檔'!$D:$D,B433,'01_異動主檔'!$E:$E,"移入")</f>
        <v/>
      </c>
      <c r="F433" s="4">
        <f>-SUMIFS('01_異動主檔'!$F:$F,'01_異動主檔'!$B:$B,122,'01_異動主檔'!$D:$D,B433,'01_異動主檔'!$E:$E,"移出")</f>
        <v/>
      </c>
      <c r="G433" s="4">
        <f>SUMIFS('01_異動主檔'!$F:$F,'01_異動主檔'!$B:$B,122,'01_異動主檔'!$D:$D,B433,'01_異動主檔'!$E:$E,"新增")</f>
        <v/>
      </c>
      <c r="H433" s="4">
        <f>-SUMIFS('01_異動主檔'!$F:$F,'01_異動主檔'!$B:$B,122,'01_異動主檔'!$D:$D,B433,'01_異動主檔'!$E:$E,"減列")</f>
        <v/>
      </c>
      <c r="I433" s="4">
        <f>-SUMIFS('01_異動主檔'!$F:$F,'01_異動主檔'!$B:$B,122,'01_異動主檔'!$D:$D,B433,'01_異動主檔'!$E:$E,"精簡")</f>
        <v/>
      </c>
      <c r="J433" s="10">
        <f>D433+E433+F433+G433+H433+I433</f>
        <v/>
      </c>
    </row>
    <row r="434" ht="18" customHeight="1">
      <c r="A434" s="6" t="inlineStr">
        <is>
          <t>B008</t>
        </is>
      </c>
      <c r="B434" s="5" t="inlineStr">
        <is>
          <t>第八組</t>
        </is>
      </c>
      <c r="C434" s="6" t="n">
        <v>123</v>
      </c>
      <c r="D434" s="10">
        <f>J433</f>
        <v/>
      </c>
      <c r="E434" s="4">
        <f>SUMIFS('01_異動主檔'!$F:$F,'01_異動主檔'!$B:$B,123,'01_異動主檔'!$D:$D,B434,'01_異動主檔'!$E:$E,"移入")</f>
        <v/>
      </c>
      <c r="F434" s="4">
        <f>-SUMIFS('01_異動主檔'!$F:$F,'01_異動主檔'!$B:$B,123,'01_異動主檔'!$D:$D,B434,'01_異動主檔'!$E:$E,"移出")</f>
        <v/>
      </c>
      <c r="G434" s="4">
        <f>SUMIFS('01_異動主檔'!$F:$F,'01_異動主檔'!$B:$B,123,'01_異動主檔'!$D:$D,B434,'01_異動主檔'!$E:$E,"新增")</f>
        <v/>
      </c>
      <c r="H434" s="4">
        <f>-SUMIFS('01_異動主檔'!$F:$F,'01_異動主檔'!$B:$B,123,'01_異動主檔'!$D:$D,B434,'01_異動主檔'!$E:$E,"減列")</f>
        <v/>
      </c>
      <c r="I434" s="4">
        <f>-SUMIFS('01_異動主檔'!$F:$F,'01_異動主檔'!$B:$B,123,'01_異動主檔'!$D:$D,B434,'01_異動主檔'!$E:$E,"精簡")</f>
        <v/>
      </c>
      <c r="J434" s="10">
        <f>D434+E434+F434+G434+H434+I434</f>
        <v/>
      </c>
    </row>
    <row r="435" ht="18" customHeight="1">
      <c r="A435" s="4" t="inlineStr">
        <is>
          <t>B008</t>
        </is>
      </c>
      <c r="B435" s="3" t="inlineStr">
        <is>
          <t>第八組</t>
        </is>
      </c>
      <c r="C435" s="4" t="n">
        <v>124</v>
      </c>
      <c r="D435" s="10">
        <f>J434</f>
        <v/>
      </c>
      <c r="E435" s="4">
        <f>SUMIFS('01_異動主檔'!$F:$F,'01_異動主檔'!$B:$B,124,'01_異動主檔'!$D:$D,B435,'01_異動主檔'!$E:$E,"移入")</f>
        <v/>
      </c>
      <c r="F435" s="4">
        <f>-SUMIFS('01_異動主檔'!$F:$F,'01_異動主檔'!$B:$B,124,'01_異動主檔'!$D:$D,B435,'01_異動主檔'!$E:$E,"移出")</f>
        <v/>
      </c>
      <c r="G435" s="4">
        <f>SUMIFS('01_異動主檔'!$F:$F,'01_異動主檔'!$B:$B,124,'01_異動主檔'!$D:$D,B435,'01_異動主檔'!$E:$E,"新增")</f>
        <v/>
      </c>
      <c r="H435" s="4">
        <f>-SUMIFS('01_異動主檔'!$F:$F,'01_異動主檔'!$B:$B,124,'01_異動主檔'!$D:$D,B435,'01_異動主檔'!$E:$E,"減列")</f>
        <v/>
      </c>
      <c r="I435" s="4">
        <f>-SUMIFS('01_異動主檔'!$F:$F,'01_異動主檔'!$B:$B,124,'01_異動主檔'!$D:$D,B435,'01_異動主檔'!$E:$E,"精簡")</f>
        <v/>
      </c>
      <c r="J435" s="10">
        <f>D435+E435+F435+G435+H435+I435</f>
        <v/>
      </c>
    </row>
    <row r="436" ht="18" customHeight="1">
      <c r="A436" s="6" t="inlineStr">
        <is>
          <t>B008</t>
        </is>
      </c>
      <c r="B436" s="5" t="inlineStr">
        <is>
          <t>第八組</t>
        </is>
      </c>
      <c r="C436" s="6" t="n">
        <v>125</v>
      </c>
      <c r="D436" s="10">
        <f>J435</f>
        <v/>
      </c>
      <c r="E436" s="4">
        <f>SUMIFS('01_異動主檔'!$F:$F,'01_異動主檔'!$B:$B,125,'01_異動主檔'!$D:$D,B436,'01_異動主檔'!$E:$E,"移入")</f>
        <v/>
      </c>
      <c r="F436" s="4">
        <f>-SUMIFS('01_異動主檔'!$F:$F,'01_異動主檔'!$B:$B,125,'01_異動主檔'!$D:$D,B436,'01_異動主檔'!$E:$E,"移出")</f>
        <v/>
      </c>
      <c r="G436" s="4">
        <f>SUMIFS('01_異動主檔'!$F:$F,'01_異動主檔'!$B:$B,125,'01_異動主檔'!$D:$D,B436,'01_異動主檔'!$E:$E,"新增")</f>
        <v/>
      </c>
      <c r="H436" s="4">
        <f>-SUMIFS('01_異動主檔'!$F:$F,'01_異動主檔'!$B:$B,125,'01_異動主檔'!$D:$D,B436,'01_異動主檔'!$E:$E,"減列")</f>
        <v/>
      </c>
      <c r="I436" s="4">
        <f>-SUMIFS('01_異動主檔'!$F:$F,'01_異動主檔'!$B:$B,125,'01_異動主檔'!$D:$D,B436,'01_異動主檔'!$E:$E,"精簡")</f>
        <v/>
      </c>
      <c r="J436" s="10">
        <f>D436+E436+F436+G436+H436+I436</f>
        <v/>
      </c>
    </row>
    <row r="437" ht="18" customHeight="1">
      <c r="A437" s="4" t="inlineStr">
        <is>
          <t>C001</t>
        </is>
      </c>
      <c r="B437" s="3" t="inlineStr">
        <is>
          <t>台北分局</t>
        </is>
      </c>
      <c r="C437" s="4" t="n">
        <v>99</v>
      </c>
      <c r="D437" s="10">
        <f>'02_年初員額設定'!C21</f>
        <v/>
      </c>
      <c r="E437" s="4">
        <f>SUMIFS('01_異動主檔'!$F:$F,'01_異動主檔'!$B:$B,99,'01_異動主檔'!$D:$D,B437,'01_異動主檔'!$E:$E,"移入")</f>
        <v/>
      </c>
      <c r="F437" s="4">
        <f>-SUMIFS('01_異動主檔'!$F:$F,'01_異動主檔'!$B:$B,99,'01_異動主檔'!$D:$D,B437,'01_異動主檔'!$E:$E,"移出")</f>
        <v/>
      </c>
      <c r="G437" s="4">
        <f>SUMIFS('01_異動主檔'!$F:$F,'01_異動主檔'!$B:$B,99,'01_異動主檔'!$D:$D,B437,'01_異動主檔'!$E:$E,"新增")</f>
        <v/>
      </c>
      <c r="H437" s="4">
        <f>-SUMIFS('01_異動主檔'!$F:$F,'01_異動主檔'!$B:$B,99,'01_異動主檔'!$D:$D,B437,'01_異動主檔'!$E:$E,"減列")</f>
        <v/>
      </c>
      <c r="I437" s="4">
        <f>-SUMIFS('01_異動主檔'!$F:$F,'01_異動主檔'!$B:$B,99,'01_異動主檔'!$D:$D,B437,'01_異動主檔'!$E:$E,"精簡")</f>
        <v/>
      </c>
      <c r="J437" s="10">
        <f>D437+E437+F437+G437+H437+I437</f>
        <v/>
      </c>
    </row>
    <row r="438" ht="18" customHeight="1">
      <c r="A438" s="6" t="inlineStr">
        <is>
          <t>C001</t>
        </is>
      </c>
      <c r="B438" s="5" t="inlineStr">
        <is>
          <t>台北分局</t>
        </is>
      </c>
      <c r="C438" s="6" t="n">
        <v>100</v>
      </c>
      <c r="D438" s="10">
        <f>J437</f>
        <v/>
      </c>
      <c r="E438" s="4">
        <f>SUMIFS('01_異動主檔'!$F:$F,'01_異動主檔'!$B:$B,100,'01_異動主檔'!$D:$D,B438,'01_異動主檔'!$E:$E,"移入")</f>
        <v/>
      </c>
      <c r="F438" s="4">
        <f>-SUMIFS('01_異動主檔'!$F:$F,'01_異動主檔'!$B:$B,100,'01_異動主檔'!$D:$D,B438,'01_異動主檔'!$E:$E,"移出")</f>
        <v/>
      </c>
      <c r="G438" s="4">
        <f>SUMIFS('01_異動主檔'!$F:$F,'01_異動主檔'!$B:$B,100,'01_異動主檔'!$D:$D,B438,'01_異動主檔'!$E:$E,"新增")</f>
        <v/>
      </c>
      <c r="H438" s="4">
        <f>-SUMIFS('01_異動主檔'!$F:$F,'01_異動主檔'!$B:$B,100,'01_異動主檔'!$D:$D,B438,'01_異動主檔'!$E:$E,"減列")</f>
        <v/>
      </c>
      <c r="I438" s="4">
        <f>-SUMIFS('01_異動主檔'!$F:$F,'01_異動主檔'!$B:$B,100,'01_異動主檔'!$D:$D,B438,'01_異動主檔'!$E:$E,"精簡")</f>
        <v/>
      </c>
      <c r="J438" s="10">
        <f>D438+E438+F438+G438+H438+I438</f>
        <v/>
      </c>
    </row>
    <row r="439" ht="18" customHeight="1">
      <c r="A439" s="4" t="inlineStr">
        <is>
          <t>C001</t>
        </is>
      </c>
      <c r="B439" s="3" t="inlineStr">
        <is>
          <t>台北分局</t>
        </is>
      </c>
      <c r="C439" s="4" t="n">
        <v>101</v>
      </c>
      <c r="D439" s="10">
        <f>J438</f>
        <v/>
      </c>
      <c r="E439" s="4">
        <f>SUMIFS('01_異動主檔'!$F:$F,'01_異動主檔'!$B:$B,101,'01_異動主檔'!$D:$D,B439,'01_異動主檔'!$E:$E,"移入")</f>
        <v/>
      </c>
      <c r="F439" s="4">
        <f>-SUMIFS('01_異動主檔'!$F:$F,'01_異動主檔'!$B:$B,101,'01_異動主檔'!$D:$D,B439,'01_異動主檔'!$E:$E,"移出")</f>
        <v/>
      </c>
      <c r="G439" s="4">
        <f>SUMIFS('01_異動主檔'!$F:$F,'01_異動主檔'!$B:$B,101,'01_異動主檔'!$D:$D,B439,'01_異動主檔'!$E:$E,"新增")</f>
        <v/>
      </c>
      <c r="H439" s="4">
        <f>-SUMIFS('01_異動主檔'!$F:$F,'01_異動主檔'!$B:$B,101,'01_異動主檔'!$D:$D,B439,'01_異動主檔'!$E:$E,"減列")</f>
        <v/>
      </c>
      <c r="I439" s="4">
        <f>-SUMIFS('01_異動主檔'!$F:$F,'01_異動主檔'!$B:$B,101,'01_異動主檔'!$D:$D,B439,'01_異動主檔'!$E:$E,"精簡")</f>
        <v/>
      </c>
      <c r="J439" s="10">
        <f>D439+E439+F439+G439+H439+I439</f>
        <v/>
      </c>
    </row>
    <row r="440" ht="18" customHeight="1">
      <c r="A440" s="6" t="inlineStr">
        <is>
          <t>C001</t>
        </is>
      </c>
      <c r="B440" s="5" t="inlineStr">
        <is>
          <t>台北分局</t>
        </is>
      </c>
      <c r="C440" s="6" t="n">
        <v>102</v>
      </c>
      <c r="D440" s="10">
        <f>J439</f>
        <v/>
      </c>
      <c r="E440" s="4">
        <f>SUMIFS('01_異動主檔'!$F:$F,'01_異動主檔'!$B:$B,102,'01_異動主檔'!$D:$D,B440,'01_異動主檔'!$E:$E,"移入")</f>
        <v/>
      </c>
      <c r="F440" s="4">
        <f>-SUMIFS('01_異動主檔'!$F:$F,'01_異動主檔'!$B:$B,102,'01_異動主檔'!$D:$D,B440,'01_異動主檔'!$E:$E,"移出")</f>
        <v/>
      </c>
      <c r="G440" s="4">
        <f>SUMIFS('01_異動主檔'!$F:$F,'01_異動主檔'!$B:$B,102,'01_異動主檔'!$D:$D,B440,'01_異動主檔'!$E:$E,"新增")</f>
        <v/>
      </c>
      <c r="H440" s="4">
        <f>-SUMIFS('01_異動主檔'!$F:$F,'01_異動主檔'!$B:$B,102,'01_異動主檔'!$D:$D,B440,'01_異動主檔'!$E:$E,"減列")</f>
        <v/>
      </c>
      <c r="I440" s="4">
        <f>-SUMIFS('01_異動主檔'!$F:$F,'01_異動主檔'!$B:$B,102,'01_異動主檔'!$D:$D,B440,'01_異動主檔'!$E:$E,"精簡")</f>
        <v/>
      </c>
      <c r="J440" s="10">
        <f>D440+E440+F440+G440+H440+I440</f>
        <v/>
      </c>
    </row>
    <row r="441" ht="18" customHeight="1">
      <c r="A441" s="4" t="inlineStr">
        <is>
          <t>C001</t>
        </is>
      </c>
      <c r="B441" s="3" t="inlineStr">
        <is>
          <t>台北分局</t>
        </is>
      </c>
      <c r="C441" s="4" t="n">
        <v>103</v>
      </c>
      <c r="D441" s="10">
        <f>J440</f>
        <v/>
      </c>
      <c r="E441" s="4">
        <f>SUMIFS('01_異動主檔'!$F:$F,'01_異動主檔'!$B:$B,103,'01_異動主檔'!$D:$D,B441,'01_異動主檔'!$E:$E,"移入")</f>
        <v/>
      </c>
      <c r="F441" s="4">
        <f>-SUMIFS('01_異動主檔'!$F:$F,'01_異動主檔'!$B:$B,103,'01_異動主檔'!$D:$D,B441,'01_異動主檔'!$E:$E,"移出")</f>
        <v/>
      </c>
      <c r="G441" s="4">
        <f>SUMIFS('01_異動主檔'!$F:$F,'01_異動主檔'!$B:$B,103,'01_異動主檔'!$D:$D,B441,'01_異動主檔'!$E:$E,"新增")</f>
        <v/>
      </c>
      <c r="H441" s="4">
        <f>-SUMIFS('01_異動主檔'!$F:$F,'01_異動主檔'!$B:$B,103,'01_異動主檔'!$D:$D,B441,'01_異動主檔'!$E:$E,"減列")</f>
        <v/>
      </c>
      <c r="I441" s="4">
        <f>-SUMIFS('01_異動主檔'!$F:$F,'01_異動主檔'!$B:$B,103,'01_異動主檔'!$D:$D,B441,'01_異動主檔'!$E:$E,"精簡")</f>
        <v/>
      </c>
      <c r="J441" s="10">
        <f>D441+E441+F441+G441+H441+I441</f>
        <v/>
      </c>
    </row>
    <row r="442" ht="18" customHeight="1">
      <c r="A442" s="6" t="inlineStr">
        <is>
          <t>C001</t>
        </is>
      </c>
      <c r="B442" s="5" t="inlineStr">
        <is>
          <t>台北分局</t>
        </is>
      </c>
      <c r="C442" s="6" t="n">
        <v>104</v>
      </c>
      <c r="D442" s="10">
        <f>J441</f>
        <v/>
      </c>
      <c r="E442" s="4">
        <f>SUMIFS('01_異動主檔'!$F:$F,'01_異動主檔'!$B:$B,104,'01_異動主檔'!$D:$D,B442,'01_異動主檔'!$E:$E,"移入")</f>
        <v/>
      </c>
      <c r="F442" s="4">
        <f>-SUMIFS('01_異動主檔'!$F:$F,'01_異動主檔'!$B:$B,104,'01_異動主檔'!$D:$D,B442,'01_異動主檔'!$E:$E,"移出")</f>
        <v/>
      </c>
      <c r="G442" s="4">
        <f>SUMIFS('01_異動主檔'!$F:$F,'01_異動主檔'!$B:$B,104,'01_異動主檔'!$D:$D,B442,'01_異動主檔'!$E:$E,"新增")</f>
        <v/>
      </c>
      <c r="H442" s="4">
        <f>-SUMIFS('01_異動主檔'!$F:$F,'01_異動主檔'!$B:$B,104,'01_異動主檔'!$D:$D,B442,'01_異動主檔'!$E:$E,"減列")</f>
        <v/>
      </c>
      <c r="I442" s="4">
        <f>-SUMIFS('01_異動主檔'!$F:$F,'01_異動主檔'!$B:$B,104,'01_異動主檔'!$D:$D,B442,'01_異動主檔'!$E:$E,"精簡")</f>
        <v/>
      </c>
      <c r="J442" s="10">
        <f>D442+E442+F442+G442+H442+I442</f>
        <v/>
      </c>
    </row>
    <row r="443" ht="18" customHeight="1">
      <c r="A443" s="4" t="inlineStr">
        <is>
          <t>C001</t>
        </is>
      </c>
      <c r="B443" s="3" t="inlineStr">
        <is>
          <t>台北分局</t>
        </is>
      </c>
      <c r="C443" s="4" t="n">
        <v>105</v>
      </c>
      <c r="D443" s="10">
        <f>J442</f>
        <v/>
      </c>
      <c r="E443" s="4">
        <f>SUMIFS('01_異動主檔'!$F:$F,'01_異動主檔'!$B:$B,105,'01_異動主檔'!$D:$D,B443,'01_異動主檔'!$E:$E,"移入")</f>
        <v/>
      </c>
      <c r="F443" s="4">
        <f>-SUMIFS('01_異動主檔'!$F:$F,'01_異動主檔'!$B:$B,105,'01_異動主檔'!$D:$D,B443,'01_異動主檔'!$E:$E,"移出")</f>
        <v/>
      </c>
      <c r="G443" s="4">
        <f>SUMIFS('01_異動主檔'!$F:$F,'01_異動主檔'!$B:$B,105,'01_異動主檔'!$D:$D,B443,'01_異動主檔'!$E:$E,"新增")</f>
        <v/>
      </c>
      <c r="H443" s="4">
        <f>-SUMIFS('01_異動主檔'!$F:$F,'01_異動主檔'!$B:$B,105,'01_異動主檔'!$D:$D,B443,'01_異動主檔'!$E:$E,"減列")</f>
        <v/>
      </c>
      <c r="I443" s="4">
        <f>-SUMIFS('01_異動主檔'!$F:$F,'01_異動主檔'!$B:$B,105,'01_異動主檔'!$D:$D,B443,'01_異動主檔'!$E:$E,"精簡")</f>
        <v/>
      </c>
      <c r="J443" s="10">
        <f>D443+E443+F443+G443+H443+I443</f>
        <v/>
      </c>
    </row>
    <row r="444" ht="18" customHeight="1">
      <c r="A444" s="6" t="inlineStr">
        <is>
          <t>C001</t>
        </is>
      </c>
      <c r="B444" s="5" t="inlineStr">
        <is>
          <t>台北分局</t>
        </is>
      </c>
      <c r="C444" s="6" t="n">
        <v>106</v>
      </c>
      <c r="D444" s="10">
        <f>J443</f>
        <v/>
      </c>
      <c r="E444" s="4">
        <f>SUMIFS('01_異動主檔'!$F:$F,'01_異動主檔'!$B:$B,106,'01_異動主檔'!$D:$D,B444,'01_異動主檔'!$E:$E,"移入")</f>
        <v/>
      </c>
      <c r="F444" s="4">
        <f>-SUMIFS('01_異動主檔'!$F:$F,'01_異動主檔'!$B:$B,106,'01_異動主檔'!$D:$D,B444,'01_異動主檔'!$E:$E,"移出")</f>
        <v/>
      </c>
      <c r="G444" s="4">
        <f>SUMIFS('01_異動主檔'!$F:$F,'01_異動主檔'!$B:$B,106,'01_異動主檔'!$D:$D,B444,'01_異動主檔'!$E:$E,"新增")</f>
        <v/>
      </c>
      <c r="H444" s="4">
        <f>-SUMIFS('01_異動主檔'!$F:$F,'01_異動主檔'!$B:$B,106,'01_異動主檔'!$D:$D,B444,'01_異動主檔'!$E:$E,"減列")</f>
        <v/>
      </c>
      <c r="I444" s="4">
        <f>-SUMIFS('01_異動主檔'!$F:$F,'01_異動主檔'!$B:$B,106,'01_異動主檔'!$D:$D,B444,'01_異動主檔'!$E:$E,"精簡")</f>
        <v/>
      </c>
      <c r="J444" s="10">
        <f>D444+E444+F444+G444+H444+I444</f>
        <v/>
      </c>
    </row>
    <row r="445" ht="18" customHeight="1">
      <c r="A445" s="4" t="inlineStr">
        <is>
          <t>C001</t>
        </is>
      </c>
      <c r="B445" s="3" t="inlineStr">
        <is>
          <t>台北分局</t>
        </is>
      </c>
      <c r="C445" s="4" t="n">
        <v>107</v>
      </c>
      <c r="D445" s="10">
        <f>J444</f>
        <v/>
      </c>
      <c r="E445" s="4">
        <f>SUMIFS('01_異動主檔'!$F:$F,'01_異動主檔'!$B:$B,107,'01_異動主檔'!$D:$D,B445,'01_異動主檔'!$E:$E,"移入")</f>
        <v/>
      </c>
      <c r="F445" s="4">
        <f>-SUMIFS('01_異動主檔'!$F:$F,'01_異動主檔'!$B:$B,107,'01_異動主檔'!$D:$D,B445,'01_異動主檔'!$E:$E,"移出")</f>
        <v/>
      </c>
      <c r="G445" s="4">
        <f>SUMIFS('01_異動主檔'!$F:$F,'01_異動主檔'!$B:$B,107,'01_異動主檔'!$D:$D,B445,'01_異動主檔'!$E:$E,"新增")</f>
        <v/>
      </c>
      <c r="H445" s="4">
        <f>-SUMIFS('01_異動主檔'!$F:$F,'01_異動主檔'!$B:$B,107,'01_異動主檔'!$D:$D,B445,'01_異動主檔'!$E:$E,"減列")</f>
        <v/>
      </c>
      <c r="I445" s="4">
        <f>-SUMIFS('01_異動主檔'!$F:$F,'01_異動主檔'!$B:$B,107,'01_異動主檔'!$D:$D,B445,'01_異動主檔'!$E:$E,"精簡")</f>
        <v/>
      </c>
      <c r="J445" s="10">
        <f>D445+E445+F445+G445+H445+I445</f>
        <v/>
      </c>
    </row>
    <row r="446" ht="18" customHeight="1">
      <c r="A446" s="6" t="inlineStr">
        <is>
          <t>C001</t>
        </is>
      </c>
      <c r="B446" s="5" t="inlineStr">
        <is>
          <t>台北分局</t>
        </is>
      </c>
      <c r="C446" s="6" t="n">
        <v>108</v>
      </c>
      <c r="D446" s="10">
        <f>J445</f>
        <v/>
      </c>
      <c r="E446" s="4">
        <f>SUMIFS('01_異動主檔'!$F:$F,'01_異動主檔'!$B:$B,108,'01_異動主檔'!$D:$D,B446,'01_異動主檔'!$E:$E,"移入")</f>
        <v/>
      </c>
      <c r="F446" s="4">
        <f>-SUMIFS('01_異動主檔'!$F:$F,'01_異動主檔'!$B:$B,108,'01_異動主檔'!$D:$D,B446,'01_異動主檔'!$E:$E,"移出")</f>
        <v/>
      </c>
      <c r="G446" s="4">
        <f>SUMIFS('01_異動主檔'!$F:$F,'01_異動主檔'!$B:$B,108,'01_異動主檔'!$D:$D,B446,'01_異動主檔'!$E:$E,"新增")</f>
        <v/>
      </c>
      <c r="H446" s="4">
        <f>-SUMIFS('01_異動主檔'!$F:$F,'01_異動主檔'!$B:$B,108,'01_異動主檔'!$D:$D,B446,'01_異動主檔'!$E:$E,"減列")</f>
        <v/>
      </c>
      <c r="I446" s="4">
        <f>-SUMIFS('01_異動主檔'!$F:$F,'01_異動主檔'!$B:$B,108,'01_異動主檔'!$D:$D,B446,'01_異動主檔'!$E:$E,"精簡")</f>
        <v/>
      </c>
      <c r="J446" s="10">
        <f>D446+E446+F446+G446+H446+I446</f>
        <v/>
      </c>
    </row>
    <row r="447" ht="18" customHeight="1">
      <c r="A447" s="4" t="inlineStr">
        <is>
          <t>C001</t>
        </is>
      </c>
      <c r="B447" s="3" t="inlineStr">
        <is>
          <t>台北分局</t>
        </is>
      </c>
      <c r="C447" s="4" t="n">
        <v>109</v>
      </c>
      <c r="D447" s="10">
        <f>J446</f>
        <v/>
      </c>
      <c r="E447" s="4">
        <f>SUMIFS('01_異動主檔'!$F:$F,'01_異動主檔'!$B:$B,109,'01_異動主檔'!$D:$D,B447,'01_異動主檔'!$E:$E,"移入")</f>
        <v/>
      </c>
      <c r="F447" s="4">
        <f>-SUMIFS('01_異動主檔'!$F:$F,'01_異動主檔'!$B:$B,109,'01_異動主檔'!$D:$D,B447,'01_異動主檔'!$E:$E,"移出")</f>
        <v/>
      </c>
      <c r="G447" s="4">
        <f>SUMIFS('01_異動主檔'!$F:$F,'01_異動主檔'!$B:$B,109,'01_異動主檔'!$D:$D,B447,'01_異動主檔'!$E:$E,"新增")</f>
        <v/>
      </c>
      <c r="H447" s="4">
        <f>-SUMIFS('01_異動主檔'!$F:$F,'01_異動主檔'!$B:$B,109,'01_異動主檔'!$D:$D,B447,'01_異動主檔'!$E:$E,"減列")</f>
        <v/>
      </c>
      <c r="I447" s="4">
        <f>-SUMIFS('01_異動主檔'!$F:$F,'01_異動主檔'!$B:$B,109,'01_異動主檔'!$D:$D,B447,'01_異動主檔'!$E:$E,"精簡")</f>
        <v/>
      </c>
      <c r="J447" s="10">
        <f>D447+E447+F447+G447+H447+I447</f>
        <v/>
      </c>
    </row>
    <row r="448" ht="18" customHeight="1">
      <c r="A448" s="6" t="inlineStr">
        <is>
          <t>C001</t>
        </is>
      </c>
      <c r="B448" s="5" t="inlineStr">
        <is>
          <t>台北分局</t>
        </is>
      </c>
      <c r="C448" s="6" t="n">
        <v>110</v>
      </c>
      <c r="D448" s="10">
        <f>J447</f>
        <v/>
      </c>
      <c r="E448" s="4">
        <f>SUMIFS('01_異動主檔'!$F:$F,'01_異動主檔'!$B:$B,110,'01_異動主檔'!$D:$D,B448,'01_異動主檔'!$E:$E,"移入")</f>
        <v/>
      </c>
      <c r="F448" s="4">
        <f>-SUMIFS('01_異動主檔'!$F:$F,'01_異動主檔'!$B:$B,110,'01_異動主檔'!$D:$D,B448,'01_異動主檔'!$E:$E,"移出")</f>
        <v/>
      </c>
      <c r="G448" s="4">
        <f>SUMIFS('01_異動主檔'!$F:$F,'01_異動主檔'!$B:$B,110,'01_異動主檔'!$D:$D,B448,'01_異動主檔'!$E:$E,"新增")</f>
        <v/>
      </c>
      <c r="H448" s="4">
        <f>-SUMIFS('01_異動主檔'!$F:$F,'01_異動主檔'!$B:$B,110,'01_異動主檔'!$D:$D,B448,'01_異動主檔'!$E:$E,"減列")</f>
        <v/>
      </c>
      <c r="I448" s="4">
        <f>-SUMIFS('01_異動主檔'!$F:$F,'01_異動主檔'!$B:$B,110,'01_異動主檔'!$D:$D,B448,'01_異動主檔'!$E:$E,"精簡")</f>
        <v/>
      </c>
      <c r="J448" s="10">
        <f>D448+E448+F448+G448+H448+I448</f>
        <v/>
      </c>
    </row>
    <row r="449" ht="18" customHeight="1">
      <c r="A449" s="4" t="inlineStr">
        <is>
          <t>C001</t>
        </is>
      </c>
      <c r="B449" s="3" t="inlineStr">
        <is>
          <t>台北分局</t>
        </is>
      </c>
      <c r="C449" s="4" t="n">
        <v>111</v>
      </c>
      <c r="D449" s="10">
        <f>J448</f>
        <v/>
      </c>
      <c r="E449" s="4">
        <f>SUMIFS('01_異動主檔'!$F:$F,'01_異動主檔'!$B:$B,111,'01_異動主檔'!$D:$D,B449,'01_異動主檔'!$E:$E,"移入")</f>
        <v/>
      </c>
      <c r="F449" s="4">
        <f>-SUMIFS('01_異動主檔'!$F:$F,'01_異動主檔'!$B:$B,111,'01_異動主檔'!$D:$D,B449,'01_異動主檔'!$E:$E,"移出")</f>
        <v/>
      </c>
      <c r="G449" s="4">
        <f>SUMIFS('01_異動主檔'!$F:$F,'01_異動主檔'!$B:$B,111,'01_異動主檔'!$D:$D,B449,'01_異動主檔'!$E:$E,"新增")</f>
        <v/>
      </c>
      <c r="H449" s="4">
        <f>-SUMIFS('01_異動主檔'!$F:$F,'01_異動主檔'!$B:$B,111,'01_異動主檔'!$D:$D,B449,'01_異動主檔'!$E:$E,"減列")</f>
        <v/>
      </c>
      <c r="I449" s="4">
        <f>-SUMIFS('01_異動主檔'!$F:$F,'01_異動主檔'!$B:$B,111,'01_異動主檔'!$D:$D,B449,'01_異動主檔'!$E:$E,"精簡")</f>
        <v/>
      </c>
      <c r="J449" s="10">
        <f>D449+E449+F449+G449+H449+I449</f>
        <v/>
      </c>
    </row>
    <row r="450" ht="18" customHeight="1">
      <c r="A450" s="6" t="inlineStr">
        <is>
          <t>C001</t>
        </is>
      </c>
      <c r="B450" s="5" t="inlineStr">
        <is>
          <t>台北分局</t>
        </is>
      </c>
      <c r="C450" s="6" t="n">
        <v>112</v>
      </c>
      <c r="D450" s="10">
        <f>J449</f>
        <v/>
      </c>
      <c r="E450" s="4">
        <f>SUMIFS('01_異動主檔'!$F:$F,'01_異動主檔'!$B:$B,112,'01_異動主檔'!$D:$D,B450,'01_異動主檔'!$E:$E,"移入")</f>
        <v/>
      </c>
      <c r="F450" s="4">
        <f>-SUMIFS('01_異動主檔'!$F:$F,'01_異動主檔'!$B:$B,112,'01_異動主檔'!$D:$D,B450,'01_異動主檔'!$E:$E,"移出")</f>
        <v/>
      </c>
      <c r="G450" s="4">
        <f>SUMIFS('01_異動主檔'!$F:$F,'01_異動主檔'!$B:$B,112,'01_異動主檔'!$D:$D,B450,'01_異動主檔'!$E:$E,"新增")</f>
        <v/>
      </c>
      <c r="H450" s="4">
        <f>-SUMIFS('01_異動主檔'!$F:$F,'01_異動主檔'!$B:$B,112,'01_異動主檔'!$D:$D,B450,'01_異動主檔'!$E:$E,"減列")</f>
        <v/>
      </c>
      <c r="I450" s="4">
        <f>-SUMIFS('01_異動主檔'!$F:$F,'01_異動主檔'!$B:$B,112,'01_異動主檔'!$D:$D,B450,'01_異動主檔'!$E:$E,"精簡")</f>
        <v/>
      </c>
      <c r="J450" s="10">
        <f>D450+E450+F450+G450+H450+I450</f>
        <v/>
      </c>
    </row>
    <row r="451" ht="18" customHeight="1">
      <c r="A451" s="4" t="inlineStr">
        <is>
          <t>C001</t>
        </is>
      </c>
      <c r="B451" s="3" t="inlineStr">
        <is>
          <t>台北分局</t>
        </is>
      </c>
      <c r="C451" s="4" t="n">
        <v>113</v>
      </c>
      <c r="D451" s="10">
        <f>J450</f>
        <v/>
      </c>
      <c r="E451" s="4">
        <f>SUMIFS('01_異動主檔'!$F:$F,'01_異動主檔'!$B:$B,113,'01_異動主檔'!$D:$D,B451,'01_異動主檔'!$E:$E,"移入")</f>
        <v/>
      </c>
      <c r="F451" s="4">
        <f>-SUMIFS('01_異動主檔'!$F:$F,'01_異動主檔'!$B:$B,113,'01_異動主檔'!$D:$D,B451,'01_異動主檔'!$E:$E,"移出")</f>
        <v/>
      </c>
      <c r="G451" s="4">
        <f>SUMIFS('01_異動主檔'!$F:$F,'01_異動主檔'!$B:$B,113,'01_異動主檔'!$D:$D,B451,'01_異動主檔'!$E:$E,"新增")</f>
        <v/>
      </c>
      <c r="H451" s="4">
        <f>-SUMIFS('01_異動主檔'!$F:$F,'01_異動主檔'!$B:$B,113,'01_異動主檔'!$D:$D,B451,'01_異動主檔'!$E:$E,"減列")</f>
        <v/>
      </c>
      <c r="I451" s="4">
        <f>-SUMIFS('01_異動主檔'!$F:$F,'01_異動主檔'!$B:$B,113,'01_異動主檔'!$D:$D,B451,'01_異動主檔'!$E:$E,"精簡")</f>
        <v/>
      </c>
      <c r="J451" s="10">
        <f>D451+E451+F451+G451+H451+I451</f>
        <v/>
      </c>
    </row>
    <row r="452" ht="18" customHeight="1">
      <c r="A452" s="6" t="inlineStr">
        <is>
          <t>C001</t>
        </is>
      </c>
      <c r="B452" s="5" t="inlineStr">
        <is>
          <t>台北分局</t>
        </is>
      </c>
      <c r="C452" s="6" t="n">
        <v>114</v>
      </c>
      <c r="D452" s="10">
        <f>J451</f>
        <v/>
      </c>
      <c r="E452" s="4">
        <f>SUMIFS('01_異動主檔'!$F:$F,'01_異動主檔'!$B:$B,114,'01_異動主檔'!$D:$D,B452,'01_異動主檔'!$E:$E,"移入")</f>
        <v/>
      </c>
      <c r="F452" s="4">
        <f>-SUMIFS('01_異動主檔'!$F:$F,'01_異動主檔'!$B:$B,114,'01_異動主檔'!$D:$D,B452,'01_異動主檔'!$E:$E,"移出")</f>
        <v/>
      </c>
      <c r="G452" s="4">
        <f>SUMIFS('01_異動主檔'!$F:$F,'01_異動主檔'!$B:$B,114,'01_異動主檔'!$D:$D,B452,'01_異動主檔'!$E:$E,"新增")</f>
        <v/>
      </c>
      <c r="H452" s="4">
        <f>-SUMIFS('01_異動主檔'!$F:$F,'01_異動主檔'!$B:$B,114,'01_異動主檔'!$D:$D,B452,'01_異動主檔'!$E:$E,"減列")</f>
        <v/>
      </c>
      <c r="I452" s="4">
        <f>-SUMIFS('01_異動主檔'!$F:$F,'01_異動主檔'!$B:$B,114,'01_異動主檔'!$D:$D,B452,'01_異動主檔'!$E:$E,"精簡")</f>
        <v/>
      </c>
      <c r="J452" s="10">
        <f>D452+E452+F452+G452+H452+I452</f>
        <v/>
      </c>
    </row>
    <row r="453" ht="18" customHeight="1">
      <c r="A453" s="4" t="inlineStr">
        <is>
          <t>C001</t>
        </is>
      </c>
      <c r="B453" s="3" t="inlineStr">
        <is>
          <t>台北分局</t>
        </is>
      </c>
      <c r="C453" s="4" t="n">
        <v>115</v>
      </c>
      <c r="D453" s="10">
        <f>J452</f>
        <v/>
      </c>
      <c r="E453" s="4">
        <f>SUMIFS('01_異動主檔'!$F:$F,'01_異動主檔'!$B:$B,115,'01_異動主檔'!$D:$D,B453,'01_異動主檔'!$E:$E,"移入")</f>
        <v/>
      </c>
      <c r="F453" s="4">
        <f>-SUMIFS('01_異動主檔'!$F:$F,'01_異動主檔'!$B:$B,115,'01_異動主檔'!$D:$D,B453,'01_異動主檔'!$E:$E,"移出")</f>
        <v/>
      </c>
      <c r="G453" s="4">
        <f>SUMIFS('01_異動主檔'!$F:$F,'01_異動主檔'!$B:$B,115,'01_異動主檔'!$D:$D,B453,'01_異動主檔'!$E:$E,"新增")</f>
        <v/>
      </c>
      <c r="H453" s="4">
        <f>-SUMIFS('01_異動主檔'!$F:$F,'01_異動主檔'!$B:$B,115,'01_異動主檔'!$D:$D,B453,'01_異動主檔'!$E:$E,"減列")</f>
        <v/>
      </c>
      <c r="I453" s="4">
        <f>-SUMIFS('01_異動主檔'!$F:$F,'01_異動主檔'!$B:$B,115,'01_異動主檔'!$D:$D,B453,'01_異動主檔'!$E:$E,"精簡")</f>
        <v/>
      </c>
      <c r="J453" s="10">
        <f>D453+E453+F453+G453+H453+I453</f>
        <v/>
      </c>
    </row>
    <row r="454" ht="18" customHeight="1">
      <c r="A454" s="6" t="inlineStr">
        <is>
          <t>C001</t>
        </is>
      </c>
      <c r="B454" s="5" t="inlineStr">
        <is>
          <t>台北分局</t>
        </is>
      </c>
      <c r="C454" s="6" t="n">
        <v>116</v>
      </c>
      <c r="D454" s="10">
        <f>J453</f>
        <v/>
      </c>
      <c r="E454" s="4">
        <f>SUMIFS('01_異動主檔'!$F:$F,'01_異動主檔'!$B:$B,116,'01_異動主檔'!$D:$D,B454,'01_異動主檔'!$E:$E,"移入")</f>
        <v/>
      </c>
      <c r="F454" s="4">
        <f>-SUMIFS('01_異動主檔'!$F:$F,'01_異動主檔'!$B:$B,116,'01_異動主檔'!$D:$D,B454,'01_異動主檔'!$E:$E,"移出")</f>
        <v/>
      </c>
      <c r="G454" s="4">
        <f>SUMIFS('01_異動主檔'!$F:$F,'01_異動主檔'!$B:$B,116,'01_異動主檔'!$D:$D,B454,'01_異動主檔'!$E:$E,"新增")</f>
        <v/>
      </c>
      <c r="H454" s="4">
        <f>-SUMIFS('01_異動主檔'!$F:$F,'01_異動主檔'!$B:$B,116,'01_異動主檔'!$D:$D,B454,'01_異動主檔'!$E:$E,"減列")</f>
        <v/>
      </c>
      <c r="I454" s="4">
        <f>-SUMIFS('01_異動主檔'!$F:$F,'01_異動主檔'!$B:$B,116,'01_異動主檔'!$D:$D,B454,'01_異動主檔'!$E:$E,"精簡")</f>
        <v/>
      </c>
      <c r="J454" s="10">
        <f>D454+E454+F454+G454+H454+I454</f>
        <v/>
      </c>
    </row>
    <row r="455" ht="18" customHeight="1">
      <c r="A455" s="4" t="inlineStr">
        <is>
          <t>C001</t>
        </is>
      </c>
      <c r="B455" s="3" t="inlineStr">
        <is>
          <t>台北分局</t>
        </is>
      </c>
      <c r="C455" s="4" t="n">
        <v>117</v>
      </c>
      <c r="D455" s="10">
        <f>J454</f>
        <v/>
      </c>
      <c r="E455" s="4">
        <f>SUMIFS('01_異動主檔'!$F:$F,'01_異動主檔'!$B:$B,117,'01_異動主檔'!$D:$D,B455,'01_異動主檔'!$E:$E,"移入")</f>
        <v/>
      </c>
      <c r="F455" s="4">
        <f>-SUMIFS('01_異動主檔'!$F:$F,'01_異動主檔'!$B:$B,117,'01_異動主檔'!$D:$D,B455,'01_異動主檔'!$E:$E,"移出")</f>
        <v/>
      </c>
      <c r="G455" s="4">
        <f>SUMIFS('01_異動主檔'!$F:$F,'01_異動主檔'!$B:$B,117,'01_異動主檔'!$D:$D,B455,'01_異動主檔'!$E:$E,"新增")</f>
        <v/>
      </c>
      <c r="H455" s="4">
        <f>-SUMIFS('01_異動主檔'!$F:$F,'01_異動主檔'!$B:$B,117,'01_異動主檔'!$D:$D,B455,'01_異動主檔'!$E:$E,"減列")</f>
        <v/>
      </c>
      <c r="I455" s="4">
        <f>-SUMIFS('01_異動主檔'!$F:$F,'01_異動主檔'!$B:$B,117,'01_異動主檔'!$D:$D,B455,'01_異動主檔'!$E:$E,"精簡")</f>
        <v/>
      </c>
      <c r="J455" s="10">
        <f>D455+E455+F455+G455+H455+I455</f>
        <v/>
      </c>
    </row>
    <row r="456" ht="18" customHeight="1">
      <c r="A456" s="6" t="inlineStr">
        <is>
          <t>C001</t>
        </is>
      </c>
      <c r="B456" s="5" t="inlineStr">
        <is>
          <t>台北分局</t>
        </is>
      </c>
      <c r="C456" s="6" t="n">
        <v>118</v>
      </c>
      <c r="D456" s="10">
        <f>J455</f>
        <v/>
      </c>
      <c r="E456" s="4">
        <f>SUMIFS('01_異動主檔'!$F:$F,'01_異動主檔'!$B:$B,118,'01_異動主檔'!$D:$D,B456,'01_異動主檔'!$E:$E,"移入")</f>
        <v/>
      </c>
      <c r="F456" s="4">
        <f>-SUMIFS('01_異動主檔'!$F:$F,'01_異動主檔'!$B:$B,118,'01_異動主檔'!$D:$D,B456,'01_異動主檔'!$E:$E,"移出")</f>
        <v/>
      </c>
      <c r="G456" s="4">
        <f>SUMIFS('01_異動主檔'!$F:$F,'01_異動主檔'!$B:$B,118,'01_異動主檔'!$D:$D,B456,'01_異動主檔'!$E:$E,"新增")</f>
        <v/>
      </c>
      <c r="H456" s="4">
        <f>-SUMIFS('01_異動主檔'!$F:$F,'01_異動主檔'!$B:$B,118,'01_異動主檔'!$D:$D,B456,'01_異動主檔'!$E:$E,"減列")</f>
        <v/>
      </c>
      <c r="I456" s="4">
        <f>-SUMIFS('01_異動主檔'!$F:$F,'01_異動主檔'!$B:$B,118,'01_異動主檔'!$D:$D,B456,'01_異動主檔'!$E:$E,"精簡")</f>
        <v/>
      </c>
      <c r="J456" s="10">
        <f>D456+E456+F456+G456+H456+I456</f>
        <v/>
      </c>
    </row>
    <row r="457" ht="18" customHeight="1">
      <c r="A457" s="4" t="inlineStr">
        <is>
          <t>C001</t>
        </is>
      </c>
      <c r="B457" s="3" t="inlineStr">
        <is>
          <t>台北分局</t>
        </is>
      </c>
      <c r="C457" s="4" t="n">
        <v>119</v>
      </c>
      <c r="D457" s="10">
        <f>J456</f>
        <v/>
      </c>
      <c r="E457" s="4">
        <f>SUMIFS('01_異動主檔'!$F:$F,'01_異動主檔'!$B:$B,119,'01_異動主檔'!$D:$D,B457,'01_異動主檔'!$E:$E,"移入")</f>
        <v/>
      </c>
      <c r="F457" s="4">
        <f>-SUMIFS('01_異動主檔'!$F:$F,'01_異動主檔'!$B:$B,119,'01_異動主檔'!$D:$D,B457,'01_異動主檔'!$E:$E,"移出")</f>
        <v/>
      </c>
      <c r="G457" s="4">
        <f>SUMIFS('01_異動主檔'!$F:$F,'01_異動主檔'!$B:$B,119,'01_異動主檔'!$D:$D,B457,'01_異動主檔'!$E:$E,"新增")</f>
        <v/>
      </c>
      <c r="H457" s="4">
        <f>-SUMIFS('01_異動主檔'!$F:$F,'01_異動主檔'!$B:$B,119,'01_異動主檔'!$D:$D,B457,'01_異動主檔'!$E:$E,"減列")</f>
        <v/>
      </c>
      <c r="I457" s="4">
        <f>-SUMIFS('01_異動主檔'!$F:$F,'01_異動主檔'!$B:$B,119,'01_異動主檔'!$D:$D,B457,'01_異動主檔'!$E:$E,"精簡")</f>
        <v/>
      </c>
      <c r="J457" s="10">
        <f>D457+E457+F457+G457+H457+I457</f>
        <v/>
      </c>
    </row>
    <row r="458" ht="18" customHeight="1">
      <c r="A458" s="6" t="inlineStr">
        <is>
          <t>C001</t>
        </is>
      </c>
      <c r="B458" s="5" t="inlineStr">
        <is>
          <t>台北分局</t>
        </is>
      </c>
      <c r="C458" s="6" t="n">
        <v>120</v>
      </c>
      <c r="D458" s="10">
        <f>J457</f>
        <v/>
      </c>
      <c r="E458" s="4">
        <f>SUMIFS('01_異動主檔'!$F:$F,'01_異動主檔'!$B:$B,120,'01_異動主檔'!$D:$D,B458,'01_異動主檔'!$E:$E,"移入")</f>
        <v/>
      </c>
      <c r="F458" s="4">
        <f>-SUMIFS('01_異動主檔'!$F:$F,'01_異動主檔'!$B:$B,120,'01_異動主檔'!$D:$D,B458,'01_異動主檔'!$E:$E,"移出")</f>
        <v/>
      </c>
      <c r="G458" s="4">
        <f>SUMIFS('01_異動主檔'!$F:$F,'01_異動主檔'!$B:$B,120,'01_異動主檔'!$D:$D,B458,'01_異動主檔'!$E:$E,"新增")</f>
        <v/>
      </c>
      <c r="H458" s="4">
        <f>-SUMIFS('01_異動主檔'!$F:$F,'01_異動主檔'!$B:$B,120,'01_異動主檔'!$D:$D,B458,'01_異動主檔'!$E:$E,"減列")</f>
        <v/>
      </c>
      <c r="I458" s="4">
        <f>-SUMIFS('01_異動主檔'!$F:$F,'01_異動主檔'!$B:$B,120,'01_異動主檔'!$D:$D,B458,'01_異動主檔'!$E:$E,"精簡")</f>
        <v/>
      </c>
      <c r="J458" s="10">
        <f>D458+E458+F458+G458+H458+I458</f>
        <v/>
      </c>
    </row>
    <row r="459" ht="18" customHeight="1">
      <c r="A459" s="4" t="inlineStr">
        <is>
          <t>C001</t>
        </is>
      </c>
      <c r="B459" s="3" t="inlineStr">
        <is>
          <t>台北分局</t>
        </is>
      </c>
      <c r="C459" s="4" t="n">
        <v>121</v>
      </c>
      <c r="D459" s="10">
        <f>J458</f>
        <v/>
      </c>
      <c r="E459" s="4">
        <f>SUMIFS('01_異動主檔'!$F:$F,'01_異動主檔'!$B:$B,121,'01_異動主檔'!$D:$D,B459,'01_異動主檔'!$E:$E,"移入")</f>
        <v/>
      </c>
      <c r="F459" s="4">
        <f>-SUMIFS('01_異動主檔'!$F:$F,'01_異動主檔'!$B:$B,121,'01_異動主檔'!$D:$D,B459,'01_異動主檔'!$E:$E,"移出")</f>
        <v/>
      </c>
      <c r="G459" s="4">
        <f>SUMIFS('01_異動主檔'!$F:$F,'01_異動主檔'!$B:$B,121,'01_異動主檔'!$D:$D,B459,'01_異動主檔'!$E:$E,"新增")</f>
        <v/>
      </c>
      <c r="H459" s="4">
        <f>-SUMIFS('01_異動主檔'!$F:$F,'01_異動主檔'!$B:$B,121,'01_異動主檔'!$D:$D,B459,'01_異動主檔'!$E:$E,"減列")</f>
        <v/>
      </c>
      <c r="I459" s="4">
        <f>-SUMIFS('01_異動主檔'!$F:$F,'01_異動主檔'!$B:$B,121,'01_異動主檔'!$D:$D,B459,'01_異動主檔'!$E:$E,"精簡")</f>
        <v/>
      </c>
      <c r="J459" s="10">
        <f>D459+E459+F459+G459+H459+I459</f>
        <v/>
      </c>
    </row>
    <row r="460" ht="18" customHeight="1">
      <c r="A460" s="6" t="inlineStr">
        <is>
          <t>C001</t>
        </is>
      </c>
      <c r="B460" s="5" t="inlineStr">
        <is>
          <t>台北分局</t>
        </is>
      </c>
      <c r="C460" s="6" t="n">
        <v>122</v>
      </c>
      <c r="D460" s="10">
        <f>J459</f>
        <v/>
      </c>
      <c r="E460" s="4">
        <f>SUMIFS('01_異動主檔'!$F:$F,'01_異動主檔'!$B:$B,122,'01_異動主檔'!$D:$D,B460,'01_異動主檔'!$E:$E,"移入")</f>
        <v/>
      </c>
      <c r="F460" s="4">
        <f>-SUMIFS('01_異動主檔'!$F:$F,'01_異動主檔'!$B:$B,122,'01_異動主檔'!$D:$D,B460,'01_異動主檔'!$E:$E,"移出")</f>
        <v/>
      </c>
      <c r="G460" s="4">
        <f>SUMIFS('01_異動主檔'!$F:$F,'01_異動主檔'!$B:$B,122,'01_異動主檔'!$D:$D,B460,'01_異動主檔'!$E:$E,"新增")</f>
        <v/>
      </c>
      <c r="H460" s="4">
        <f>-SUMIFS('01_異動主檔'!$F:$F,'01_異動主檔'!$B:$B,122,'01_異動主檔'!$D:$D,B460,'01_異動主檔'!$E:$E,"減列")</f>
        <v/>
      </c>
      <c r="I460" s="4">
        <f>-SUMIFS('01_異動主檔'!$F:$F,'01_異動主檔'!$B:$B,122,'01_異動主檔'!$D:$D,B460,'01_異動主檔'!$E:$E,"精簡")</f>
        <v/>
      </c>
      <c r="J460" s="10">
        <f>D460+E460+F460+G460+H460+I460</f>
        <v/>
      </c>
    </row>
    <row r="461" ht="18" customHeight="1">
      <c r="A461" s="4" t="inlineStr">
        <is>
          <t>C001</t>
        </is>
      </c>
      <c r="B461" s="3" t="inlineStr">
        <is>
          <t>台北分局</t>
        </is>
      </c>
      <c r="C461" s="4" t="n">
        <v>123</v>
      </c>
      <c r="D461" s="10">
        <f>J460</f>
        <v/>
      </c>
      <c r="E461" s="4">
        <f>SUMIFS('01_異動主檔'!$F:$F,'01_異動主檔'!$B:$B,123,'01_異動主檔'!$D:$D,B461,'01_異動主檔'!$E:$E,"移入")</f>
        <v/>
      </c>
      <c r="F461" s="4">
        <f>-SUMIFS('01_異動主檔'!$F:$F,'01_異動主檔'!$B:$B,123,'01_異動主檔'!$D:$D,B461,'01_異動主檔'!$E:$E,"移出")</f>
        <v/>
      </c>
      <c r="G461" s="4">
        <f>SUMIFS('01_異動主檔'!$F:$F,'01_異動主檔'!$B:$B,123,'01_異動主檔'!$D:$D,B461,'01_異動主檔'!$E:$E,"新增")</f>
        <v/>
      </c>
      <c r="H461" s="4">
        <f>-SUMIFS('01_異動主檔'!$F:$F,'01_異動主檔'!$B:$B,123,'01_異動主檔'!$D:$D,B461,'01_異動主檔'!$E:$E,"減列")</f>
        <v/>
      </c>
      <c r="I461" s="4">
        <f>-SUMIFS('01_異動主檔'!$F:$F,'01_異動主檔'!$B:$B,123,'01_異動主檔'!$D:$D,B461,'01_異動主檔'!$E:$E,"精簡")</f>
        <v/>
      </c>
      <c r="J461" s="10">
        <f>D461+E461+F461+G461+H461+I461</f>
        <v/>
      </c>
    </row>
    <row r="462" ht="18" customHeight="1">
      <c r="A462" s="6" t="inlineStr">
        <is>
          <t>C001</t>
        </is>
      </c>
      <c r="B462" s="5" t="inlineStr">
        <is>
          <t>台北分局</t>
        </is>
      </c>
      <c r="C462" s="6" t="n">
        <v>124</v>
      </c>
      <c r="D462" s="10">
        <f>J461</f>
        <v/>
      </c>
      <c r="E462" s="4">
        <f>SUMIFS('01_異動主檔'!$F:$F,'01_異動主檔'!$B:$B,124,'01_異動主檔'!$D:$D,B462,'01_異動主檔'!$E:$E,"移入")</f>
        <v/>
      </c>
      <c r="F462" s="4">
        <f>-SUMIFS('01_異動主檔'!$F:$F,'01_異動主檔'!$B:$B,124,'01_異動主檔'!$D:$D,B462,'01_異動主檔'!$E:$E,"移出")</f>
        <v/>
      </c>
      <c r="G462" s="4">
        <f>SUMIFS('01_異動主檔'!$F:$F,'01_異動主檔'!$B:$B,124,'01_異動主檔'!$D:$D,B462,'01_異動主檔'!$E:$E,"新增")</f>
        <v/>
      </c>
      <c r="H462" s="4">
        <f>-SUMIFS('01_異動主檔'!$F:$F,'01_異動主檔'!$B:$B,124,'01_異動主檔'!$D:$D,B462,'01_異動主檔'!$E:$E,"減列")</f>
        <v/>
      </c>
      <c r="I462" s="4">
        <f>-SUMIFS('01_異動主檔'!$F:$F,'01_異動主檔'!$B:$B,124,'01_異動主檔'!$D:$D,B462,'01_異動主檔'!$E:$E,"精簡")</f>
        <v/>
      </c>
      <c r="J462" s="10">
        <f>D462+E462+F462+G462+H462+I462</f>
        <v/>
      </c>
    </row>
    <row r="463" ht="18" customHeight="1">
      <c r="A463" s="4" t="inlineStr">
        <is>
          <t>C001</t>
        </is>
      </c>
      <c r="B463" s="3" t="inlineStr">
        <is>
          <t>台北分局</t>
        </is>
      </c>
      <c r="C463" s="4" t="n">
        <v>125</v>
      </c>
      <c r="D463" s="10">
        <f>J462</f>
        <v/>
      </c>
      <c r="E463" s="4">
        <f>SUMIFS('01_異動主檔'!$F:$F,'01_異動主檔'!$B:$B,125,'01_異動主檔'!$D:$D,B463,'01_異動主檔'!$E:$E,"移入")</f>
        <v/>
      </c>
      <c r="F463" s="4">
        <f>-SUMIFS('01_異動主檔'!$F:$F,'01_異動主檔'!$B:$B,125,'01_異動主檔'!$D:$D,B463,'01_異動主檔'!$E:$E,"移出")</f>
        <v/>
      </c>
      <c r="G463" s="4">
        <f>SUMIFS('01_異動主檔'!$F:$F,'01_異動主檔'!$B:$B,125,'01_異動主檔'!$D:$D,B463,'01_異動主檔'!$E:$E,"新增")</f>
        <v/>
      </c>
      <c r="H463" s="4">
        <f>-SUMIFS('01_異動主檔'!$F:$F,'01_異動主檔'!$B:$B,125,'01_異動主檔'!$D:$D,B463,'01_異動主檔'!$E:$E,"減列")</f>
        <v/>
      </c>
      <c r="I463" s="4">
        <f>-SUMIFS('01_異動主檔'!$F:$F,'01_異動主檔'!$B:$B,125,'01_異動主檔'!$D:$D,B463,'01_異動主檔'!$E:$E,"精簡")</f>
        <v/>
      </c>
      <c r="J463" s="10">
        <f>D463+E463+F463+G463+H463+I463</f>
        <v/>
      </c>
    </row>
    <row r="464" ht="18" customHeight="1">
      <c r="A464" s="6" t="inlineStr">
        <is>
          <t>C002</t>
        </is>
      </c>
      <c r="B464" s="5" t="inlineStr">
        <is>
          <t>新北分局</t>
        </is>
      </c>
      <c r="C464" s="6" t="n">
        <v>99</v>
      </c>
      <c r="D464" s="10">
        <f>'02_年初員額設定'!C22</f>
        <v/>
      </c>
      <c r="E464" s="4">
        <f>SUMIFS('01_異動主檔'!$F:$F,'01_異動主檔'!$B:$B,99,'01_異動主檔'!$D:$D,B464,'01_異動主檔'!$E:$E,"移入")</f>
        <v/>
      </c>
      <c r="F464" s="4">
        <f>-SUMIFS('01_異動主檔'!$F:$F,'01_異動主檔'!$B:$B,99,'01_異動主檔'!$D:$D,B464,'01_異動主檔'!$E:$E,"移出")</f>
        <v/>
      </c>
      <c r="G464" s="4">
        <f>SUMIFS('01_異動主檔'!$F:$F,'01_異動主檔'!$B:$B,99,'01_異動主檔'!$D:$D,B464,'01_異動主檔'!$E:$E,"新增")</f>
        <v/>
      </c>
      <c r="H464" s="4">
        <f>-SUMIFS('01_異動主檔'!$F:$F,'01_異動主檔'!$B:$B,99,'01_異動主檔'!$D:$D,B464,'01_異動主檔'!$E:$E,"減列")</f>
        <v/>
      </c>
      <c r="I464" s="4">
        <f>-SUMIFS('01_異動主檔'!$F:$F,'01_異動主檔'!$B:$B,99,'01_異動主檔'!$D:$D,B464,'01_異動主檔'!$E:$E,"精簡")</f>
        <v/>
      </c>
      <c r="J464" s="10">
        <f>D464+E464+F464+G464+H464+I464</f>
        <v/>
      </c>
    </row>
    <row r="465" ht="18" customHeight="1">
      <c r="A465" s="4" t="inlineStr">
        <is>
          <t>C002</t>
        </is>
      </c>
      <c r="B465" s="3" t="inlineStr">
        <is>
          <t>新北分局</t>
        </is>
      </c>
      <c r="C465" s="4" t="n">
        <v>100</v>
      </c>
      <c r="D465" s="10">
        <f>J464</f>
        <v/>
      </c>
      <c r="E465" s="4">
        <f>SUMIFS('01_異動主檔'!$F:$F,'01_異動主檔'!$B:$B,100,'01_異動主檔'!$D:$D,B465,'01_異動主檔'!$E:$E,"移入")</f>
        <v/>
      </c>
      <c r="F465" s="4">
        <f>-SUMIFS('01_異動主檔'!$F:$F,'01_異動主檔'!$B:$B,100,'01_異動主檔'!$D:$D,B465,'01_異動主檔'!$E:$E,"移出")</f>
        <v/>
      </c>
      <c r="G465" s="4">
        <f>SUMIFS('01_異動主檔'!$F:$F,'01_異動主檔'!$B:$B,100,'01_異動主檔'!$D:$D,B465,'01_異動主檔'!$E:$E,"新增")</f>
        <v/>
      </c>
      <c r="H465" s="4">
        <f>-SUMIFS('01_異動主檔'!$F:$F,'01_異動主檔'!$B:$B,100,'01_異動主檔'!$D:$D,B465,'01_異動主檔'!$E:$E,"減列")</f>
        <v/>
      </c>
      <c r="I465" s="4">
        <f>-SUMIFS('01_異動主檔'!$F:$F,'01_異動主檔'!$B:$B,100,'01_異動主檔'!$D:$D,B465,'01_異動主檔'!$E:$E,"精簡")</f>
        <v/>
      </c>
      <c r="J465" s="10">
        <f>D465+E465+F465+G465+H465+I465</f>
        <v/>
      </c>
    </row>
    <row r="466" ht="18" customHeight="1">
      <c r="A466" s="6" t="inlineStr">
        <is>
          <t>C002</t>
        </is>
      </c>
      <c r="B466" s="5" t="inlineStr">
        <is>
          <t>新北分局</t>
        </is>
      </c>
      <c r="C466" s="6" t="n">
        <v>101</v>
      </c>
      <c r="D466" s="10">
        <f>J465</f>
        <v/>
      </c>
      <c r="E466" s="4">
        <f>SUMIFS('01_異動主檔'!$F:$F,'01_異動主檔'!$B:$B,101,'01_異動主檔'!$D:$D,B466,'01_異動主檔'!$E:$E,"移入")</f>
        <v/>
      </c>
      <c r="F466" s="4">
        <f>-SUMIFS('01_異動主檔'!$F:$F,'01_異動主檔'!$B:$B,101,'01_異動主檔'!$D:$D,B466,'01_異動主檔'!$E:$E,"移出")</f>
        <v/>
      </c>
      <c r="G466" s="4">
        <f>SUMIFS('01_異動主檔'!$F:$F,'01_異動主檔'!$B:$B,101,'01_異動主檔'!$D:$D,B466,'01_異動主檔'!$E:$E,"新增")</f>
        <v/>
      </c>
      <c r="H466" s="4">
        <f>-SUMIFS('01_異動主檔'!$F:$F,'01_異動主檔'!$B:$B,101,'01_異動主檔'!$D:$D,B466,'01_異動主檔'!$E:$E,"減列")</f>
        <v/>
      </c>
      <c r="I466" s="4">
        <f>-SUMIFS('01_異動主檔'!$F:$F,'01_異動主檔'!$B:$B,101,'01_異動主檔'!$D:$D,B466,'01_異動主檔'!$E:$E,"精簡")</f>
        <v/>
      </c>
      <c r="J466" s="10">
        <f>D466+E466+F466+G466+H466+I466</f>
        <v/>
      </c>
    </row>
    <row r="467" ht="18" customHeight="1">
      <c r="A467" s="4" t="inlineStr">
        <is>
          <t>C002</t>
        </is>
      </c>
      <c r="B467" s="3" t="inlineStr">
        <is>
          <t>新北分局</t>
        </is>
      </c>
      <c r="C467" s="4" t="n">
        <v>102</v>
      </c>
      <c r="D467" s="10">
        <f>J466</f>
        <v/>
      </c>
      <c r="E467" s="4">
        <f>SUMIFS('01_異動主檔'!$F:$F,'01_異動主檔'!$B:$B,102,'01_異動主檔'!$D:$D,B467,'01_異動主檔'!$E:$E,"移入")</f>
        <v/>
      </c>
      <c r="F467" s="4">
        <f>-SUMIFS('01_異動主檔'!$F:$F,'01_異動主檔'!$B:$B,102,'01_異動主檔'!$D:$D,B467,'01_異動主檔'!$E:$E,"移出")</f>
        <v/>
      </c>
      <c r="G467" s="4">
        <f>SUMIFS('01_異動主檔'!$F:$F,'01_異動主檔'!$B:$B,102,'01_異動主檔'!$D:$D,B467,'01_異動主檔'!$E:$E,"新增")</f>
        <v/>
      </c>
      <c r="H467" s="4">
        <f>-SUMIFS('01_異動主檔'!$F:$F,'01_異動主檔'!$B:$B,102,'01_異動主檔'!$D:$D,B467,'01_異動主檔'!$E:$E,"減列")</f>
        <v/>
      </c>
      <c r="I467" s="4">
        <f>-SUMIFS('01_異動主檔'!$F:$F,'01_異動主檔'!$B:$B,102,'01_異動主檔'!$D:$D,B467,'01_異動主檔'!$E:$E,"精簡")</f>
        <v/>
      </c>
      <c r="J467" s="10">
        <f>D467+E467+F467+G467+H467+I467</f>
        <v/>
      </c>
    </row>
    <row r="468" ht="18" customHeight="1">
      <c r="A468" s="6" t="inlineStr">
        <is>
          <t>C002</t>
        </is>
      </c>
      <c r="B468" s="5" t="inlineStr">
        <is>
          <t>新北分局</t>
        </is>
      </c>
      <c r="C468" s="6" t="n">
        <v>103</v>
      </c>
      <c r="D468" s="10">
        <f>J467</f>
        <v/>
      </c>
      <c r="E468" s="4">
        <f>SUMIFS('01_異動主檔'!$F:$F,'01_異動主檔'!$B:$B,103,'01_異動主檔'!$D:$D,B468,'01_異動主檔'!$E:$E,"移入")</f>
        <v/>
      </c>
      <c r="F468" s="4">
        <f>-SUMIFS('01_異動主檔'!$F:$F,'01_異動主檔'!$B:$B,103,'01_異動主檔'!$D:$D,B468,'01_異動主檔'!$E:$E,"移出")</f>
        <v/>
      </c>
      <c r="G468" s="4">
        <f>SUMIFS('01_異動主檔'!$F:$F,'01_異動主檔'!$B:$B,103,'01_異動主檔'!$D:$D,B468,'01_異動主檔'!$E:$E,"新增")</f>
        <v/>
      </c>
      <c r="H468" s="4">
        <f>-SUMIFS('01_異動主檔'!$F:$F,'01_異動主檔'!$B:$B,103,'01_異動主檔'!$D:$D,B468,'01_異動主檔'!$E:$E,"減列")</f>
        <v/>
      </c>
      <c r="I468" s="4">
        <f>-SUMIFS('01_異動主檔'!$F:$F,'01_異動主檔'!$B:$B,103,'01_異動主檔'!$D:$D,B468,'01_異動主檔'!$E:$E,"精簡")</f>
        <v/>
      </c>
      <c r="J468" s="10">
        <f>D468+E468+F468+G468+H468+I468</f>
        <v/>
      </c>
    </row>
    <row r="469" ht="18" customHeight="1">
      <c r="A469" s="4" t="inlineStr">
        <is>
          <t>C002</t>
        </is>
      </c>
      <c r="B469" s="3" t="inlineStr">
        <is>
          <t>新北分局</t>
        </is>
      </c>
      <c r="C469" s="4" t="n">
        <v>104</v>
      </c>
      <c r="D469" s="10">
        <f>J468</f>
        <v/>
      </c>
      <c r="E469" s="4">
        <f>SUMIFS('01_異動主檔'!$F:$F,'01_異動主檔'!$B:$B,104,'01_異動主檔'!$D:$D,B469,'01_異動主檔'!$E:$E,"移入")</f>
        <v/>
      </c>
      <c r="F469" s="4">
        <f>-SUMIFS('01_異動主檔'!$F:$F,'01_異動主檔'!$B:$B,104,'01_異動主檔'!$D:$D,B469,'01_異動主檔'!$E:$E,"移出")</f>
        <v/>
      </c>
      <c r="G469" s="4">
        <f>SUMIFS('01_異動主檔'!$F:$F,'01_異動主檔'!$B:$B,104,'01_異動主檔'!$D:$D,B469,'01_異動主檔'!$E:$E,"新增")</f>
        <v/>
      </c>
      <c r="H469" s="4">
        <f>-SUMIFS('01_異動主檔'!$F:$F,'01_異動主檔'!$B:$B,104,'01_異動主檔'!$D:$D,B469,'01_異動主檔'!$E:$E,"減列")</f>
        <v/>
      </c>
      <c r="I469" s="4">
        <f>-SUMIFS('01_異動主檔'!$F:$F,'01_異動主檔'!$B:$B,104,'01_異動主檔'!$D:$D,B469,'01_異動主檔'!$E:$E,"精簡")</f>
        <v/>
      </c>
      <c r="J469" s="10">
        <f>D469+E469+F469+G469+H469+I469</f>
        <v/>
      </c>
    </row>
    <row r="470" ht="18" customHeight="1">
      <c r="A470" s="6" t="inlineStr">
        <is>
          <t>C002</t>
        </is>
      </c>
      <c r="B470" s="5" t="inlineStr">
        <is>
          <t>新北分局</t>
        </is>
      </c>
      <c r="C470" s="6" t="n">
        <v>105</v>
      </c>
      <c r="D470" s="10">
        <f>J469</f>
        <v/>
      </c>
      <c r="E470" s="4">
        <f>SUMIFS('01_異動主檔'!$F:$F,'01_異動主檔'!$B:$B,105,'01_異動主檔'!$D:$D,B470,'01_異動主檔'!$E:$E,"移入")</f>
        <v/>
      </c>
      <c r="F470" s="4">
        <f>-SUMIFS('01_異動主檔'!$F:$F,'01_異動主檔'!$B:$B,105,'01_異動主檔'!$D:$D,B470,'01_異動主檔'!$E:$E,"移出")</f>
        <v/>
      </c>
      <c r="G470" s="4">
        <f>SUMIFS('01_異動主檔'!$F:$F,'01_異動主檔'!$B:$B,105,'01_異動主檔'!$D:$D,B470,'01_異動主檔'!$E:$E,"新增")</f>
        <v/>
      </c>
      <c r="H470" s="4">
        <f>-SUMIFS('01_異動主檔'!$F:$F,'01_異動主檔'!$B:$B,105,'01_異動主檔'!$D:$D,B470,'01_異動主檔'!$E:$E,"減列")</f>
        <v/>
      </c>
      <c r="I470" s="4">
        <f>-SUMIFS('01_異動主檔'!$F:$F,'01_異動主檔'!$B:$B,105,'01_異動主檔'!$D:$D,B470,'01_異動主檔'!$E:$E,"精簡")</f>
        <v/>
      </c>
      <c r="J470" s="10">
        <f>D470+E470+F470+G470+H470+I470</f>
        <v/>
      </c>
    </row>
    <row r="471" ht="18" customHeight="1">
      <c r="A471" s="4" t="inlineStr">
        <is>
          <t>C002</t>
        </is>
      </c>
      <c r="B471" s="3" t="inlineStr">
        <is>
          <t>新北分局</t>
        </is>
      </c>
      <c r="C471" s="4" t="n">
        <v>106</v>
      </c>
      <c r="D471" s="10">
        <f>J470</f>
        <v/>
      </c>
      <c r="E471" s="4">
        <f>SUMIFS('01_異動主檔'!$F:$F,'01_異動主檔'!$B:$B,106,'01_異動主檔'!$D:$D,B471,'01_異動主檔'!$E:$E,"移入")</f>
        <v/>
      </c>
      <c r="F471" s="4">
        <f>-SUMIFS('01_異動主檔'!$F:$F,'01_異動主檔'!$B:$B,106,'01_異動主檔'!$D:$D,B471,'01_異動主檔'!$E:$E,"移出")</f>
        <v/>
      </c>
      <c r="G471" s="4">
        <f>SUMIFS('01_異動主檔'!$F:$F,'01_異動主檔'!$B:$B,106,'01_異動主檔'!$D:$D,B471,'01_異動主檔'!$E:$E,"新增")</f>
        <v/>
      </c>
      <c r="H471" s="4">
        <f>-SUMIFS('01_異動主檔'!$F:$F,'01_異動主檔'!$B:$B,106,'01_異動主檔'!$D:$D,B471,'01_異動主檔'!$E:$E,"減列")</f>
        <v/>
      </c>
      <c r="I471" s="4">
        <f>-SUMIFS('01_異動主檔'!$F:$F,'01_異動主檔'!$B:$B,106,'01_異動主檔'!$D:$D,B471,'01_異動主檔'!$E:$E,"精簡")</f>
        <v/>
      </c>
      <c r="J471" s="10">
        <f>D471+E471+F471+G471+H471+I471</f>
        <v/>
      </c>
    </row>
    <row r="472" ht="18" customHeight="1">
      <c r="A472" s="6" t="inlineStr">
        <is>
          <t>C002</t>
        </is>
      </c>
      <c r="B472" s="5" t="inlineStr">
        <is>
          <t>新北分局</t>
        </is>
      </c>
      <c r="C472" s="6" t="n">
        <v>107</v>
      </c>
      <c r="D472" s="10">
        <f>J471</f>
        <v/>
      </c>
      <c r="E472" s="4">
        <f>SUMIFS('01_異動主檔'!$F:$F,'01_異動主檔'!$B:$B,107,'01_異動主檔'!$D:$D,B472,'01_異動主檔'!$E:$E,"移入")</f>
        <v/>
      </c>
      <c r="F472" s="4">
        <f>-SUMIFS('01_異動主檔'!$F:$F,'01_異動主檔'!$B:$B,107,'01_異動主檔'!$D:$D,B472,'01_異動主檔'!$E:$E,"移出")</f>
        <v/>
      </c>
      <c r="G472" s="4">
        <f>SUMIFS('01_異動主檔'!$F:$F,'01_異動主檔'!$B:$B,107,'01_異動主檔'!$D:$D,B472,'01_異動主檔'!$E:$E,"新增")</f>
        <v/>
      </c>
      <c r="H472" s="4">
        <f>-SUMIFS('01_異動主檔'!$F:$F,'01_異動主檔'!$B:$B,107,'01_異動主檔'!$D:$D,B472,'01_異動主檔'!$E:$E,"減列")</f>
        <v/>
      </c>
      <c r="I472" s="4">
        <f>-SUMIFS('01_異動主檔'!$F:$F,'01_異動主檔'!$B:$B,107,'01_異動主檔'!$D:$D,B472,'01_異動主檔'!$E:$E,"精簡")</f>
        <v/>
      </c>
      <c r="J472" s="10">
        <f>D472+E472+F472+G472+H472+I472</f>
        <v/>
      </c>
    </row>
    <row r="473" ht="18" customHeight="1">
      <c r="A473" s="4" t="inlineStr">
        <is>
          <t>C002</t>
        </is>
      </c>
      <c r="B473" s="3" t="inlineStr">
        <is>
          <t>新北分局</t>
        </is>
      </c>
      <c r="C473" s="4" t="n">
        <v>108</v>
      </c>
      <c r="D473" s="10">
        <f>J472</f>
        <v/>
      </c>
      <c r="E473" s="4">
        <f>SUMIFS('01_異動主檔'!$F:$F,'01_異動主檔'!$B:$B,108,'01_異動主檔'!$D:$D,B473,'01_異動主檔'!$E:$E,"移入")</f>
        <v/>
      </c>
      <c r="F473" s="4">
        <f>-SUMIFS('01_異動主檔'!$F:$F,'01_異動主檔'!$B:$B,108,'01_異動主檔'!$D:$D,B473,'01_異動主檔'!$E:$E,"移出")</f>
        <v/>
      </c>
      <c r="G473" s="4">
        <f>SUMIFS('01_異動主檔'!$F:$F,'01_異動主檔'!$B:$B,108,'01_異動主檔'!$D:$D,B473,'01_異動主檔'!$E:$E,"新增")</f>
        <v/>
      </c>
      <c r="H473" s="4">
        <f>-SUMIFS('01_異動主檔'!$F:$F,'01_異動主檔'!$B:$B,108,'01_異動主檔'!$D:$D,B473,'01_異動主檔'!$E:$E,"減列")</f>
        <v/>
      </c>
      <c r="I473" s="4">
        <f>-SUMIFS('01_異動主檔'!$F:$F,'01_異動主檔'!$B:$B,108,'01_異動主檔'!$D:$D,B473,'01_異動主檔'!$E:$E,"精簡")</f>
        <v/>
      </c>
      <c r="J473" s="10">
        <f>D473+E473+F473+G473+H473+I473</f>
        <v/>
      </c>
    </row>
    <row r="474" ht="18" customHeight="1">
      <c r="A474" s="6" t="inlineStr">
        <is>
          <t>C002</t>
        </is>
      </c>
      <c r="B474" s="5" t="inlineStr">
        <is>
          <t>新北分局</t>
        </is>
      </c>
      <c r="C474" s="6" t="n">
        <v>109</v>
      </c>
      <c r="D474" s="10">
        <f>J473</f>
        <v/>
      </c>
      <c r="E474" s="4">
        <f>SUMIFS('01_異動主檔'!$F:$F,'01_異動主檔'!$B:$B,109,'01_異動主檔'!$D:$D,B474,'01_異動主檔'!$E:$E,"移入")</f>
        <v/>
      </c>
      <c r="F474" s="4">
        <f>-SUMIFS('01_異動主檔'!$F:$F,'01_異動主檔'!$B:$B,109,'01_異動主檔'!$D:$D,B474,'01_異動主檔'!$E:$E,"移出")</f>
        <v/>
      </c>
      <c r="G474" s="4">
        <f>SUMIFS('01_異動主檔'!$F:$F,'01_異動主檔'!$B:$B,109,'01_異動主檔'!$D:$D,B474,'01_異動主檔'!$E:$E,"新增")</f>
        <v/>
      </c>
      <c r="H474" s="4">
        <f>-SUMIFS('01_異動主檔'!$F:$F,'01_異動主檔'!$B:$B,109,'01_異動主檔'!$D:$D,B474,'01_異動主檔'!$E:$E,"減列")</f>
        <v/>
      </c>
      <c r="I474" s="4">
        <f>-SUMIFS('01_異動主檔'!$F:$F,'01_異動主檔'!$B:$B,109,'01_異動主檔'!$D:$D,B474,'01_異動主檔'!$E:$E,"精簡")</f>
        <v/>
      </c>
      <c r="J474" s="10">
        <f>D474+E474+F474+G474+H474+I474</f>
        <v/>
      </c>
    </row>
    <row r="475" ht="18" customHeight="1">
      <c r="A475" s="4" t="inlineStr">
        <is>
          <t>C002</t>
        </is>
      </c>
      <c r="B475" s="3" t="inlineStr">
        <is>
          <t>新北分局</t>
        </is>
      </c>
      <c r="C475" s="4" t="n">
        <v>110</v>
      </c>
      <c r="D475" s="10">
        <f>J474</f>
        <v/>
      </c>
      <c r="E475" s="4">
        <f>SUMIFS('01_異動主檔'!$F:$F,'01_異動主檔'!$B:$B,110,'01_異動主檔'!$D:$D,B475,'01_異動主檔'!$E:$E,"移入")</f>
        <v/>
      </c>
      <c r="F475" s="4">
        <f>-SUMIFS('01_異動主檔'!$F:$F,'01_異動主檔'!$B:$B,110,'01_異動主檔'!$D:$D,B475,'01_異動主檔'!$E:$E,"移出")</f>
        <v/>
      </c>
      <c r="G475" s="4">
        <f>SUMIFS('01_異動主檔'!$F:$F,'01_異動主檔'!$B:$B,110,'01_異動主檔'!$D:$D,B475,'01_異動主檔'!$E:$E,"新增")</f>
        <v/>
      </c>
      <c r="H475" s="4">
        <f>-SUMIFS('01_異動主檔'!$F:$F,'01_異動主檔'!$B:$B,110,'01_異動主檔'!$D:$D,B475,'01_異動主檔'!$E:$E,"減列")</f>
        <v/>
      </c>
      <c r="I475" s="4">
        <f>-SUMIFS('01_異動主檔'!$F:$F,'01_異動主檔'!$B:$B,110,'01_異動主檔'!$D:$D,B475,'01_異動主檔'!$E:$E,"精簡")</f>
        <v/>
      </c>
      <c r="J475" s="10">
        <f>D475+E475+F475+G475+H475+I475</f>
        <v/>
      </c>
    </row>
    <row r="476" ht="18" customHeight="1">
      <c r="A476" s="6" t="inlineStr">
        <is>
          <t>C002</t>
        </is>
      </c>
      <c r="B476" s="5" t="inlineStr">
        <is>
          <t>新北分局</t>
        </is>
      </c>
      <c r="C476" s="6" t="n">
        <v>111</v>
      </c>
      <c r="D476" s="10">
        <f>J475</f>
        <v/>
      </c>
      <c r="E476" s="4">
        <f>SUMIFS('01_異動主檔'!$F:$F,'01_異動主檔'!$B:$B,111,'01_異動主檔'!$D:$D,B476,'01_異動主檔'!$E:$E,"移入")</f>
        <v/>
      </c>
      <c r="F476" s="4">
        <f>-SUMIFS('01_異動主檔'!$F:$F,'01_異動主檔'!$B:$B,111,'01_異動主檔'!$D:$D,B476,'01_異動主檔'!$E:$E,"移出")</f>
        <v/>
      </c>
      <c r="G476" s="4">
        <f>SUMIFS('01_異動主檔'!$F:$F,'01_異動主檔'!$B:$B,111,'01_異動主檔'!$D:$D,B476,'01_異動主檔'!$E:$E,"新增")</f>
        <v/>
      </c>
      <c r="H476" s="4">
        <f>-SUMIFS('01_異動主檔'!$F:$F,'01_異動主檔'!$B:$B,111,'01_異動主檔'!$D:$D,B476,'01_異動主檔'!$E:$E,"減列")</f>
        <v/>
      </c>
      <c r="I476" s="4">
        <f>-SUMIFS('01_異動主檔'!$F:$F,'01_異動主檔'!$B:$B,111,'01_異動主檔'!$D:$D,B476,'01_異動主檔'!$E:$E,"精簡")</f>
        <v/>
      </c>
      <c r="J476" s="10">
        <f>D476+E476+F476+G476+H476+I476</f>
        <v/>
      </c>
    </row>
    <row r="477" ht="18" customHeight="1">
      <c r="A477" s="4" t="inlineStr">
        <is>
          <t>C002</t>
        </is>
      </c>
      <c r="B477" s="3" t="inlineStr">
        <is>
          <t>新北分局</t>
        </is>
      </c>
      <c r="C477" s="4" t="n">
        <v>112</v>
      </c>
      <c r="D477" s="10">
        <f>J476</f>
        <v/>
      </c>
      <c r="E477" s="4">
        <f>SUMIFS('01_異動主檔'!$F:$F,'01_異動主檔'!$B:$B,112,'01_異動主檔'!$D:$D,B477,'01_異動主檔'!$E:$E,"移入")</f>
        <v/>
      </c>
      <c r="F477" s="4">
        <f>-SUMIFS('01_異動主檔'!$F:$F,'01_異動主檔'!$B:$B,112,'01_異動主檔'!$D:$D,B477,'01_異動主檔'!$E:$E,"移出")</f>
        <v/>
      </c>
      <c r="G477" s="4">
        <f>SUMIFS('01_異動主檔'!$F:$F,'01_異動主檔'!$B:$B,112,'01_異動主檔'!$D:$D,B477,'01_異動主檔'!$E:$E,"新增")</f>
        <v/>
      </c>
      <c r="H477" s="4">
        <f>-SUMIFS('01_異動主檔'!$F:$F,'01_異動主檔'!$B:$B,112,'01_異動主檔'!$D:$D,B477,'01_異動主檔'!$E:$E,"減列")</f>
        <v/>
      </c>
      <c r="I477" s="4">
        <f>-SUMIFS('01_異動主檔'!$F:$F,'01_異動主檔'!$B:$B,112,'01_異動主檔'!$D:$D,B477,'01_異動主檔'!$E:$E,"精簡")</f>
        <v/>
      </c>
      <c r="J477" s="10">
        <f>D477+E477+F477+G477+H477+I477</f>
        <v/>
      </c>
    </row>
    <row r="478" ht="18" customHeight="1">
      <c r="A478" s="6" t="inlineStr">
        <is>
          <t>C002</t>
        </is>
      </c>
      <c r="B478" s="5" t="inlineStr">
        <is>
          <t>新北分局</t>
        </is>
      </c>
      <c r="C478" s="6" t="n">
        <v>113</v>
      </c>
      <c r="D478" s="10">
        <f>J477</f>
        <v/>
      </c>
      <c r="E478" s="4">
        <f>SUMIFS('01_異動主檔'!$F:$F,'01_異動主檔'!$B:$B,113,'01_異動主檔'!$D:$D,B478,'01_異動主檔'!$E:$E,"移入")</f>
        <v/>
      </c>
      <c r="F478" s="4">
        <f>-SUMIFS('01_異動主檔'!$F:$F,'01_異動主檔'!$B:$B,113,'01_異動主檔'!$D:$D,B478,'01_異動主檔'!$E:$E,"移出")</f>
        <v/>
      </c>
      <c r="G478" s="4">
        <f>SUMIFS('01_異動主檔'!$F:$F,'01_異動主檔'!$B:$B,113,'01_異動主檔'!$D:$D,B478,'01_異動主檔'!$E:$E,"新增")</f>
        <v/>
      </c>
      <c r="H478" s="4">
        <f>-SUMIFS('01_異動主檔'!$F:$F,'01_異動主檔'!$B:$B,113,'01_異動主檔'!$D:$D,B478,'01_異動主檔'!$E:$E,"減列")</f>
        <v/>
      </c>
      <c r="I478" s="4">
        <f>-SUMIFS('01_異動主檔'!$F:$F,'01_異動主檔'!$B:$B,113,'01_異動主檔'!$D:$D,B478,'01_異動主檔'!$E:$E,"精簡")</f>
        <v/>
      </c>
      <c r="J478" s="10">
        <f>D478+E478+F478+G478+H478+I478</f>
        <v/>
      </c>
    </row>
    <row r="479" ht="18" customHeight="1">
      <c r="A479" s="4" t="inlineStr">
        <is>
          <t>C002</t>
        </is>
      </c>
      <c r="B479" s="3" t="inlineStr">
        <is>
          <t>新北分局</t>
        </is>
      </c>
      <c r="C479" s="4" t="n">
        <v>114</v>
      </c>
      <c r="D479" s="10">
        <f>J478</f>
        <v/>
      </c>
      <c r="E479" s="4">
        <f>SUMIFS('01_異動主檔'!$F:$F,'01_異動主檔'!$B:$B,114,'01_異動主檔'!$D:$D,B479,'01_異動主檔'!$E:$E,"移入")</f>
        <v/>
      </c>
      <c r="F479" s="4">
        <f>-SUMIFS('01_異動主檔'!$F:$F,'01_異動主檔'!$B:$B,114,'01_異動主檔'!$D:$D,B479,'01_異動主檔'!$E:$E,"移出")</f>
        <v/>
      </c>
      <c r="G479" s="4">
        <f>SUMIFS('01_異動主檔'!$F:$F,'01_異動主檔'!$B:$B,114,'01_異動主檔'!$D:$D,B479,'01_異動主檔'!$E:$E,"新增")</f>
        <v/>
      </c>
      <c r="H479" s="4">
        <f>-SUMIFS('01_異動主檔'!$F:$F,'01_異動主檔'!$B:$B,114,'01_異動主檔'!$D:$D,B479,'01_異動主檔'!$E:$E,"減列")</f>
        <v/>
      </c>
      <c r="I479" s="4">
        <f>-SUMIFS('01_異動主檔'!$F:$F,'01_異動主檔'!$B:$B,114,'01_異動主檔'!$D:$D,B479,'01_異動主檔'!$E:$E,"精簡")</f>
        <v/>
      </c>
      <c r="J479" s="10">
        <f>D479+E479+F479+G479+H479+I479</f>
        <v/>
      </c>
    </row>
    <row r="480" ht="18" customHeight="1">
      <c r="A480" s="6" t="inlineStr">
        <is>
          <t>C002</t>
        </is>
      </c>
      <c r="B480" s="5" t="inlineStr">
        <is>
          <t>新北分局</t>
        </is>
      </c>
      <c r="C480" s="6" t="n">
        <v>115</v>
      </c>
      <c r="D480" s="10">
        <f>J479</f>
        <v/>
      </c>
      <c r="E480" s="4">
        <f>SUMIFS('01_異動主檔'!$F:$F,'01_異動主檔'!$B:$B,115,'01_異動主檔'!$D:$D,B480,'01_異動主檔'!$E:$E,"移入")</f>
        <v/>
      </c>
      <c r="F480" s="4">
        <f>-SUMIFS('01_異動主檔'!$F:$F,'01_異動主檔'!$B:$B,115,'01_異動主檔'!$D:$D,B480,'01_異動主檔'!$E:$E,"移出")</f>
        <v/>
      </c>
      <c r="G480" s="4">
        <f>SUMIFS('01_異動主檔'!$F:$F,'01_異動主檔'!$B:$B,115,'01_異動主檔'!$D:$D,B480,'01_異動主檔'!$E:$E,"新增")</f>
        <v/>
      </c>
      <c r="H480" s="4">
        <f>-SUMIFS('01_異動主檔'!$F:$F,'01_異動主檔'!$B:$B,115,'01_異動主檔'!$D:$D,B480,'01_異動主檔'!$E:$E,"減列")</f>
        <v/>
      </c>
      <c r="I480" s="4">
        <f>-SUMIFS('01_異動主檔'!$F:$F,'01_異動主檔'!$B:$B,115,'01_異動主檔'!$D:$D,B480,'01_異動主檔'!$E:$E,"精簡")</f>
        <v/>
      </c>
      <c r="J480" s="10">
        <f>D480+E480+F480+G480+H480+I480</f>
        <v/>
      </c>
    </row>
    <row r="481" ht="18" customHeight="1">
      <c r="A481" s="4" t="inlineStr">
        <is>
          <t>C002</t>
        </is>
      </c>
      <c r="B481" s="3" t="inlineStr">
        <is>
          <t>新北分局</t>
        </is>
      </c>
      <c r="C481" s="4" t="n">
        <v>116</v>
      </c>
      <c r="D481" s="10">
        <f>J480</f>
        <v/>
      </c>
      <c r="E481" s="4">
        <f>SUMIFS('01_異動主檔'!$F:$F,'01_異動主檔'!$B:$B,116,'01_異動主檔'!$D:$D,B481,'01_異動主檔'!$E:$E,"移入")</f>
        <v/>
      </c>
      <c r="F481" s="4">
        <f>-SUMIFS('01_異動主檔'!$F:$F,'01_異動主檔'!$B:$B,116,'01_異動主檔'!$D:$D,B481,'01_異動主檔'!$E:$E,"移出")</f>
        <v/>
      </c>
      <c r="G481" s="4">
        <f>SUMIFS('01_異動主檔'!$F:$F,'01_異動主檔'!$B:$B,116,'01_異動主檔'!$D:$D,B481,'01_異動主檔'!$E:$E,"新增")</f>
        <v/>
      </c>
      <c r="H481" s="4">
        <f>-SUMIFS('01_異動主檔'!$F:$F,'01_異動主檔'!$B:$B,116,'01_異動主檔'!$D:$D,B481,'01_異動主檔'!$E:$E,"減列")</f>
        <v/>
      </c>
      <c r="I481" s="4">
        <f>-SUMIFS('01_異動主檔'!$F:$F,'01_異動主檔'!$B:$B,116,'01_異動主檔'!$D:$D,B481,'01_異動主檔'!$E:$E,"精簡")</f>
        <v/>
      </c>
      <c r="J481" s="10">
        <f>D481+E481+F481+G481+H481+I481</f>
        <v/>
      </c>
    </row>
    <row r="482" ht="18" customHeight="1">
      <c r="A482" s="6" t="inlineStr">
        <is>
          <t>C002</t>
        </is>
      </c>
      <c r="B482" s="5" t="inlineStr">
        <is>
          <t>新北分局</t>
        </is>
      </c>
      <c r="C482" s="6" t="n">
        <v>117</v>
      </c>
      <c r="D482" s="10">
        <f>J481</f>
        <v/>
      </c>
      <c r="E482" s="4">
        <f>SUMIFS('01_異動主檔'!$F:$F,'01_異動主檔'!$B:$B,117,'01_異動主檔'!$D:$D,B482,'01_異動主檔'!$E:$E,"移入")</f>
        <v/>
      </c>
      <c r="F482" s="4">
        <f>-SUMIFS('01_異動主檔'!$F:$F,'01_異動主檔'!$B:$B,117,'01_異動主檔'!$D:$D,B482,'01_異動主檔'!$E:$E,"移出")</f>
        <v/>
      </c>
      <c r="G482" s="4">
        <f>SUMIFS('01_異動主檔'!$F:$F,'01_異動主檔'!$B:$B,117,'01_異動主檔'!$D:$D,B482,'01_異動主檔'!$E:$E,"新增")</f>
        <v/>
      </c>
      <c r="H482" s="4">
        <f>-SUMIFS('01_異動主檔'!$F:$F,'01_異動主檔'!$B:$B,117,'01_異動主檔'!$D:$D,B482,'01_異動主檔'!$E:$E,"減列")</f>
        <v/>
      </c>
      <c r="I482" s="4">
        <f>-SUMIFS('01_異動主檔'!$F:$F,'01_異動主檔'!$B:$B,117,'01_異動主檔'!$D:$D,B482,'01_異動主檔'!$E:$E,"精簡")</f>
        <v/>
      </c>
      <c r="J482" s="10">
        <f>D482+E482+F482+G482+H482+I482</f>
        <v/>
      </c>
    </row>
    <row r="483" ht="18" customHeight="1">
      <c r="A483" s="4" t="inlineStr">
        <is>
          <t>C002</t>
        </is>
      </c>
      <c r="B483" s="3" t="inlineStr">
        <is>
          <t>新北分局</t>
        </is>
      </c>
      <c r="C483" s="4" t="n">
        <v>118</v>
      </c>
      <c r="D483" s="10">
        <f>J482</f>
        <v/>
      </c>
      <c r="E483" s="4">
        <f>SUMIFS('01_異動主檔'!$F:$F,'01_異動主檔'!$B:$B,118,'01_異動主檔'!$D:$D,B483,'01_異動主檔'!$E:$E,"移入")</f>
        <v/>
      </c>
      <c r="F483" s="4">
        <f>-SUMIFS('01_異動主檔'!$F:$F,'01_異動主檔'!$B:$B,118,'01_異動主檔'!$D:$D,B483,'01_異動主檔'!$E:$E,"移出")</f>
        <v/>
      </c>
      <c r="G483" s="4">
        <f>SUMIFS('01_異動主檔'!$F:$F,'01_異動主檔'!$B:$B,118,'01_異動主檔'!$D:$D,B483,'01_異動主檔'!$E:$E,"新增")</f>
        <v/>
      </c>
      <c r="H483" s="4">
        <f>-SUMIFS('01_異動主檔'!$F:$F,'01_異動主檔'!$B:$B,118,'01_異動主檔'!$D:$D,B483,'01_異動主檔'!$E:$E,"減列")</f>
        <v/>
      </c>
      <c r="I483" s="4">
        <f>-SUMIFS('01_異動主檔'!$F:$F,'01_異動主檔'!$B:$B,118,'01_異動主檔'!$D:$D,B483,'01_異動主檔'!$E:$E,"精簡")</f>
        <v/>
      </c>
      <c r="J483" s="10">
        <f>D483+E483+F483+G483+H483+I483</f>
        <v/>
      </c>
    </row>
    <row r="484" ht="18" customHeight="1">
      <c r="A484" s="6" t="inlineStr">
        <is>
          <t>C002</t>
        </is>
      </c>
      <c r="B484" s="5" t="inlineStr">
        <is>
          <t>新北分局</t>
        </is>
      </c>
      <c r="C484" s="6" t="n">
        <v>119</v>
      </c>
      <c r="D484" s="10">
        <f>J483</f>
        <v/>
      </c>
      <c r="E484" s="4">
        <f>SUMIFS('01_異動主檔'!$F:$F,'01_異動主檔'!$B:$B,119,'01_異動主檔'!$D:$D,B484,'01_異動主檔'!$E:$E,"移入")</f>
        <v/>
      </c>
      <c r="F484" s="4">
        <f>-SUMIFS('01_異動主檔'!$F:$F,'01_異動主檔'!$B:$B,119,'01_異動主檔'!$D:$D,B484,'01_異動主檔'!$E:$E,"移出")</f>
        <v/>
      </c>
      <c r="G484" s="4">
        <f>SUMIFS('01_異動主檔'!$F:$F,'01_異動主檔'!$B:$B,119,'01_異動主檔'!$D:$D,B484,'01_異動主檔'!$E:$E,"新增")</f>
        <v/>
      </c>
      <c r="H484" s="4">
        <f>-SUMIFS('01_異動主檔'!$F:$F,'01_異動主檔'!$B:$B,119,'01_異動主檔'!$D:$D,B484,'01_異動主檔'!$E:$E,"減列")</f>
        <v/>
      </c>
      <c r="I484" s="4">
        <f>-SUMIFS('01_異動主檔'!$F:$F,'01_異動主檔'!$B:$B,119,'01_異動主檔'!$D:$D,B484,'01_異動主檔'!$E:$E,"精簡")</f>
        <v/>
      </c>
      <c r="J484" s="10">
        <f>D484+E484+F484+G484+H484+I484</f>
        <v/>
      </c>
    </row>
    <row r="485" ht="18" customHeight="1">
      <c r="A485" s="4" t="inlineStr">
        <is>
          <t>C002</t>
        </is>
      </c>
      <c r="B485" s="3" t="inlineStr">
        <is>
          <t>新北分局</t>
        </is>
      </c>
      <c r="C485" s="4" t="n">
        <v>120</v>
      </c>
      <c r="D485" s="10">
        <f>J484</f>
        <v/>
      </c>
      <c r="E485" s="4">
        <f>SUMIFS('01_異動主檔'!$F:$F,'01_異動主檔'!$B:$B,120,'01_異動主檔'!$D:$D,B485,'01_異動主檔'!$E:$E,"移入")</f>
        <v/>
      </c>
      <c r="F485" s="4">
        <f>-SUMIFS('01_異動主檔'!$F:$F,'01_異動主檔'!$B:$B,120,'01_異動主檔'!$D:$D,B485,'01_異動主檔'!$E:$E,"移出")</f>
        <v/>
      </c>
      <c r="G485" s="4">
        <f>SUMIFS('01_異動主檔'!$F:$F,'01_異動主檔'!$B:$B,120,'01_異動主檔'!$D:$D,B485,'01_異動主檔'!$E:$E,"新增")</f>
        <v/>
      </c>
      <c r="H485" s="4">
        <f>-SUMIFS('01_異動主檔'!$F:$F,'01_異動主檔'!$B:$B,120,'01_異動主檔'!$D:$D,B485,'01_異動主檔'!$E:$E,"減列")</f>
        <v/>
      </c>
      <c r="I485" s="4">
        <f>-SUMIFS('01_異動主檔'!$F:$F,'01_異動主檔'!$B:$B,120,'01_異動主檔'!$D:$D,B485,'01_異動主檔'!$E:$E,"精簡")</f>
        <v/>
      </c>
      <c r="J485" s="10">
        <f>D485+E485+F485+G485+H485+I485</f>
        <v/>
      </c>
    </row>
    <row r="486" ht="18" customHeight="1">
      <c r="A486" s="6" t="inlineStr">
        <is>
          <t>C002</t>
        </is>
      </c>
      <c r="B486" s="5" t="inlineStr">
        <is>
          <t>新北分局</t>
        </is>
      </c>
      <c r="C486" s="6" t="n">
        <v>121</v>
      </c>
      <c r="D486" s="10">
        <f>J485</f>
        <v/>
      </c>
      <c r="E486" s="4">
        <f>SUMIFS('01_異動主檔'!$F:$F,'01_異動主檔'!$B:$B,121,'01_異動主檔'!$D:$D,B486,'01_異動主檔'!$E:$E,"移入")</f>
        <v/>
      </c>
      <c r="F486" s="4">
        <f>-SUMIFS('01_異動主檔'!$F:$F,'01_異動主檔'!$B:$B,121,'01_異動主檔'!$D:$D,B486,'01_異動主檔'!$E:$E,"移出")</f>
        <v/>
      </c>
      <c r="G486" s="4">
        <f>SUMIFS('01_異動主檔'!$F:$F,'01_異動主檔'!$B:$B,121,'01_異動主檔'!$D:$D,B486,'01_異動主檔'!$E:$E,"新增")</f>
        <v/>
      </c>
      <c r="H486" s="4">
        <f>-SUMIFS('01_異動主檔'!$F:$F,'01_異動主檔'!$B:$B,121,'01_異動主檔'!$D:$D,B486,'01_異動主檔'!$E:$E,"減列")</f>
        <v/>
      </c>
      <c r="I486" s="4">
        <f>-SUMIFS('01_異動主檔'!$F:$F,'01_異動主檔'!$B:$B,121,'01_異動主檔'!$D:$D,B486,'01_異動主檔'!$E:$E,"精簡")</f>
        <v/>
      </c>
      <c r="J486" s="10">
        <f>D486+E486+F486+G486+H486+I486</f>
        <v/>
      </c>
    </row>
    <row r="487" ht="18" customHeight="1">
      <c r="A487" s="4" t="inlineStr">
        <is>
          <t>C002</t>
        </is>
      </c>
      <c r="B487" s="3" t="inlineStr">
        <is>
          <t>新北分局</t>
        </is>
      </c>
      <c r="C487" s="4" t="n">
        <v>122</v>
      </c>
      <c r="D487" s="10">
        <f>J486</f>
        <v/>
      </c>
      <c r="E487" s="4">
        <f>SUMIFS('01_異動主檔'!$F:$F,'01_異動主檔'!$B:$B,122,'01_異動主檔'!$D:$D,B487,'01_異動主檔'!$E:$E,"移入")</f>
        <v/>
      </c>
      <c r="F487" s="4">
        <f>-SUMIFS('01_異動主檔'!$F:$F,'01_異動主檔'!$B:$B,122,'01_異動主檔'!$D:$D,B487,'01_異動主檔'!$E:$E,"移出")</f>
        <v/>
      </c>
      <c r="G487" s="4">
        <f>SUMIFS('01_異動主檔'!$F:$F,'01_異動主檔'!$B:$B,122,'01_異動主檔'!$D:$D,B487,'01_異動主檔'!$E:$E,"新增")</f>
        <v/>
      </c>
      <c r="H487" s="4">
        <f>-SUMIFS('01_異動主檔'!$F:$F,'01_異動主檔'!$B:$B,122,'01_異動主檔'!$D:$D,B487,'01_異動主檔'!$E:$E,"減列")</f>
        <v/>
      </c>
      <c r="I487" s="4">
        <f>-SUMIFS('01_異動主檔'!$F:$F,'01_異動主檔'!$B:$B,122,'01_異動主檔'!$D:$D,B487,'01_異動主檔'!$E:$E,"精簡")</f>
        <v/>
      </c>
      <c r="J487" s="10">
        <f>D487+E487+F487+G487+H487+I487</f>
        <v/>
      </c>
    </row>
    <row r="488" ht="18" customHeight="1">
      <c r="A488" s="6" t="inlineStr">
        <is>
          <t>C002</t>
        </is>
      </c>
      <c r="B488" s="5" t="inlineStr">
        <is>
          <t>新北分局</t>
        </is>
      </c>
      <c r="C488" s="6" t="n">
        <v>123</v>
      </c>
      <c r="D488" s="10">
        <f>J487</f>
        <v/>
      </c>
      <c r="E488" s="4">
        <f>SUMIFS('01_異動主檔'!$F:$F,'01_異動主檔'!$B:$B,123,'01_異動主檔'!$D:$D,B488,'01_異動主檔'!$E:$E,"移入")</f>
        <v/>
      </c>
      <c r="F488" s="4">
        <f>-SUMIFS('01_異動主檔'!$F:$F,'01_異動主檔'!$B:$B,123,'01_異動主檔'!$D:$D,B488,'01_異動主檔'!$E:$E,"移出")</f>
        <v/>
      </c>
      <c r="G488" s="4">
        <f>SUMIFS('01_異動主檔'!$F:$F,'01_異動主檔'!$B:$B,123,'01_異動主檔'!$D:$D,B488,'01_異動主檔'!$E:$E,"新增")</f>
        <v/>
      </c>
      <c r="H488" s="4">
        <f>-SUMIFS('01_異動主檔'!$F:$F,'01_異動主檔'!$B:$B,123,'01_異動主檔'!$D:$D,B488,'01_異動主檔'!$E:$E,"減列")</f>
        <v/>
      </c>
      <c r="I488" s="4">
        <f>-SUMIFS('01_異動主檔'!$F:$F,'01_異動主檔'!$B:$B,123,'01_異動主檔'!$D:$D,B488,'01_異動主檔'!$E:$E,"精簡")</f>
        <v/>
      </c>
      <c r="J488" s="10">
        <f>D488+E488+F488+G488+H488+I488</f>
        <v/>
      </c>
    </row>
    <row r="489" ht="18" customHeight="1">
      <c r="A489" s="4" t="inlineStr">
        <is>
          <t>C002</t>
        </is>
      </c>
      <c r="B489" s="3" t="inlineStr">
        <is>
          <t>新北分局</t>
        </is>
      </c>
      <c r="C489" s="4" t="n">
        <v>124</v>
      </c>
      <c r="D489" s="10">
        <f>J488</f>
        <v/>
      </c>
      <c r="E489" s="4">
        <f>SUMIFS('01_異動主檔'!$F:$F,'01_異動主檔'!$B:$B,124,'01_異動主檔'!$D:$D,B489,'01_異動主檔'!$E:$E,"移入")</f>
        <v/>
      </c>
      <c r="F489" s="4">
        <f>-SUMIFS('01_異動主檔'!$F:$F,'01_異動主檔'!$B:$B,124,'01_異動主檔'!$D:$D,B489,'01_異動主檔'!$E:$E,"移出")</f>
        <v/>
      </c>
      <c r="G489" s="4">
        <f>SUMIFS('01_異動主檔'!$F:$F,'01_異動主檔'!$B:$B,124,'01_異動主檔'!$D:$D,B489,'01_異動主檔'!$E:$E,"新增")</f>
        <v/>
      </c>
      <c r="H489" s="4">
        <f>-SUMIFS('01_異動主檔'!$F:$F,'01_異動主檔'!$B:$B,124,'01_異動主檔'!$D:$D,B489,'01_異動主檔'!$E:$E,"減列")</f>
        <v/>
      </c>
      <c r="I489" s="4">
        <f>-SUMIFS('01_異動主檔'!$F:$F,'01_異動主檔'!$B:$B,124,'01_異動主檔'!$D:$D,B489,'01_異動主檔'!$E:$E,"精簡")</f>
        <v/>
      </c>
      <c r="J489" s="10">
        <f>D489+E489+F489+G489+H489+I489</f>
        <v/>
      </c>
    </row>
    <row r="490" ht="18" customHeight="1">
      <c r="A490" s="6" t="inlineStr">
        <is>
          <t>C002</t>
        </is>
      </c>
      <c r="B490" s="5" t="inlineStr">
        <is>
          <t>新北分局</t>
        </is>
      </c>
      <c r="C490" s="6" t="n">
        <v>125</v>
      </c>
      <c r="D490" s="10">
        <f>J489</f>
        <v/>
      </c>
      <c r="E490" s="4">
        <f>SUMIFS('01_異動主檔'!$F:$F,'01_異動主檔'!$B:$B,125,'01_異動主檔'!$D:$D,B490,'01_異動主檔'!$E:$E,"移入")</f>
        <v/>
      </c>
      <c r="F490" s="4">
        <f>-SUMIFS('01_異動主檔'!$F:$F,'01_異動主檔'!$B:$B,125,'01_異動主檔'!$D:$D,B490,'01_異動主檔'!$E:$E,"移出")</f>
        <v/>
      </c>
      <c r="G490" s="4">
        <f>SUMIFS('01_異動主檔'!$F:$F,'01_異動主檔'!$B:$B,125,'01_異動主檔'!$D:$D,B490,'01_異動主檔'!$E:$E,"新增")</f>
        <v/>
      </c>
      <c r="H490" s="4">
        <f>-SUMIFS('01_異動主檔'!$F:$F,'01_異動主檔'!$B:$B,125,'01_異動主檔'!$D:$D,B490,'01_異動主檔'!$E:$E,"減列")</f>
        <v/>
      </c>
      <c r="I490" s="4">
        <f>-SUMIFS('01_異動主檔'!$F:$F,'01_異動主檔'!$B:$B,125,'01_異動主檔'!$D:$D,B490,'01_異動主檔'!$E:$E,"精簡")</f>
        <v/>
      </c>
      <c r="J490" s="10">
        <f>D490+E490+F490+G490+H490+I490</f>
        <v/>
      </c>
    </row>
    <row r="491" ht="18" customHeight="1">
      <c r="A491" s="4" t="inlineStr">
        <is>
          <t>C003</t>
        </is>
      </c>
      <c r="B491" s="3" t="inlineStr">
        <is>
          <t>桃園分局</t>
        </is>
      </c>
      <c r="C491" s="4" t="n">
        <v>99</v>
      </c>
      <c r="D491" s="10">
        <f>'02_年初員額設定'!C23</f>
        <v/>
      </c>
      <c r="E491" s="4">
        <f>SUMIFS('01_異動主檔'!$F:$F,'01_異動主檔'!$B:$B,99,'01_異動主檔'!$D:$D,B491,'01_異動主檔'!$E:$E,"移入")</f>
        <v/>
      </c>
      <c r="F491" s="4">
        <f>-SUMIFS('01_異動主檔'!$F:$F,'01_異動主檔'!$B:$B,99,'01_異動主檔'!$D:$D,B491,'01_異動主檔'!$E:$E,"移出")</f>
        <v/>
      </c>
      <c r="G491" s="4">
        <f>SUMIFS('01_異動主檔'!$F:$F,'01_異動主檔'!$B:$B,99,'01_異動主檔'!$D:$D,B491,'01_異動主檔'!$E:$E,"新增")</f>
        <v/>
      </c>
      <c r="H491" s="4">
        <f>-SUMIFS('01_異動主檔'!$F:$F,'01_異動主檔'!$B:$B,99,'01_異動主檔'!$D:$D,B491,'01_異動主檔'!$E:$E,"減列")</f>
        <v/>
      </c>
      <c r="I491" s="4">
        <f>-SUMIFS('01_異動主檔'!$F:$F,'01_異動主檔'!$B:$B,99,'01_異動主檔'!$D:$D,B491,'01_異動主檔'!$E:$E,"精簡")</f>
        <v/>
      </c>
      <c r="J491" s="10">
        <f>D491+E491+F491+G491+H491+I491</f>
        <v/>
      </c>
    </row>
    <row r="492" ht="18" customHeight="1">
      <c r="A492" s="6" t="inlineStr">
        <is>
          <t>C003</t>
        </is>
      </c>
      <c r="B492" s="5" t="inlineStr">
        <is>
          <t>桃園分局</t>
        </is>
      </c>
      <c r="C492" s="6" t="n">
        <v>100</v>
      </c>
      <c r="D492" s="10">
        <f>J491</f>
        <v/>
      </c>
      <c r="E492" s="4">
        <f>SUMIFS('01_異動主檔'!$F:$F,'01_異動主檔'!$B:$B,100,'01_異動主檔'!$D:$D,B492,'01_異動主檔'!$E:$E,"移入")</f>
        <v/>
      </c>
      <c r="F492" s="4">
        <f>-SUMIFS('01_異動主檔'!$F:$F,'01_異動主檔'!$B:$B,100,'01_異動主檔'!$D:$D,B492,'01_異動主檔'!$E:$E,"移出")</f>
        <v/>
      </c>
      <c r="G492" s="4">
        <f>SUMIFS('01_異動主檔'!$F:$F,'01_異動主檔'!$B:$B,100,'01_異動主檔'!$D:$D,B492,'01_異動主檔'!$E:$E,"新增")</f>
        <v/>
      </c>
      <c r="H492" s="4">
        <f>-SUMIFS('01_異動主檔'!$F:$F,'01_異動主檔'!$B:$B,100,'01_異動主檔'!$D:$D,B492,'01_異動主檔'!$E:$E,"減列")</f>
        <v/>
      </c>
      <c r="I492" s="4">
        <f>-SUMIFS('01_異動主檔'!$F:$F,'01_異動主檔'!$B:$B,100,'01_異動主檔'!$D:$D,B492,'01_異動主檔'!$E:$E,"精簡")</f>
        <v/>
      </c>
      <c r="J492" s="10">
        <f>D492+E492+F492+G492+H492+I492</f>
        <v/>
      </c>
    </row>
    <row r="493" ht="18" customHeight="1">
      <c r="A493" s="4" t="inlineStr">
        <is>
          <t>C003</t>
        </is>
      </c>
      <c r="B493" s="3" t="inlineStr">
        <is>
          <t>桃園分局</t>
        </is>
      </c>
      <c r="C493" s="4" t="n">
        <v>101</v>
      </c>
      <c r="D493" s="10">
        <f>J492</f>
        <v/>
      </c>
      <c r="E493" s="4">
        <f>SUMIFS('01_異動主檔'!$F:$F,'01_異動主檔'!$B:$B,101,'01_異動主檔'!$D:$D,B493,'01_異動主檔'!$E:$E,"移入")</f>
        <v/>
      </c>
      <c r="F493" s="4">
        <f>-SUMIFS('01_異動主檔'!$F:$F,'01_異動主檔'!$B:$B,101,'01_異動主檔'!$D:$D,B493,'01_異動主檔'!$E:$E,"移出")</f>
        <v/>
      </c>
      <c r="G493" s="4">
        <f>SUMIFS('01_異動主檔'!$F:$F,'01_異動主檔'!$B:$B,101,'01_異動主檔'!$D:$D,B493,'01_異動主檔'!$E:$E,"新增")</f>
        <v/>
      </c>
      <c r="H493" s="4">
        <f>-SUMIFS('01_異動主檔'!$F:$F,'01_異動主檔'!$B:$B,101,'01_異動主檔'!$D:$D,B493,'01_異動主檔'!$E:$E,"減列")</f>
        <v/>
      </c>
      <c r="I493" s="4">
        <f>-SUMIFS('01_異動主檔'!$F:$F,'01_異動主檔'!$B:$B,101,'01_異動主檔'!$D:$D,B493,'01_異動主檔'!$E:$E,"精簡")</f>
        <v/>
      </c>
      <c r="J493" s="10">
        <f>D493+E493+F493+G493+H493+I493</f>
        <v/>
      </c>
    </row>
    <row r="494" ht="18" customHeight="1">
      <c r="A494" s="6" t="inlineStr">
        <is>
          <t>C003</t>
        </is>
      </c>
      <c r="B494" s="5" t="inlineStr">
        <is>
          <t>桃園分局</t>
        </is>
      </c>
      <c r="C494" s="6" t="n">
        <v>102</v>
      </c>
      <c r="D494" s="10">
        <f>J493</f>
        <v/>
      </c>
      <c r="E494" s="4">
        <f>SUMIFS('01_異動主檔'!$F:$F,'01_異動主檔'!$B:$B,102,'01_異動主檔'!$D:$D,B494,'01_異動主檔'!$E:$E,"移入")</f>
        <v/>
      </c>
      <c r="F494" s="4">
        <f>-SUMIFS('01_異動主檔'!$F:$F,'01_異動主檔'!$B:$B,102,'01_異動主檔'!$D:$D,B494,'01_異動主檔'!$E:$E,"移出")</f>
        <v/>
      </c>
      <c r="G494" s="4">
        <f>SUMIFS('01_異動主檔'!$F:$F,'01_異動主檔'!$B:$B,102,'01_異動主檔'!$D:$D,B494,'01_異動主檔'!$E:$E,"新增")</f>
        <v/>
      </c>
      <c r="H494" s="4">
        <f>-SUMIFS('01_異動主檔'!$F:$F,'01_異動主檔'!$B:$B,102,'01_異動主檔'!$D:$D,B494,'01_異動主檔'!$E:$E,"減列")</f>
        <v/>
      </c>
      <c r="I494" s="4">
        <f>-SUMIFS('01_異動主檔'!$F:$F,'01_異動主檔'!$B:$B,102,'01_異動主檔'!$D:$D,B494,'01_異動主檔'!$E:$E,"精簡")</f>
        <v/>
      </c>
      <c r="J494" s="10">
        <f>D494+E494+F494+G494+H494+I494</f>
        <v/>
      </c>
    </row>
    <row r="495" ht="18" customHeight="1">
      <c r="A495" s="4" t="inlineStr">
        <is>
          <t>C003</t>
        </is>
      </c>
      <c r="B495" s="3" t="inlineStr">
        <is>
          <t>桃園分局</t>
        </is>
      </c>
      <c r="C495" s="4" t="n">
        <v>103</v>
      </c>
      <c r="D495" s="10">
        <f>J494</f>
        <v/>
      </c>
      <c r="E495" s="4">
        <f>SUMIFS('01_異動主檔'!$F:$F,'01_異動主檔'!$B:$B,103,'01_異動主檔'!$D:$D,B495,'01_異動主檔'!$E:$E,"移入")</f>
        <v/>
      </c>
      <c r="F495" s="4">
        <f>-SUMIFS('01_異動主檔'!$F:$F,'01_異動主檔'!$B:$B,103,'01_異動主檔'!$D:$D,B495,'01_異動主檔'!$E:$E,"移出")</f>
        <v/>
      </c>
      <c r="G495" s="4">
        <f>SUMIFS('01_異動主檔'!$F:$F,'01_異動主檔'!$B:$B,103,'01_異動主檔'!$D:$D,B495,'01_異動主檔'!$E:$E,"新增")</f>
        <v/>
      </c>
      <c r="H495" s="4">
        <f>-SUMIFS('01_異動主檔'!$F:$F,'01_異動主檔'!$B:$B,103,'01_異動主檔'!$D:$D,B495,'01_異動主檔'!$E:$E,"減列")</f>
        <v/>
      </c>
      <c r="I495" s="4">
        <f>-SUMIFS('01_異動主檔'!$F:$F,'01_異動主檔'!$B:$B,103,'01_異動主檔'!$D:$D,B495,'01_異動主檔'!$E:$E,"精簡")</f>
        <v/>
      </c>
      <c r="J495" s="10">
        <f>D495+E495+F495+G495+H495+I495</f>
        <v/>
      </c>
    </row>
    <row r="496" ht="18" customHeight="1">
      <c r="A496" s="6" t="inlineStr">
        <is>
          <t>C003</t>
        </is>
      </c>
      <c r="B496" s="5" t="inlineStr">
        <is>
          <t>桃園分局</t>
        </is>
      </c>
      <c r="C496" s="6" t="n">
        <v>104</v>
      </c>
      <c r="D496" s="10">
        <f>J495</f>
        <v/>
      </c>
      <c r="E496" s="4">
        <f>SUMIFS('01_異動主檔'!$F:$F,'01_異動主檔'!$B:$B,104,'01_異動主檔'!$D:$D,B496,'01_異動主檔'!$E:$E,"移入")</f>
        <v/>
      </c>
      <c r="F496" s="4">
        <f>-SUMIFS('01_異動主檔'!$F:$F,'01_異動主檔'!$B:$B,104,'01_異動主檔'!$D:$D,B496,'01_異動主檔'!$E:$E,"移出")</f>
        <v/>
      </c>
      <c r="G496" s="4">
        <f>SUMIFS('01_異動主檔'!$F:$F,'01_異動主檔'!$B:$B,104,'01_異動主檔'!$D:$D,B496,'01_異動主檔'!$E:$E,"新增")</f>
        <v/>
      </c>
      <c r="H496" s="4">
        <f>-SUMIFS('01_異動主檔'!$F:$F,'01_異動主檔'!$B:$B,104,'01_異動主檔'!$D:$D,B496,'01_異動主檔'!$E:$E,"減列")</f>
        <v/>
      </c>
      <c r="I496" s="4">
        <f>-SUMIFS('01_異動主檔'!$F:$F,'01_異動主檔'!$B:$B,104,'01_異動主檔'!$D:$D,B496,'01_異動主檔'!$E:$E,"精簡")</f>
        <v/>
      </c>
      <c r="J496" s="10">
        <f>D496+E496+F496+G496+H496+I496</f>
        <v/>
      </c>
    </row>
    <row r="497" ht="18" customHeight="1">
      <c r="A497" s="4" t="inlineStr">
        <is>
          <t>C003</t>
        </is>
      </c>
      <c r="B497" s="3" t="inlineStr">
        <is>
          <t>桃園分局</t>
        </is>
      </c>
      <c r="C497" s="4" t="n">
        <v>105</v>
      </c>
      <c r="D497" s="10">
        <f>J496</f>
        <v/>
      </c>
      <c r="E497" s="4">
        <f>SUMIFS('01_異動主檔'!$F:$F,'01_異動主檔'!$B:$B,105,'01_異動主檔'!$D:$D,B497,'01_異動主檔'!$E:$E,"移入")</f>
        <v/>
      </c>
      <c r="F497" s="4">
        <f>-SUMIFS('01_異動主檔'!$F:$F,'01_異動主檔'!$B:$B,105,'01_異動主檔'!$D:$D,B497,'01_異動主檔'!$E:$E,"移出")</f>
        <v/>
      </c>
      <c r="G497" s="4">
        <f>SUMIFS('01_異動主檔'!$F:$F,'01_異動主檔'!$B:$B,105,'01_異動主檔'!$D:$D,B497,'01_異動主檔'!$E:$E,"新增")</f>
        <v/>
      </c>
      <c r="H497" s="4">
        <f>-SUMIFS('01_異動主檔'!$F:$F,'01_異動主檔'!$B:$B,105,'01_異動主檔'!$D:$D,B497,'01_異動主檔'!$E:$E,"減列")</f>
        <v/>
      </c>
      <c r="I497" s="4">
        <f>-SUMIFS('01_異動主檔'!$F:$F,'01_異動主檔'!$B:$B,105,'01_異動主檔'!$D:$D,B497,'01_異動主檔'!$E:$E,"精簡")</f>
        <v/>
      </c>
      <c r="J497" s="10">
        <f>D497+E497+F497+G497+H497+I497</f>
        <v/>
      </c>
    </row>
    <row r="498" ht="18" customHeight="1">
      <c r="A498" s="6" t="inlineStr">
        <is>
          <t>C003</t>
        </is>
      </c>
      <c r="B498" s="5" t="inlineStr">
        <is>
          <t>桃園分局</t>
        </is>
      </c>
      <c r="C498" s="6" t="n">
        <v>106</v>
      </c>
      <c r="D498" s="10">
        <f>J497</f>
        <v/>
      </c>
      <c r="E498" s="4">
        <f>SUMIFS('01_異動主檔'!$F:$F,'01_異動主檔'!$B:$B,106,'01_異動主檔'!$D:$D,B498,'01_異動主檔'!$E:$E,"移入")</f>
        <v/>
      </c>
      <c r="F498" s="4">
        <f>-SUMIFS('01_異動主檔'!$F:$F,'01_異動主檔'!$B:$B,106,'01_異動主檔'!$D:$D,B498,'01_異動主檔'!$E:$E,"移出")</f>
        <v/>
      </c>
      <c r="G498" s="4">
        <f>SUMIFS('01_異動主檔'!$F:$F,'01_異動主檔'!$B:$B,106,'01_異動主檔'!$D:$D,B498,'01_異動主檔'!$E:$E,"新增")</f>
        <v/>
      </c>
      <c r="H498" s="4">
        <f>-SUMIFS('01_異動主檔'!$F:$F,'01_異動主檔'!$B:$B,106,'01_異動主檔'!$D:$D,B498,'01_異動主檔'!$E:$E,"減列")</f>
        <v/>
      </c>
      <c r="I498" s="4">
        <f>-SUMIFS('01_異動主檔'!$F:$F,'01_異動主檔'!$B:$B,106,'01_異動主檔'!$D:$D,B498,'01_異動主檔'!$E:$E,"精簡")</f>
        <v/>
      </c>
      <c r="J498" s="10">
        <f>D498+E498+F498+G498+H498+I498</f>
        <v/>
      </c>
    </row>
    <row r="499" ht="18" customHeight="1">
      <c r="A499" s="4" t="inlineStr">
        <is>
          <t>C003</t>
        </is>
      </c>
      <c r="B499" s="3" t="inlineStr">
        <is>
          <t>桃園分局</t>
        </is>
      </c>
      <c r="C499" s="4" t="n">
        <v>107</v>
      </c>
      <c r="D499" s="10">
        <f>J498</f>
        <v/>
      </c>
      <c r="E499" s="4">
        <f>SUMIFS('01_異動主檔'!$F:$F,'01_異動主檔'!$B:$B,107,'01_異動主檔'!$D:$D,B499,'01_異動主檔'!$E:$E,"移入")</f>
        <v/>
      </c>
      <c r="F499" s="4">
        <f>-SUMIFS('01_異動主檔'!$F:$F,'01_異動主檔'!$B:$B,107,'01_異動主檔'!$D:$D,B499,'01_異動主檔'!$E:$E,"移出")</f>
        <v/>
      </c>
      <c r="G499" s="4">
        <f>SUMIFS('01_異動主檔'!$F:$F,'01_異動主檔'!$B:$B,107,'01_異動主檔'!$D:$D,B499,'01_異動主檔'!$E:$E,"新增")</f>
        <v/>
      </c>
      <c r="H499" s="4">
        <f>-SUMIFS('01_異動主檔'!$F:$F,'01_異動主檔'!$B:$B,107,'01_異動主檔'!$D:$D,B499,'01_異動主檔'!$E:$E,"減列")</f>
        <v/>
      </c>
      <c r="I499" s="4">
        <f>-SUMIFS('01_異動主檔'!$F:$F,'01_異動主檔'!$B:$B,107,'01_異動主檔'!$D:$D,B499,'01_異動主檔'!$E:$E,"精簡")</f>
        <v/>
      </c>
      <c r="J499" s="10">
        <f>D499+E499+F499+G499+H499+I499</f>
        <v/>
      </c>
    </row>
    <row r="500" ht="18" customHeight="1">
      <c r="A500" s="6" t="inlineStr">
        <is>
          <t>C003</t>
        </is>
      </c>
      <c r="B500" s="5" t="inlineStr">
        <is>
          <t>桃園分局</t>
        </is>
      </c>
      <c r="C500" s="6" t="n">
        <v>108</v>
      </c>
      <c r="D500" s="10">
        <f>J499</f>
        <v/>
      </c>
      <c r="E500" s="4">
        <f>SUMIFS('01_異動主檔'!$F:$F,'01_異動主檔'!$B:$B,108,'01_異動主檔'!$D:$D,B500,'01_異動主檔'!$E:$E,"移入")</f>
        <v/>
      </c>
      <c r="F500" s="4">
        <f>-SUMIFS('01_異動主檔'!$F:$F,'01_異動主檔'!$B:$B,108,'01_異動主檔'!$D:$D,B500,'01_異動主檔'!$E:$E,"移出")</f>
        <v/>
      </c>
      <c r="G500" s="4">
        <f>SUMIFS('01_異動主檔'!$F:$F,'01_異動主檔'!$B:$B,108,'01_異動主檔'!$D:$D,B500,'01_異動主檔'!$E:$E,"新增")</f>
        <v/>
      </c>
      <c r="H500" s="4">
        <f>-SUMIFS('01_異動主檔'!$F:$F,'01_異動主檔'!$B:$B,108,'01_異動主檔'!$D:$D,B500,'01_異動主檔'!$E:$E,"減列")</f>
        <v/>
      </c>
      <c r="I500" s="4">
        <f>-SUMIFS('01_異動主檔'!$F:$F,'01_異動主檔'!$B:$B,108,'01_異動主檔'!$D:$D,B500,'01_異動主檔'!$E:$E,"精簡")</f>
        <v/>
      </c>
      <c r="J500" s="10">
        <f>D500+E500+F500+G500+H500+I500</f>
        <v/>
      </c>
    </row>
    <row r="501" ht="18" customHeight="1">
      <c r="A501" s="4" t="inlineStr">
        <is>
          <t>C003</t>
        </is>
      </c>
      <c r="B501" s="3" t="inlineStr">
        <is>
          <t>桃園分局</t>
        </is>
      </c>
      <c r="C501" s="4" t="n">
        <v>109</v>
      </c>
      <c r="D501" s="10">
        <f>J500</f>
        <v/>
      </c>
      <c r="E501" s="4">
        <f>SUMIFS('01_異動主檔'!$F:$F,'01_異動主檔'!$B:$B,109,'01_異動主檔'!$D:$D,B501,'01_異動主檔'!$E:$E,"移入")</f>
        <v/>
      </c>
      <c r="F501" s="4">
        <f>-SUMIFS('01_異動主檔'!$F:$F,'01_異動主檔'!$B:$B,109,'01_異動主檔'!$D:$D,B501,'01_異動主檔'!$E:$E,"移出")</f>
        <v/>
      </c>
      <c r="G501" s="4">
        <f>SUMIFS('01_異動主檔'!$F:$F,'01_異動主檔'!$B:$B,109,'01_異動主檔'!$D:$D,B501,'01_異動主檔'!$E:$E,"新增")</f>
        <v/>
      </c>
      <c r="H501" s="4">
        <f>-SUMIFS('01_異動主檔'!$F:$F,'01_異動主檔'!$B:$B,109,'01_異動主檔'!$D:$D,B501,'01_異動主檔'!$E:$E,"減列")</f>
        <v/>
      </c>
      <c r="I501" s="4">
        <f>-SUMIFS('01_異動主檔'!$F:$F,'01_異動主檔'!$B:$B,109,'01_異動主檔'!$D:$D,B501,'01_異動主檔'!$E:$E,"精簡")</f>
        <v/>
      </c>
      <c r="J501" s="10">
        <f>D501+E501+F501+G501+H501+I501</f>
        <v/>
      </c>
    </row>
    <row r="502" ht="18" customHeight="1">
      <c r="A502" s="6" t="inlineStr">
        <is>
          <t>C003</t>
        </is>
      </c>
      <c r="B502" s="5" t="inlineStr">
        <is>
          <t>桃園分局</t>
        </is>
      </c>
      <c r="C502" s="6" t="n">
        <v>110</v>
      </c>
      <c r="D502" s="10">
        <f>J501</f>
        <v/>
      </c>
      <c r="E502" s="4">
        <f>SUMIFS('01_異動主檔'!$F:$F,'01_異動主檔'!$B:$B,110,'01_異動主檔'!$D:$D,B502,'01_異動主檔'!$E:$E,"移入")</f>
        <v/>
      </c>
      <c r="F502" s="4">
        <f>-SUMIFS('01_異動主檔'!$F:$F,'01_異動主檔'!$B:$B,110,'01_異動主檔'!$D:$D,B502,'01_異動主檔'!$E:$E,"移出")</f>
        <v/>
      </c>
      <c r="G502" s="4">
        <f>SUMIFS('01_異動主檔'!$F:$F,'01_異動主檔'!$B:$B,110,'01_異動主檔'!$D:$D,B502,'01_異動主檔'!$E:$E,"新增")</f>
        <v/>
      </c>
      <c r="H502" s="4">
        <f>-SUMIFS('01_異動主檔'!$F:$F,'01_異動主檔'!$B:$B,110,'01_異動主檔'!$D:$D,B502,'01_異動主檔'!$E:$E,"減列")</f>
        <v/>
      </c>
      <c r="I502" s="4">
        <f>-SUMIFS('01_異動主檔'!$F:$F,'01_異動主檔'!$B:$B,110,'01_異動主檔'!$D:$D,B502,'01_異動主檔'!$E:$E,"精簡")</f>
        <v/>
      </c>
      <c r="J502" s="10">
        <f>D502+E502+F502+G502+H502+I502</f>
        <v/>
      </c>
    </row>
    <row r="503" ht="18" customHeight="1">
      <c r="A503" s="4" t="inlineStr">
        <is>
          <t>C003</t>
        </is>
      </c>
      <c r="B503" s="3" t="inlineStr">
        <is>
          <t>桃園分局</t>
        </is>
      </c>
      <c r="C503" s="4" t="n">
        <v>111</v>
      </c>
      <c r="D503" s="10">
        <f>J502</f>
        <v/>
      </c>
      <c r="E503" s="4">
        <f>SUMIFS('01_異動主檔'!$F:$F,'01_異動主檔'!$B:$B,111,'01_異動主檔'!$D:$D,B503,'01_異動主檔'!$E:$E,"移入")</f>
        <v/>
      </c>
      <c r="F503" s="4">
        <f>-SUMIFS('01_異動主檔'!$F:$F,'01_異動主檔'!$B:$B,111,'01_異動主檔'!$D:$D,B503,'01_異動主檔'!$E:$E,"移出")</f>
        <v/>
      </c>
      <c r="G503" s="4">
        <f>SUMIFS('01_異動主檔'!$F:$F,'01_異動主檔'!$B:$B,111,'01_異動主檔'!$D:$D,B503,'01_異動主檔'!$E:$E,"新增")</f>
        <v/>
      </c>
      <c r="H503" s="4">
        <f>-SUMIFS('01_異動主檔'!$F:$F,'01_異動主檔'!$B:$B,111,'01_異動主檔'!$D:$D,B503,'01_異動主檔'!$E:$E,"減列")</f>
        <v/>
      </c>
      <c r="I503" s="4">
        <f>-SUMIFS('01_異動主檔'!$F:$F,'01_異動主檔'!$B:$B,111,'01_異動主檔'!$D:$D,B503,'01_異動主檔'!$E:$E,"精簡")</f>
        <v/>
      </c>
      <c r="J503" s="10">
        <f>D503+E503+F503+G503+H503+I503</f>
        <v/>
      </c>
    </row>
    <row r="504" ht="18" customHeight="1">
      <c r="A504" s="6" t="inlineStr">
        <is>
          <t>C003</t>
        </is>
      </c>
      <c r="B504" s="5" t="inlineStr">
        <is>
          <t>桃園分局</t>
        </is>
      </c>
      <c r="C504" s="6" t="n">
        <v>112</v>
      </c>
      <c r="D504" s="10">
        <f>J503</f>
        <v/>
      </c>
      <c r="E504" s="4">
        <f>SUMIFS('01_異動主檔'!$F:$F,'01_異動主檔'!$B:$B,112,'01_異動主檔'!$D:$D,B504,'01_異動主檔'!$E:$E,"移入")</f>
        <v/>
      </c>
      <c r="F504" s="4">
        <f>-SUMIFS('01_異動主檔'!$F:$F,'01_異動主檔'!$B:$B,112,'01_異動主檔'!$D:$D,B504,'01_異動主檔'!$E:$E,"移出")</f>
        <v/>
      </c>
      <c r="G504" s="4">
        <f>SUMIFS('01_異動主檔'!$F:$F,'01_異動主檔'!$B:$B,112,'01_異動主檔'!$D:$D,B504,'01_異動主檔'!$E:$E,"新增")</f>
        <v/>
      </c>
      <c r="H504" s="4">
        <f>-SUMIFS('01_異動主檔'!$F:$F,'01_異動主檔'!$B:$B,112,'01_異動主檔'!$D:$D,B504,'01_異動主檔'!$E:$E,"減列")</f>
        <v/>
      </c>
      <c r="I504" s="4">
        <f>-SUMIFS('01_異動主檔'!$F:$F,'01_異動主檔'!$B:$B,112,'01_異動主檔'!$D:$D,B504,'01_異動主檔'!$E:$E,"精簡")</f>
        <v/>
      </c>
      <c r="J504" s="10">
        <f>D504+E504+F504+G504+H504+I504</f>
        <v/>
      </c>
    </row>
    <row r="505" ht="18" customHeight="1">
      <c r="A505" s="4" t="inlineStr">
        <is>
          <t>C003</t>
        </is>
      </c>
      <c r="B505" s="3" t="inlineStr">
        <is>
          <t>桃園分局</t>
        </is>
      </c>
      <c r="C505" s="4" t="n">
        <v>113</v>
      </c>
      <c r="D505" s="10">
        <f>J504</f>
        <v/>
      </c>
      <c r="E505" s="4">
        <f>SUMIFS('01_異動主檔'!$F:$F,'01_異動主檔'!$B:$B,113,'01_異動主檔'!$D:$D,B505,'01_異動主檔'!$E:$E,"移入")</f>
        <v/>
      </c>
      <c r="F505" s="4">
        <f>-SUMIFS('01_異動主檔'!$F:$F,'01_異動主檔'!$B:$B,113,'01_異動主檔'!$D:$D,B505,'01_異動主檔'!$E:$E,"移出")</f>
        <v/>
      </c>
      <c r="G505" s="4">
        <f>SUMIFS('01_異動主檔'!$F:$F,'01_異動主檔'!$B:$B,113,'01_異動主檔'!$D:$D,B505,'01_異動主檔'!$E:$E,"新增")</f>
        <v/>
      </c>
      <c r="H505" s="4">
        <f>-SUMIFS('01_異動主檔'!$F:$F,'01_異動主檔'!$B:$B,113,'01_異動主檔'!$D:$D,B505,'01_異動主檔'!$E:$E,"減列")</f>
        <v/>
      </c>
      <c r="I505" s="4">
        <f>-SUMIFS('01_異動主檔'!$F:$F,'01_異動主檔'!$B:$B,113,'01_異動主檔'!$D:$D,B505,'01_異動主檔'!$E:$E,"精簡")</f>
        <v/>
      </c>
      <c r="J505" s="10">
        <f>D505+E505+F505+G505+H505+I505</f>
        <v/>
      </c>
    </row>
    <row r="506" ht="18" customHeight="1">
      <c r="A506" s="6" t="inlineStr">
        <is>
          <t>C003</t>
        </is>
      </c>
      <c r="B506" s="5" t="inlineStr">
        <is>
          <t>桃園分局</t>
        </is>
      </c>
      <c r="C506" s="6" t="n">
        <v>114</v>
      </c>
      <c r="D506" s="10">
        <f>J505</f>
        <v/>
      </c>
      <c r="E506" s="4">
        <f>SUMIFS('01_異動主檔'!$F:$F,'01_異動主檔'!$B:$B,114,'01_異動主檔'!$D:$D,B506,'01_異動主檔'!$E:$E,"移入")</f>
        <v/>
      </c>
      <c r="F506" s="4">
        <f>-SUMIFS('01_異動主檔'!$F:$F,'01_異動主檔'!$B:$B,114,'01_異動主檔'!$D:$D,B506,'01_異動主檔'!$E:$E,"移出")</f>
        <v/>
      </c>
      <c r="G506" s="4">
        <f>SUMIFS('01_異動主檔'!$F:$F,'01_異動主檔'!$B:$B,114,'01_異動主檔'!$D:$D,B506,'01_異動主檔'!$E:$E,"新增")</f>
        <v/>
      </c>
      <c r="H506" s="4">
        <f>-SUMIFS('01_異動主檔'!$F:$F,'01_異動主檔'!$B:$B,114,'01_異動主檔'!$D:$D,B506,'01_異動主檔'!$E:$E,"減列")</f>
        <v/>
      </c>
      <c r="I506" s="4">
        <f>-SUMIFS('01_異動主檔'!$F:$F,'01_異動主檔'!$B:$B,114,'01_異動主檔'!$D:$D,B506,'01_異動主檔'!$E:$E,"精簡")</f>
        <v/>
      </c>
      <c r="J506" s="10">
        <f>D506+E506+F506+G506+H506+I506</f>
        <v/>
      </c>
    </row>
    <row r="507" ht="18" customHeight="1">
      <c r="A507" s="4" t="inlineStr">
        <is>
          <t>C003</t>
        </is>
      </c>
      <c r="B507" s="3" t="inlineStr">
        <is>
          <t>桃園分局</t>
        </is>
      </c>
      <c r="C507" s="4" t="n">
        <v>115</v>
      </c>
      <c r="D507" s="10">
        <f>J506</f>
        <v/>
      </c>
      <c r="E507" s="4">
        <f>SUMIFS('01_異動主檔'!$F:$F,'01_異動主檔'!$B:$B,115,'01_異動主檔'!$D:$D,B507,'01_異動主檔'!$E:$E,"移入")</f>
        <v/>
      </c>
      <c r="F507" s="4">
        <f>-SUMIFS('01_異動主檔'!$F:$F,'01_異動主檔'!$B:$B,115,'01_異動主檔'!$D:$D,B507,'01_異動主檔'!$E:$E,"移出")</f>
        <v/>
      </c>
      <c r="G507" s="4">
        <f>SUMIFS('01_異動主檔'!$F:$F,'01_異動主檔'!$B:$B,115,'01_異動主檔'!$D:$D,B507,'01_異動主檔'!$E:$E,"新增")</f>
        <v/>
      </c>
      <c r="H507" s="4">
        <f>-SUMIFS('01_異動主檔'!$F:$F,'01_異動主檔'!$B:$B,115,'01_異動主檔'!$D:$D,B507,'01_異動主檔'!$E:$E,"減列")</f>
        <v/>
      </c>
      <c r="I507" s="4">
        <f>-SUMIFS('01_異動主檔'!$F:$F,'01_異動主檔'!$B:$B,115,'01_異動主檔'!$D:$D,B507,'01_異動主檔'!$E:$E,"精簡")</f>
        <v/>
      </c>
      <c r="J507" s="10">
        <f>D507+E507+F507+G507+H507+I507</f>
        <v/>
      </c>
    </row>
    <row r="508" ht="18" customHeight="1">
      <c r="A508" s="6" t="inlineStr">
        <is>
          <t>C003</t>
        </is>
      </c>
      <c r="B508" s="5" t="inlineStr">
        <is>
          <t>桃園分局</t>
        </is>
      </c>
      <c r="C508" s="6" t="n">
        <v>116</v>
      </c>
      <c r="D508" s="10">
        <f>J507</f>
        <v/>
      </c>
      <c r="E508" s="4">
        <f>SUMIFS('01_異動主檔'!$F:$F,'01_異動主檔'!$B:$B,116,'01_異動主檔'!$D:$D,B508,'01_異動主檔'!$E:$E,"移入")</f>
        <v/>
      </c>
      <c r="F508" s="4">
        <f>-SUMIFS('01_異動主檔'!$F:$F,'01_異動主檔'!$B:$B,116,'01_異動主檔'!$D:$D,B508,'01_異動主檔'!$E:$E,"移出")</f>
        <v/>
      </c>
      <c r="G508" s="4">
        <f>SUMIFS('01_異動主檔'!$F:$F,'01_異動主檔'!$B:$B,116,'01_異動主檔'!$D:$D,B508,'01_異動主檔'!$E:$E,"新增")</f>
        <v/>
      </c>
      <c r="H508" s="4">
        <f>-SUMIFS('01_異動主檔'!$F:$F,'01_異動主檔'!$B:$B,116,'01_異動主檔'!$D:$D,B508,'01_異動主檔'!$E:$E,"減列")</f>
        <v/>
      </c>
      <c r="I508" s="4">
        <f>-SUMIFS('01_異動主檔'!$F:$F,'01_異動主檔'!$B:$B,116,'01_異動主檔'!$D:$D,B508,'01_異動主檔'!$E:$E,"精簡")</f>
        <v/>
      </c>
      <c r="J508" s="10">
        <f>D508+E508+F508+G508+H508+I508</f>
        <v/>
      </c>
    </row>
    <row r="509" ht="18" customHeight="1">
      <c r="A509" s="4" t="inlineStr">
        <is>
          <t>C003</t>
        </is>
      </c>
      <c r="B509" s="3" t="inlineStr">
        <is>
          <t>桃園分局</t>
        </is>
      </c>
      <c r="C509" s="4" t="n">
        <v>117</v>
      </c>
      <c r="D509" s="10">
        <f>J508</f>
        <v/>
      </c>
      <c r="E509" s="4">
        <f>SUMIFS('01_異動主檔'!$F:$F,'01_異動主檔'!$B:$B,117,'01_異動主檔'!$D:$D,B509,'01_異動主檔'!$E:$E,"移入")</f>
        <v/>
      </c>
      <c r="F509" s="4">
        <f>-SUMIFS('01_異動主檔'!$F:$F,'01_異動主檔'!$B:$B,117,'01_異動主檔'!$D:$D,B509,'01_異動主檔'!$E:$E,"移出")</f>
        <v/>
      </c>
      <c r="G509" s="4">
        <f>SUMIFS('01_異動主檔'!$F:$F,'01_異動主檔'!$B:$B,117,'01_異動主檔'!$D:$D,B509,'01_異動主檔'!$E:$E,"新增")</f>
        <v/>
      </c>
      <c r="H509" s="4">
        <f>-SUMIFS('01_異動主檔'!$F:$F,'01_異動主檔'!$B:$B,117,'01_異動主檔'!$D:$D,B509,'01_異動主檔'!$E:$E,"減列")</f>
        <v/>
      </c>
      <c r="I509" s="4">
        <f>-SUMIFS('01_異動主檔'!$F:$F,'01_異動主檔'!$B:$B,117,'01_異動主檔'!$D:$D,B509,'01_異動主檔'!$E:$E,"精簡")</f>
        <v/>
      </c>
      <c r="J509" s="10">
        <f>D509+E509+F509+G509+H509+I509</f>
        <v/>
      </c>
    </row>
    <row r="510" ht="18" customHeight="1">
      <c r="A510" s="6" t="inlineStr">
        <is>
          <t>C003</t>
        </is>
      </c>
      <c r="B510" s="5" t="inlineStr">
        <is>
          <t>桃園分局</t>
        </is>
      </c>
      <c r="C510" s="6" t="n">
        <v>118</v>
      </c>
      <c r="D510" s="10">
        <f>J509</f>
        <v/>
      </c>
      <c r="E510" s="4">
        <f>SUMIFS('01_異動主檔'!$F:$F,'01_異動主檔'!$B:$B,118,'01_異動主檔'!$D:$D,B510,'01_異動主檔'!$E:$E,"移入")</f>
        <v/>
      </c>
      <c r="F510" s="4">
        <f>-SUMIFS('01_異動主檔'!$F:$F,'01_異動主檔'!$B:$B,118,'01_異動主檔'!$D:$D,B510,'01_異動主檔'!$E:$E,"移出")</f>
        <v/>
      </c>
      <c r="G510" s="4">
        <f>SUMIFS('01_異動主檔'!$F:$F,'01_異動主檔'!$B:$B,118,'01_異動主檔'!$D:$D,B510,'01_異動主檔'!$E:$E,"新增")</f>
        <v/>
      </c>
      <c r="H510" s="4">
        <f>-SUMIFS('01_異動主檔'!$F:$F,'01_異動主檔'!$B:$B,118,'01_異動主檔'!$D:$D,B510,'01_異動主檔'!$E:$E,"減列")</f>
        <v/>
      </c>
      <c r="I510" s="4">
        <f>-SUMIFS('01_異動主檔'!$F:$F,'01_異動主檔'!$B:$B,118,'01_異動主檔'!$D:$D,B510,'01_異動主檔'!$E:$E,"精簡")</f>
        <v/>
      </c>
      <c r="J510" s="10">
        <f>D510+E510+F510+G510+H510+I510</f>
        <v/>
      </c>
    </row>
    <row r="511" ht="18" customHeight="1">
      <c r="A511" s="4" t="inlineStr">
        <is>
          <t>C003</t>
        </is>
      </c>
      <c r="B511" s="3" t="inlineStr">
        <is>
          <t>桃園分局</t>
        </is>
      </c>
      <c r="C511" s="4" t="n">
        <v>119</v>
      </c>
      <c r="D511" s="10">
        <f>J510</f>
        <v/>
      </c>
      <c r="E511" s="4">
        <f>SUMIFS('01_異動主檔'!$F:$F,'01_異動主檔'!$B:$B,119,'01_異動主檔'!$D:$D,B511,'01_異動主檔'!$E:$E,"移入")</f>
        <v/>
      </c>
      <c r="F511" s="4">
        <f>-SUMIFS('01_異動主檔'!$F:$F,'01_異動主檔'!$B:$B,119,'01_異動主檔'!$D:$D,B511,'01_異動主檔'!$E:$E,"移出")</f>
        <v/>
      </c>
      <c r="G511" s="4">
        <f>SUMIFS('01_異動主檔'!$F:$F,'01_異動主檔'!$B:$B,119,'01_異動主檔'!$D:$D,B511,'01_異動主檔'!$E:$E,"新增")</f>
        <v/>
      </c>
      <c r="H511" s="4">
        <f>-SUMIFS('01_異動主檔'!$F:$F,'01_異動主檔'!$B:$B,119,'01_異動主檔'!$D:$D,B511,'01_異動主檔'!$E:$E,"減列")</f>
        <v/>
      </c>
      <c r="I511" s="4">
        <f>-SUMIFS('01_異動主檔'!$F:$F,'01_異動主檔'!$B:$B,119,'01_異動主檔'!$D:$D,B511,'01_異動主檔'!$E:$E,"精簡")</f>
        <v/>
      </c>
      <c r="J511" s="10">
        <f>D511+E511+F511+G511+H511+I511</f>
        <v/>
      </c>
    </row>
    <row r="512" ht="18" customHeight="1">
      <c r="A512" s="6" t="inlineStr">
        <is>
          <t>C003</t>
        </is>
      </c>
      <c r="B512" s="5" t="inlineStr">
        <is>
          <t>桃園分局</t>
        </is>
      </c>
      <c r="C512" s="6" t="n">
        <v>120</v>
      </c>
      <c r="D512" s="10">
        <f>J511</f>
        <v/>
      </c>
      <c r="E512" s="4">
        <f>SUMIFS('01_異動主檔'!$F:$F,'01_異動主檔'!$B:$B,120,'01_異動主檔'!$D:$D,B512,'01_異動主檔'!$E:$E,"移入")</f>
        <v/>
      </c>
      <c r="F512" s="4">
        <f>-SUMIFS('01_異動主檔'!$F:$F,'01_異動主檔'!$B:$B,120,'01_異動主檔'!$D:$D,B512,'01_異動主檔'!$E:$E,"移出")</f>
        <v/>
      </c>
      <c r="G512" s="4">
        <f>SUMIFS('01_異動主檔'!$F:$F,'01_異動主檔'!$B:$B,120,'01_異動主檔'!$D:$D,B512,'01_異動主檔'!$E:$E,"新增")</f>
        <v/>
      </c>
      <c r="H512" s="4">
        <f>-SUMIFS('01_異動主檔'!$F:$F,'01_異動主檔'!$B:$B,120,'01_異動主檔'!$D:$D,B512,'01_異動主檔'!$E:$E,"減列")</f>
        <v/>
      </c>
      <c r="I512" s="4">
        <f>-SUMIFS('01_異動主檔'!$F:$F,'01_異動主檔'!$B:$B,120,'01_異動主檔'!$D:$D,B512,'01_異動主檔'!$E:$E,"精簡")</f>
        <v/>
      </c>
      <c r="J512" s="10">
        <f>D512+E512+F512+G512+H512+I512</f>
        <v/>
      </c>
    </row>
    <row r="513" ht="18" customHeight="1">
      <c r="A513" s="4" t="inlineStr">
        <is>
          <t>C003</t>
        </is>
      </c>
      <c r="B513" s="3" t="inlineStr">
        <is>
          <t>桃園分局</t>
        </is>
      </c>
      <c r="C513" s="4" t="n">
        <v>121</v>
      </c>
      <c r="D513" s="10">
        <f>J512</f>
        <v/>
      </c>
      <c r="E513" s="4">
        <f>SUMIFS('01_異動主檔'!$F:$F,'01_異動主檔'!$B:$B,121,'01_異動主檔'!$D:$D,B513,'01_異動主檔'!$E:$E,"移入")</f>
        <v/>
      </c>
      <c r="F513" s="4">
        <f>-SUMIFS('01_異動主檔'!$F:$F,'01_異動主檔'!$B:$B,121,'01_異動主檔'!$D:$D,B513,'01_異動主檔'!$E:$E,"移出")</f>
        <v/>
      </c>
      <c r="G513" s="4">
        <f>SUMIFS('01_異動主檔'!$F:$F,'01_異動主檔'!$B:$B,121,'01_異動主檔'!$D:$D,B513,'01_異動主檔'!$E:$E,"新增")</f>
        <v/>
      </c>
      <c r="H513" s="4">
        <f>-SUMIFS('01_異動主檔'!$F:$F,'01_異動主檔'!$B:$B,121,'01_異動主檔'!$D:$D,B513,'01_異動主檔'!$E:$E,"減列")</f>
        <v/>
      </c>
      <c r="I513" s="4">
        <f>-SUMIFS('01_異動主檔'!$F:$F,'01_異動主檔'!$B:$B,121,'01_異動主檔'!$D:$D,B513,'01_異動主檔'!$E:$E,"精簡")</f>
        <v/>
      </c>
      <c r="J513" s="10">
        <f>D513+E513+F513+G513+H513+I513</f>
        <v/>
      </c>
    </row>
    <row r="514" ht="18" customHeight="1">
      <c r="A514" s="6" t="inlineStr">
        <is>
          <t>C003</t>
        </is>
      </c>
      <c r="B514" s="5" t="inlineStr">
        <is>
          <t>桃園分局</t>
        </is>
      </c>
      <c r="C514" s="6" t="n">
        <v>122</v>
      </c>
      <c r="D514" s="10">
        <f>J513</f>
        <v/>
      </c>
      <c r="E514" s="4">
        <f>SUMIFS('01_異動主檔'!$F:$F,'01_異動主檔'!$B:$B,122,'01_異動主檔'!$D:$D,B514,'01_異動主檔'!$E:$E,"移入")</f>
        <v/>
      </c>
      <c r="F514" s="4">
        <f>-SUMIFS('01_異動主檔'!$F:$F,'01_異動主檔'!$B:$B,122,'01_異動主檔'!$D:$D,B514,'01_異動主檔'!$E:$E,"移出")</f>
        <v/>
      </c>
      <c r="G514" s="4">
        <f>SUMIFS('01_異動主檔'!$F:$F,'01_異動主檔'!$B:$B,122,'01_異動主檔'!$D:$D,B514,'01_異動主檔'!$E:$E,"新增")</f>
        <v/>
      </c>
      <c r="H514" s="4">
        <f>-SUMIFS('01_異動主檔'!$F:$F,'01_異動主檔'!$B:$B,122,'01_異動主檔'!$D:$D,B514,'01_異動主檔'!$E:$E,"減列")</f>
        <v/>
      </c>
      <c r="I514" s="4">
        <f>-SUMIFS('01_異動主檔'!$F:$F,'01_異動主檔'!$B:$B,122,'01_異動主檔'!$D:$D,B514,'01_異動主檔'!$E:$E,"精簡")</f>
        <v/>
      </c>
      <c r="J514" s="10">
        <f>D514+E514+F514+G514+H514+I514</f>
        <v/>
      </c>
    </row>
    <row r="515" ht="18" customHeight="1">
      <c r="A515" s="4" t="inlineStr">
        <is>
          <t>C003</t>
        </is>
      </c>
      <c r="B515" s="3" t="inlineStr">
        <is>
          <t>桃園分局</t>
        </is>
      </c>
      <c r="C515" s="4" t="n">
        <v>123</v>
      </c>
      <c r="D515" s="10">
        <f>J514</f>
        <v/>
      </c>
      <c r="E515" s="4">
        <f>SUMIFS('01_異動主檔'!$F:$F,'01_異動主檔'!$B:$B,123,'01_異動主檔'!$D:$D,B515,'01_異動主檔'!$E:$E,"移入")</f>
        <v/>
      </c>
      <c r="F515" s="4">
        <f>-SUMIFS('01_異動主檔'!$F:$F,'01_異動主檔'!$B:$B,123,'01_異動主檔'!$D:$D,B515,'01_異動主檔'!$E:$E,"移出")</f>
        <v/>
      </c>
      <c r="G515" s="4">
        <f>SUMIFS('01_異動主檔'!$F:$F,'01_異動主檔'!$B:$B,123,'01_異動主檔'!$D:$D,B515,'01_異動主檔'!$E:$E,"新增")</f>
        <v/>
      </c>
      <c r="H515" s="4">
        <f>-SUMIFS('01_異動主檔'!$F:$F,'01_異動主檔'!$B:$B,123,'01_異動主檔'!$D:$D,B515,'01_異動主檔'!$E:$E,"減列")</f>
        <v/>
      </c>
      <c r="I515" s="4">
        <f>-SUMIFS('01_異動主檔'!$F:$F,'01_異動主檔'!$B:$B,123,'01_異動主檔'!$D:$D,B515,'01_異動主檔'!$E:$E,"精簡")</f>
        <v/>
      </c>
      <c r="J515" s="10">
        <f>D515+E515+F515+G515+H515+I515</f>
        <v/>
      </c>
    </row>
    <row r="516" ht="18" customHeight="1">
      <c r="A516" s="6" t="inlineStr">
        <is>
          <t>C003</t>
        </is>
      </c>
      <c r="B516" s="5" t="inlineStr">
        <is>
          <t>桃園分局</t>
        </is>
      </c>
      <c r="C516" s="6" t="n">
        <v>124</v>
      </c>
      <c r="D516" s="10">
        <f>J515</f>
        <v/>
      </c>
      <c r="E516" s="4">
        <f>SUMIFS('01_異動主檔'!$F:$F,'01_異動主檔'!$B:$B,124,'01_異動主檔'!$D:$D,B516,'01_異動主檔'!$E:$E,"移入")</f>
        <v/>
      </c>
      <c r="F516" s="4">
        <f>-SUMIFS('01_異動主檔'!$F:$F,'01_異動主檔'!$B:$B,124,'01_異動主檔'!$D:$D,B516,'01_異動主檔'!$E:$E,"移出")</f>
        <v/>
      </c>
      <c r="G516" s="4">
        <f>SUMIFS('01_異動主檔'!$F:$F,'01_異動主檔'!$B:$B,124,'01_異動主檔'!$D:$D,B516,'01_異動主檔'!$E:$E,"新增")</f>
        <v/>
      </c>
      <c r="H516" s="4">
        <f>-SUMIFS('01_異動主檔'!$F:$F,'01_異動主檔'!$B:$B,124,'01_異動主檔'!$D:$D,B516,'01_異動主檔'!$E:$E,"減列")</f>
        <v/>
      </c>
      <c r="I516" s="4">
        <f>-SUMIFS('01_異動主檔'!$F:$F,'01_異動主檔'!$B:$B,124,'01_異動主檔'!$D:$D,B516,'01_異動主檔'!$E:$E,"精簡")</f>
        <v/>
      </c>
      <c r="J516" s="10">
        <f>D516+E516+F516+G516+H516+I516</f>
        <v/>
      </c>
    </row>
    <row r="517" ht="18" customHeight="1">
      <c r="A517" s="4" t="inlineStr">
        <is>
          <t>C003</t>
        </is>
      </c>
      <c r="B517" s="3" t="inlineStr">
        <is>
          <t>桃園分局</t>
        </is>
      </c>
      <c r="C517" s="4" t="n">
        <v>125</v>
      </c>
      <c r="D517" s="10">
        <f>J516</f>
        <v/>
      </c>
      <c r="E517" s="4">
        <f>SUMIFS('01_異動主檔'!$F:$F,'01_異動主檔'!$B:$B,125,'01_異動主檔'!$D:$D,B517,'01_異動主檔'!$E:$E,"移入")</f>
        <v/>
      </c>
      <c r="F517" s="4">
        <f>-SUMIFS('01_異動主檔'!$F:$F,'01_異動主檔'!$B:$B,125,'01_異動主檔'!$D:$D,B517,'01_異動主檔'!$E:$E,"移出")</f>
        <v/>
      </c>
      <c r="G517" s="4">
        <f>SUMIFS('01_異動主檔'!$F:$F,'01_異動主檔'!$B:$B,125,'01_異動主檔'!$D:$D,B517,'01_異動主檔'!$E:$E,"新增")</f>
        <v/>
      </c>
      <c r="H517" s="4">
        <f>-SUMIFS('01_異動主檔'!$F:$F,'01_異動主檔'!$B:$B,125,'01_異動主檔'!$D:$D,B517,'01_異動主檔'!$E:$E,"減列")</f>
        <v/>
      </c>
      <c r="I517" s="4">
        <f>-SUMIFS('01_異動主檔'!$F:$F,'01_異動主檔'!$B:$B,125,'01_異動主檔'!$D:$D,B517,'01_異動主檔'!$E:$E,"精簡")</f>
        <v/>
      </c>
      <c r="J517" s="10">
        <f>D517+E517+F517+G517+H517+I517</f>
        <v/>
      </c>
    </row>
    <row r="518" ht="18" customHeight="1">
      <c r="A518" s="6" t="inlineStr">
        <is>
          <t>C004</t>
        </is>
      </c>
      <c r="B518" s="5" t="inlineStr">
        <is>
          <t>台中分局</t>
        </is>
      </c>
      <c r="C518" s="6" t="n">
        <v>99</v>
      </c>
      <c r="D518" s="10">
        <f>'02_年初員額設定'!C24</f>
        <v/>
      </c>
      <c r="E518" s="4">
        <f>SUMIFS('01_異動主檔'!$F:$F,'01_異動主檔'!$B:$B,99,'01_異動主檔'!$D:$D,B518,'01_異動主檔'!$E:$E,"移入")</f>
        <v/>
      </c>
      <c r="F518" s="4">
        <f>-SUMIFS('01_異動主檔'!$F:$F,'01_異動主檔'!$B:$B,99,'01_異動主檔'!$D:$D,B518,'01_異動主檔'!$E:$E,"移出")</f>
        <v/>
      </c>
      <c r="G518" s="4">
        <f>SUMIFS('01_異動主檔'!$F:$F,'01_異動主檔'!$B:$B,99,'01_異動主檔'!$D:$D,B518,'01_異動主檔'!$E:$E,"新增")</f>
        <v/>
      </c>
      <c r="H518" s="4">
        <f>-SUMIFS('01_異動主檔'!$F:$F,'01_異動主檔'!$B:$B,99,'01_異動主檔'!$D:$D,B518,'01_異動主檔'!$E:$E,"減列")</f>
        <v/>
      </c>
      <c r="I518" s="4">
        <f>-SUMIFS('01_異動主檔'!$F:$F,'01_異動主檔'!$B:$B,99,'01_異動主檔'!$D:$D,B518,'01_異動主檔'!$E:$E,"精簡")</f>
        <v/>
      </c>
      <c r="J518" s="10">
        <f>D518+E518+F518+G518+H518+I518</f>
        <v/>
      </c>
    </row>
    <row r="519" ht="18" customHeight="1">
      <c r="A519" s="4" t="inlineStr">
        <is>
          <t>C004</t>
        </is>
      </c>
      <c r="B519" s="3" t="inlineStr">
        <is>
          <t>台中分局</t>
        </is>
      </c>
      <c r="C519" s="4" t="n">
        <v>100</v>
      </c>
      <c r="D519" s="10">
        <f>J518</f>
        <v/>
      </c>
      <c r="E519" s="4">
        <f>SUMIFS('01_異動主檔'!$F:$F,'01_異動主檔'!$B:$B,100,'01_異動主檔'!$D:$D,B519,'01_異動主檔'!$E:$E,"移入")</f>
        <v/>
      </c>
      <c r="F519" s="4">
        <f>-SUMIFS('01_異動主檔'!$F:$F,'01_異動主檔'!$B:$B,100,'01_異動主檔'!$D:$D,B519,'01_異動主檔'!$E:$E,"移出")</f>
        <v/>
      </c>
      <c r="G519" s="4">
        <f>SUMIFS('01_異動主檔'!$F:$F,'01_異動主檔'!$B:$B,100,'01_異動主檔'!$D:$D,B519,'01_異動主檔'!$E:$E,"新增")</f>
        <v/>
      </c>
      <c r="H519" s="4">
        <f>-SUMIFS('01_異動主檔'!$F:$F,'01_異動主檔'!$B:$B,100,'01_異動主檔'!$D:$D,B519,'01_異動主檔'!$E:$E,"減列")</f>
        <v/>
      </c>
      <c r="I519" s="4">
        <f>-SUMIFS('01_異動主檔'!$F:$F,'01_異動主檔'!$B:$B,100,'01_異動主檔'!$D:$D,B519,'01_異動主檔'!$E:$E,"精簡")</f>
        <v/>
      </c>
      <c r="J519" s="10">
        <f>D519+E519+F519+G519+H519+I519</f>
        <v/>
      </c>
    </row>
    <row r="520" ht="18" customHeight="1">
      <c r="A520" s="6" t="inlineStr">
        <is>
          <t>C004</t>
        </is>
      </c>
      <c r="B520" s="5" t="inlineStr">
        <is>
          <t>台中分局</t>
        </is>
      </c>
      <c r="C520" s="6" t="n">
        <v>101</v>
      </c>
      <c r="D520" s="10">
        <f>J519</f>
        <v/>
      </c>
      <c r="E520" s="4">
        <f>SUMIFS('01_異動主檔'!$F:$F,'01_異動主檔'!$B:$B,101,'01_異動主檔'!$D:$D,B520,'01_異動主檔'!$E:$E,"移入")</f>
        <v/>
      </c>
      <c r="F520" s="4">
        <f>-SUMIFS('01_異動主檔'!$F:$F,'01_異動主檔'!$B:$B,101,'01_異動主檔'!$D:$D,B520,'01_異動主檔'!$E:$E,"移出")</f>
        <v/>
      </c>
      <c r="G520" s="4">
        <f>SUMIFS('01_異動主檔'!$F:$F,'01_異動主檔'!$B:$B,101,'01_異動主檔'!$D:$D,B520,'01_異動主檔'!$E:$E,"新增")</f>
        <v/>
      </c>
      <c r="H520" s="4">
        <f>-SUMIFS('01_異動主檔'!$F:$F,'01_異動主檔'!$B:$B,101,'01_異動主檔'!$D:$D,B520,'01_異動主檔'!$E:$E,"減列")</f>
        <v/>
      </c>
      <c r="I520" s="4">
        <f>-SUMIFS('01_異動主檔'!$F:$F,'01_異動主檔'!$B:$B,101,'01_異動主檔'!$D:$D,B520,'01_異動主檔'!$E:$E,"精簡")</f>
        <v/>
      </c>
      <c r="J520" s="10">
        <f>D520+E520+F520+G520+H520+I520</f>
        <v/>
      </c>
    </row>
    <row r="521" ht="18" customHeight="1">
      <c r="A521" s="4" t="inlineStr">
        <is>
          <t>C004</t>
        </is>
      </c>
      <c r="B521" s="3" t="inlineStr">
        <is>
          <t>台中分局</t>
        </is>
      </c>
      <c r="C521" s="4" t="n">
        <v>102</v>
      </c>
      <c r="D521" s="10">
        <f>J520</f>
        <v/>
      </c>
      <c r="E521" s="4">
        <f>SUMIFS('01_異動主檔'!$F:$F,'01_異動主檔'!$B:$B,102,'01_異動主檔'!$D:$D,B521,'01_異動主檔'!$E:$E,"移入")</f>
        <v/>
      </c>
      <c r="F521" s="4">
        <f>-SUMIFS('01_異動主檔'!$F:$F,'01_異動主檔'!$B:$B,102,'01_異動主檔'!$D:$D,B521,'01_異動主檔'!$E:$E,"移出")</f>
        <v/>
      </c>
      <c r="G521" s="4">
        <f>SUMIFS('01_異動主檔'!$F:$F,'01_異動主檔'!$B:$B,102,'01_異動主檔'!$D:$D,B521,'01_異動主檔'!$E:$E,"新增")</f>
        <v/>
      </c>
      <c r="H521" s="4">
        <f>-SUMIFS('01_異動主檔'!$F:$F,'01_異動主檔'!$B:$B,102,'01_異動主檔'!$D:$D,B521,'01_異動主檔'!$E:$E,"減列")</f>
        <v/>
      </c>
      <c r="I521" s="4">
        <f>-SUMIFS('01_異動主檔'!$F:$F,'01_異動主檔'!$B:$B,102,'01_異動主檔'!$D:$D,B521,'01_異動主檔'!$E:$E,"精簡")</f>
        <v/>
      </c>
      <c r="J521" s="10">
        <f>D521+E521+F521+G521+H521+I521</f>
        <v/>
      </c>
    </row>
    <row r="522" ht="18" customHeight="1">
      <c r="A522" s="6" t="inlineStr">
        <is>
          <t>C004</t>
        </is>
      </c>
      <c r="B522" s="5" t="inlineStr">
        <is>
          <t>台中分局</t>
        </is>
      </c>
      <c r="C522" s="6" t="n">
        <v>103</v>
      </c>
      <c r="D522" s="10">
        <f>J521</f>
        <v/>
      </c>
      <c r="E522" s="4">
        <f>SUMIFS('01_異動主檔'!$F:$F,'01_異動主檔'!$B:$B,103,'01_異動主檔'!$D:$D,B522,'01_異動主檔'!$E:$E,"移入")</f>
        <v/>
      </c>
      <c r="F522" s="4">
        <f>-SUMIFS('01_異動主檔'!$F:$F,'01_異動主檔'!$B:$B,103,'01_異動主檔'!$D:$D,B522,'01_異動主檔'!$E:$E,"移出")</f>
        <v/>
      </c>
      <c r="G522" s="4">
        <f>SUMIFS('01_異動主檔'!$F:$F,'01_異動主檔'!$B:$B,103,'01_異動主檔'!$D:$D,B522,'01_異動主檔'!$E:$E,"新增")</f>
        <v/>
      </c>
      <c r="H522" s="4">
        <f>-SUMIFS('01_異動主檔'!$F:$F,'01_異動主檔'!$B:$B,103,'01_異動主檔'!$D:$D,B522,'01_異動主檔'!$E:$E,"減列")</f>
        <v/>
      </c>
      <c r="I522" s="4">
        <f>-SUMIFS('01_異動主檔'!$F:$F,'01_異動主檔'!$B:$B,103,'01_異動主檔'!$D:$D,B522,'01_異動主檔'!$E:$E,"精簡")</f>
        <v/>
      </c>
      <c r="J522" s="10">
        <f>D522+E522+F522+G522+H522+I522</f>
        <v/>
      </c>
    </row>
    <row r="523" ht="18" customHeight="1">
      <c r="A523" s="4" t="inlineStr">
        <is>
          <t>C004</t>
        </is>
      </c>
      <c r="B523" s="3" t="inlineStr">
        <is>
          <t>台中分局</t>
        </is>
      </c>
      <c r="C523" s="4" t="n">
        <v>104</v>
      </c>
      <c r="D523" s="10">
        <f>J522</f>
        <v/>
      </c>
      <c r="E523" s="4">
        <f>SUMIFS('01_異動主檔'!$F:$F,'01_異動主檔'!$B:$B,104,'01_異動主檔'!$D:$D,B523,'01_異動主檔'!$E:$E,"移入")</f>
        <v/>
      </c>
      <c r="F523" s="4">
        <f>-SUMIFS('01_異動主檔'!$F:$F,'01_異動主檔'!$B:$B,104,'01_異動主檔'!$D:$D,B523,'01_異動主檔'!$E:$E,"移出")</f>
        <v/>
      </c>
      <c r="G523" s="4">
        <f>SUMIFS('01_異動主檔'!$F:$F,'01_異動主檔'!$B:$B,104,'01_異動主檔'!$D:$D,B523,'01_異動主檔'!$E:$E,"新增")</f>
        <v/>
      </c>
      <c r="H523" s="4">
        <f>-SUMIFS('01_異動主檔'!$F:$F,'01_異動主檔'!$B:$B,104,'01_異動主檔'!$D:$D,B523,'01_異動主檔'!$E:$E,"減列")</f>
        <v/>
      </c>
      <c r="I523" s="4">
        <f>-SUMIFS('01_異動主檔'!$F:$F,'01_異動主檔'!$B:$B,104,'01_異動主檔'!$D:$D,B523,'01_異動主檔'!$E:$E,"精簡")</f>
        <v/>
      </c>
      <c r="J523" s="10">
        <f>D523+E523+F523+G523+H523+I523</f>
        <v/>
      </c>
    </row>
    <row r="524" ht="18" customHeight="1">
      <c r="A524" s="6" t="inlineStr">
        <is>
          <t>C004</t>
        </is>
      </c>
      <c r="B524" s="5" t="inlineStr">
        <is>
          <t>台中分局</t>
        </is>
      </c>
      <c r="C524" s="6" t="n">
        <v>105</v>
      </c>
      <c r="D524" s="10">
        <f>J523</f>
        <v/>
      </c>
      <c r="E524" s="4">
        <f>SUMIFS('01_異動主檔'!$F:$F,'01_異動主檔'!$B:$B,105,'01_異動主檔'!$D:$D,B524,'01_異動主檔'!$E:$E,"移入")</f>
        <v/>
      </c>
      <c r="F524" s="4">
        <f>-SUMIFS('01_異動主檔'!$F:$F,'01_異動主檔'!$B:$B,105,'01_異動主檔'!$D:$D,B524,'01_異動主檔'!$E:$E,"移出")</f>
        <v/>
      </c>
      <c r="G524" s="4">
        <f>SUMIFS('01_異動主檔'!$F:$F,'01_異動主檔'!$B:$B,105,'01_異動主檔'!$D:$D,B524,'01_異動主檔'!$E:$E,"新增")</f>
        <v/>
      </c>
      <c r="H524" s="4">
        <f>-SUMIFS('01_異動主檔'!$F:$F,'01_異動主檔'!$B:$B,105,'01_異動主檔'!$D:$D,B524,'01_異動主檔'!$E:$E,"減列")</f>
        <v/>
      </c>
      <c r="I524" s="4">
        <f>-SUMIFS('01_異動主檔'!$F:$F,'01_異動主檔'!$B:$B,105,'01_異動主檔'!$D:$D,B524,'01_異動主檔'!$E:$E,"精簡")</f>
        <v/>
      </c>
      <c r="J524" s="10">
        <f>D524+E524+F524+G524+H524+I524</f>
        <v/>
      </c>
    </row>
    <row r="525" ht="18" customHeight="1">
      <c r="A525" s="4" t="inlineStr">
        <is>
          <t>C004</t>
        </is>
      </c>
      <c r="B525" s="3" t="inlineStr">
        <is>
          <t>台中分局</t>
        </is>
      </c>
      <c r="C525" s="4" t="n">
        <v>106</v>
      </c>
      <c r="D525" s="10">
        <f>J524</f>
        <v/>
      </c>
      <c r="E525" s="4">
        <f>SUMIFS('01_異動主檔'!$F:$F,'01_異動主檔'!$B:$B,106,'01_異動主檔'!$D:$D,B525,'01_異動主檔'!$E:$E,"移入")</f>
        <v/>
      </c>
      <c r="F525" s="4">
        <f>-SUMIFS('01_異動主檔'!$F:$F,'01_異動主檔'!$B:$B,106,'01_異動主檔'!$D:$D,B525,'01_異動主檔'!$E:$E,"移出")</f>
        <v/>
      </c>
      <c r="G525" s="4">
        <f>SUMIFS('01_異動主檔'!$F:$F,'01_異動主檔'!$B:$B,106,'01_異動主檔'!$D:$D,B525,'01_異動主檔'!$E:$E,"新增")</f>
        <v/>
      </c>
      <c r="H525" s="4">
        <f>-SUMIFS('01_異動主檔'!$F:$F,'01_異動主檔'!$B:$B,106,'01_異動主檔'!$D:$D,B525,'01_異動主檔'!$E:$E,"減列")</f>
        <v/>
      </c>
      <c r="I525" s="4">
        <f>-SUMIFS('01_異動主檔'!$F:$F,'01_異動主檔'!$B:$B,106,'01_異動主檔'!$D:$D,B525,'01_異動主檔'!$E:$E,"精簡")</f>
        <v/>
      </c>
      <c r="J525" s="10">
        <f>D525+E525+F525+G525+H525+I525</f>
        <v/>
      </c>
    </row>
    <row r="526" ht="18" customHeight="1">
      <c r="A526" s="6" t="inlineStr">
        <is>
          <t>C004</t>
        </is>
      </c>
      <c r="B526" s="5" t="inlineStr">
        <is>
          <t>台中分局</t>
        </is>
      </c>
      <c r="C526" s="6" t="n">
        <v>107</v>
      </c>
      <c r="D526" s="10">
        <f>J525</f>
        <v/>
      </c>
      <c r="E526" s="4">
        <f>SUMIFS('01_異動主檔'!$F:$F,'01_異動主檔'!$B:$B,107,'01_異動主檔'!$D:$D,B526,'01_異動主檔'!$E:$E,"移入")</f>
        <v/>
      </c>
      <c r="F526" s="4">
        <f>-SUMIFS('01_異動主檔'!$F:$F,'01_異動主檔'!$B:$B,107,'01_異動主檔'!$D:$D,B526,'01_異動主檔'!$E:$E,"移出")</f>
        <v/>
      </c>
      <c r="G526" s="4">
        <f>SUMIFS('01_異動主檔'!$F:$F,'01_異動主檔'!$B:$B,107,'01_異動主檔'!$D:$D,B526,'01_異動主檔'!$E:$E,"新增")</f>
        <v/>
      </c>
      <c r="H526" s="4">
        <f>-SUMIFS('01_異動主檔'!$F:$F,'01_異動主檔'!$B:$B,107,'01_異動主檔'!$D:$D,B526,'01_異動主檔'!$E:$E,"減列")</f>
        <v/>
      </c>
      <c r="I526" s="4">
        <f>-SUMIFS('01_異動主檔'!$F:$F,'01_異動主檔'!$B:$B,107,'01_異動主檔'!$D:$D,B526,'01_異動主檔'!$E:$E,"精簡")</f>
        <v/>
      </c>
      <c r="J526" s="10">
        <f>D526+E526+F526+G526+H526+I526</f>
        <v/>
      </c>
    </row>
    <row r="527" ht="18" customHeight="1">
      <c r="A527" s="4" t="inlineStr">
        <is>
          <t>C004</t>
        </is>
      </c>
      <c r="B527" s="3" t="inlineStr">
        <is>
          <t>台中分局</t>
        </is>
      </c>
      <c r="C527" s="4" t="n">
        <v>108</v>
      </c>
      <c r="D527" s="10">
        <f>J526</f>
        <v/>
      </c>
      <c r="E527" s="4">
        <f>SUMIFS('01_異動主檔'!$F:$F,'01_異動主檔'!$B:$B,108,'01_異動主檔'!$D:$D,B527,'01_異動主檔'!$E:$E,"移入")</f>
        <v/>
      </c>
      <c r="F527" s="4">
        <f>-SUMIFS('01_異動主檔'!$F:$F,'01_異動主檔'!$B:$B,108,'01_異動主檔'!$D:$D,B527,'01_異動主檔'!$E:$E,"移出")</f>
        <v/>
      </c>
      <c r="G527" s="4">
        <f>SUMIFS('01_異動主檔'!$F:$F,'01_異動主檔'!$B:$B,108,'01_異動主檔'!$D:$D,B527,'01_異動主檔'!$E:$E,"新增")</f>
        <v/>
      </c>
      <c r="H527" s="4">
        <f>-SUMIFS('01_異動主檔'!$F:$F,'01_異動主檔'!$B:$B,108,'01_異動主檔'!$D:$D,B527,'01_異動主檔'!$E:$E,"減列")</f>
        <v/>
      </c>
      <c r="I527" s="4">
        <f>-SUMIFS('01_異動主檔'!$F:$F,'01_異動主檔'!$B:$B,108,'01_異動主檔'!$D:$D,B527,'01_異動主檔'!$E:$E,"精簡")</f>
        <v/>
      </c>
      <c r="J527" s="10">
        <f>D527+E527+F527+G527+H527+I527</f>
        <v/>
      </c>
    </row>
    <row r="528" ht="18" customHeight="1">
      <c r="A528" s="6" t="inlineStr">
        <is>
          <t>C004</t>
        </is>
      </c>
      <c r="B528" s="5" t="inlineStr">
        <is>
          <t>台中分局</t>
        </is>
      </c>
      <c r="C528" s="6" t="n">
        <v>109</v>
      </c>
      <c r="D528" s="10">
        <f>J527</f>
        <v/>
      </c>
      <c r="E528" s="4">
        <f>SUMIFS('01_異動主檔'!$F:$F,'01_異動主檔'!$B:$B,109,'01_異動主檔'!$D:$D,B528,'01_異動主檔'!$E:$E,"移入")</f>
        <v/>
      </c>
      <c r="F528" s="4">
        <f>-SUMIFS('01_異動主檔'!$F:$F,'01_異動主檔'!$B:$B,109,'01_異動主檔'!$D:$D,B528,'01_異動主檔'!$E:$E,"移出")</f>
        <v/>
      </c>
      <c r="G528" s="4">
        <f>SUMIFS('01_異動主檔'!$F:$F,'01_異動主檔'!$B:$B,109,'01_異動主檔'!$D:$D,B528,'01_異動主檔'!$E:$E,"新增")</f>
        <v/>
      </c>
      <c r="H528" s="4">
        <f>-SUMIFS('01_異動主檔'!$F:$F,'01_異動主檔'!$B:$B,109,'01_異動主檔'!$D:$D,B528,'01_異動主檔'!$E:$E,"減列")</f>
        <v/>
      </c>
      <c r="I528" s="4">
        <f>-SUMIFS('01_異動主檔'!$F:$F,'01_異動主檔'!$B:$B,109,'01_異動主檔'!$D:$D,B528,'01_異動主檔'!$E:$E,"精簡")</f>
        <v/>
      </c>
      <c r="J528" s="10">
        <f>D528+E528+F528+G528+H528+I528</f>
        <v/>
      </c>
    </row>
    <row r="529" ht="18" customHeight="1">
      <c r="A529" s="4" t="inlineStr">
        <is>
          <t>C004</t>
        </is>
      </c>
      <c r="B529" s="3" t="inlineStr">
        <is>
          <t>台中分局</t>
        </is>
      </c>
      <c r="C529" s="4" t="n">
        <v>110</v>
      </c>
      <c r="D529" s="10">
        <f>J528</f>
        <v/>
      </c>
      <c r="E529" s="4">
        <f>SUMIFS('01_異動主檔'!$F:$F,'01_異動主檔'!$B:$B,110,'01_異動主檔'!$D:$D,B529,'01_異動主檔'!$E:$E,"移入")</f>
        <v/>
      </c>
      <c r="F529" s="4">
        <f>-SUMIFS('01_異動主檔'!$F:$F,'01_異動主檔'!$B:$B,110,'01_異動主檔'!$D:$D,B529,'01_異動主檔'!$E:$E,"移出")</f>
        <v/>
      </c>
      <c r="G529" s="4">
        <f>SUMIFS('01_異動主檔'!$F:$F,'01_異動主檔'!$B:$B,110,'01_異動主檔'!$D:$D,B529,'01_異動主檔'!$E:$E,"新增")</f>
        <v/>
      </c>
      <c r="H529" s="4">
        <f>-SUMIFS('01_異動主檔'!$F:$F,'01_異動主檔'!$B:$B,110,'01_異動主檔'!$D:$D,B529,'01_異動主檔'!$E:$E,"減列")</f>
        <v/>
      </c>
      <c r="I529" s="4">
        <f>-SUMIFS('01_異動主檔'!$F:$F,'01_異動主檔'!$B:$B,110,'01_異動主檔'!$D:$D,B529,'01_異動主檔'!$E:$E,"精簡")</f>
        <v/>
      </c>
      <c r="J529" s="10">
        <f>D529+E529+F529+G529+H529+I529</f>
        <v/>
      </c>
    </row>
    <row r="530" ht="18" customHeight="1">
      <c r="A530" s="6" t="inlineStr">
        <is>
          <t>C004</t>
        </is>
      </c>
      <c r="B530" s="5" t="inlineStr">
        <is>
          <t>台中分局</t>
        </is>
      </c>
      <c r="C530" s="6" t="n">
        <v>111</v>
      </c>
      <c r="D530" s="10">
        <f>J529</f>
        <v/>
      </c>
      <c r="E530" s="4">
        <f>SUMIFS('01_異動主檔'!$F:$F,'01_異動主檔'!$B:$B,111,'01_異動主檔'!$D:$D,B530,'01_異動主檔'!$E:$E,"移入")</f>
        <v/>
      </c>
      <c r="F530" s="4">
        <f>-SUMIFS('01_異動主檔'!$F:$F,'01_異動主檔'!$B:$B,111,'01_異動主檔'!$D:$D,B530,'01_異動主檔'!$E:$E,"移出")</f>
        <v/>
      </c>
      <c r="G530" s="4">
        <f>SUMIFS('01_異動主檔'!$F:$F,'01_異動主檔'!$B:$B,111,'01_異動主檔'!$D:$D,B530,'01_異動主檔'!$E:$E,"新增")</f>
        <v/>
      </c>
      <c r="H530" s="4">
        <f>-SUMIFS('01_異動主檔'!$F:$F,'01_異動主檔'!$B:$B,111,'01_異動主檔'!$D:$D,B530,'01_異動主檔'!$E:$E,"減列")</f>
        <v/>
      </c>
      <c r="I530" s="4">
        <f>-SUMIFS('01_異動主檔'!$F:$F,'01_異動主檔'!$B:$B,111,'01_異動主檔'!$D:$D,B530,'01_異動主檔'!$E:$E,"精簡")</f>
        <v/>
      </c>
      <c r="J530" s="10">
        <f>D530+E530+F530+G530+H530+I530</f>
        <v/>
      </c>
    </row>
    <row r="531" ht="18" customHeight="1">
      <c r="A531" s="4" t="inlineStr">
        <is>
          <t>C004</t>
        </is>
      </c>
      <c r="B531" s="3" t="inlineStr">
        <is>
          <t>台中分局</t>
        </is>
      </c>
      <c r="C531" s="4" t="n">
        <v>112</v>
      </c>
      <c r="D531" s="10">
        <f>J530</f>
        <v/>
      </c>
      <c r="E531" s="4">
        <f>SUMIFS('01_異動主檔'!$F:$F,'01_異動主檔'!$B:$B,112,'01_異動主檔'!$D:$D,B531,'01_異動主檔'!$E:$E,"移入")</f>
        <v/>
      </c>
      <c r="F531" s="4">
        <f>-SUMIFS('01_異動主檔'!$F:$F,'01_異動主檔'!$B:$B,112,'01_異動主檔'!$D:$D,B531,'01_異動主檔'!$E:$E,"移出")</f>
        <v/>
      </c>
      <c r="G531" s="4">
        <f>SUMIFS('01_異動主檔'!$F:$F,'01_異動主檔'!$B:$B,112,'01_異動主檔'!$D:$D,B531,'01_異動主檔'!$E:$E,"新增")</f>
        <v/>
      </c>
      <c r="H531" s="4">
        <f>-SUMIFS('01_異動主檔'!$F:$F,'01_異動主檔'!$B:$B,112,'01_異動主檔'!$D:$D,B531,'01_異動主檔'!$E:$E,"減列")</f>
        <v/>
      </c>
      <c r="I531" s="4">
        <f>-SUMIFS('01_異動主檔'!$F:$F,'01_異動主檔'!$B:$B,112,'01_異動主檔'!$D:$D,B531,'01_異動主檔'!$E:$E,"精簡")</f>
        <v/>
      </c>
      <c r="J531" s="10">
        <f>D531+E531+F531+G531+H531+I531</f>
        <v/>
      </c>
    </row>
    <row r="532" ht="18" customHeight="1">
      <c r="A532" s="6" t="inlineStr">
        <is>
          <t>C004</t>
        </is>
      </c>
      <c r="B532" s="5" t="inlineStr">
        <is>
          <t>台中分局</t>
        </is>
      </c>
      <c r="C532" s="6" t="n">
        <v>113</v>
      </c>
      <c r="D532" s="10">
        <f>J531</f>
        <v/>
      </c>
      <c r="E532" s="4">
        <f>SUMIFS('01_異動主檔'!$F:$F,'01_異動主檔'!$B:$B,113,'01_異動主檔'!$D:$D,B532,'01_異動主檔'!$E:$E,"移入")</f>
        <v/>
      </c>
      <c r="F532" s="4">
        <f>-SUMIFS('01_異動主檔'!$F:$F,'01_異動主檔'!$B:$B,113,'01_異動主檔'!$D:$D,B532,'01_異動主檔'!$E:$E,"移出")</f>
        <v/>
      </c>
      <c r="G532" s="4">
        <f>SUMIFS('01_異動主檔'!$F:$F,'01_異動主檔'!$B:$B,113,'01_異動主檔'!$D:$D,B532,'01_異動主檔'!$E:$E,"新增")</f>
        <v/>
      </c>
      <c r="H532" s="4">
        <f>-SUMIFS('01_異動主檔'!$F:$F,'01_異動主檔'!$B:$B,113,'01_異動主檔'!$D:$D,B532,'01_異動主檔'!$E:$E,"減列")</f>
        <v/>
      </c>
      <c r="I532" s="4">
        <f>-SUMIFS('01_異動主檔'!$F:$F,'01_異動主檔'!$B:$B,113,'01_異動主檔'!$D:$D,B532,'01_異動主檔'!$E:$E,"精簡")</f>
        <v/>
      </c>
      <c r="J532" s="10">
        <f>D532+E532+F532+G532+H532+I532</f>
        <v/>
      </c>
    </row>
    <row r="533" ht="18" customHeight="1">
      <c r="A533" s="4" t="inlineStr">
        <is>
          <t>C004</t>
        </is>
      </c>
      <c r="B533" s="3" t="inlineStr">
        <is>
          <t>台中分局</t>
        </is>
      </c>
      <c r="C533" s="4" t="n">
        <v>114</v>
      </c>
      <c r="D533" s="10">
        <f>J532</f>
        <v/>
      </c>
      <c r="E533" s="4">
        <f>SUMIFS('01_異動主檔'!$F:$F,'01_異動主檔'!$B:$B,114,'01_異動主檔'!$D:$D,B533,'01_異動主檔'!$E:$E,"移入")</f>
        <v/>
      </c>
      <c r="F533" s="4">
        <f>-SUMIFS('01_異動主檔'!$F:$F,'01_異動主檔'!$B:$B,114,'01_異動主檔'!$D:$D,B533,'01_異動主檔'!$E:$E,"移出")</f>
        <v/>
      </c>
      <c r="G533" s="4">
        <f>SUMIFS('01_異動主檔'!$F:$F,'01_異動主檔'!$B:$B,114,'01_異動主檔'!$D:$D,B533,'01_異動主檔'!$E:$E,"新增")</f>
        <v/>
      </c>
      <c r="H533" s="4">
        <f>-SUMIFS('01_異動主檔'!$F:$F,'01_異動主檔'!$B:$B,114,'01_異動主檔'!$D:$D,B533,'01_異動主檔'!$E:$E,"減列")</f>
        <v/>
      </c>
      <c r="I533" s="4">
        <f>-SUMIFS('01_異動主檔'!$F:$F,'01_異動主檔'!$B:$B,114,'01_異動主檔'!$D:$D,B533,'01_異動主檔'!$E:$E,"精簡")</f>
        <v/>
      </c>
      <c r="J533" s="10">
        <f>D533+E533+F533+G533+H533+I533</f>
        <v/>
      </c>
    </row>
    <row r="534" ht="18" customHeight="1">
      <c r="A534" s="6" t="inlineStr">
        <is>
          <t>C004</t>
        </is>
      </c>
      <c r="B534" s="5" t="inlineStr">
        <is>
          <t>台中分局</t>
        </is>
      </c>
      <c r="C534" s="6" t="n">
        <v>115</v>
      </c>
      <c r="D534" s="10">
        <f>J533</f>
        <v/>
      </c>
      <c r="E534" s="4">
        <f>SUMIFS('01_異動主檔'!$F:$F,'01_異動主檔'!$B:$B,115,'01_異動主檔'!$D:$D,B534,'01_異動主檔'!$E:$E,"移入")</f>
        <v/>
      </c>
      <c r="F534" s="4">
        <f>-SUMIFS('01_異動主檔'!$F:$F,'01_異動主檔'!$B:$B,115,'01_異動主檔'!$D:$D,B534,'01_異動主檔'!$E:$E,"移出")</f>
        <v/>
      </c>
      <c r="G534" s="4">
        <f>SUMIFS('01_異動主檔'!$F:$F,'01_異動主檔'!$B:$B,115,'01_異動主檔'!$D:$D,B534,'01_異動主檔'!$E:$E,"新增")</f>
        <v/>
      </c>
      <c r="H534" s="4">
        <f>-SUMIFS('01_異動主檔'!$F:$F,'01_異動主檔'!$B:$B,115,'01_異動主檔'!$D:$D,B534,'01_異動主檔'!$E:$E,"減列")</f>
        <v/>
      </c>
      <c r="I534" s="4">
        <f>-SUMIFS('01_異動主檔'!$F:$F,'01_異動主檔'!$B:$B,115,'01_異動主檔'!$D:$D,B534,'01_異動主檔'!$E:$E,"精簡")</f>
        <v/>
      </c>
      <c r="J534" s="10">
        <f>D534+E534+F534+G534+H534+I534</f>
        <v/>
      </c>
    </row>
    <row r="535" ht="18" customHeight="1">
      <c r="A535" s="4" t="inlineStr">
        <is>
          <t>C004</t>
        </is>
      </c>
      <c r="B535" s="3" t="inlineStr">
        <is>
          <t>台中分局</t>
        </is>
      </c>
      <c r="C535" s="4" t="n">
        <v>116</v>
      </c>
      <c r="D535" s="10">
        <f>J534</f>
        <v/>
      </c>
      <c r="E535" s="4">
        <f>SUMIFS('01_異動主檔'!$F:$F,'01_異動主檔'!$B:$B,116,'01_異動主檔'!$D:$D,B535,'01_異動主檔'!$E:$E,"移入")</f>
        <v/>
      </c>
      <c r="F535" s="4">
        <f>-SUMIFS('01_異動主檔'!$F:$F,'01_異動主檔'!$B:$B,116,'01_異動主檔'!$D:$D,B535,'01_異動主檔'!$E:$E,"移出")</f>
        <v/>
      </c>
      <c r="G535" s="4">
        <f>SUMIFS('01_異動主檔'!$F:$F,'01_異動主檔'!$B:$B,116,'01_異動主檔'!$D:$D,B535,'01_異動主檔'!$E:$E,"新增")</f>
        <v/>
      </c>
      <c r="H535" s="4">
        <f>-SUMIFS('01_異動主檔'!$F:$F,'01_異動主檔'!$B:$B,116,'01_異動主檔'!$D:$D,B535,'01_異動主檔'!$E:$E,"減列")</f>
        <v/>
      </c>
      <c r="I535" s="4">
        <f>-SUMIFS('01_異動主檔'!$F:$F,'01_異動主檔'!$B:$B,116,'01_異動主檔'!$D:$D,B535,'01_異動主檔'!$E:$E,"精簡")</f>
        <v/>
      </c>
      <c r="J535" s="10">
        <f>D535+E535+F535+G535+H535+I535</f>
        <v/>
      </c>
    </row>
    <row r="536" ht="18" customHeight="1">
      <c r="A536" s="6" t="inlineStr">
        <is>
          <t>C004</t>
        </is>
      </c>
      <c r="B536" s="5" t="inlineStr">
        <is>
          <t>台中分局</t>
        </is>
      </c>
      <c r="C536" s="6" t="n">
        <v>117</v>
      </c>
      <c r="D536" s="10">
        <f>J535</f>
        <v/>
      </c>
      <c r="E536" s="4">
        <f>SUMIFS('01_異動主檔'!$F:$F,'01_異動主檔'!$B:$B,117,'01_異動主檔'!$D:$D,B536,'01_異動主檔'!$E:$E,"移入")</f>
        <v/>
      </c>
      <c r="F536" s="4">
        <f>-SUMIFS('01_異動主檔'!$F:$F,'01_異動主檔'!$B:$B,117,'01_異動主檔'!$D:$D,B536,'01_異動主檔'!$E:$E,"移出")</f>
        <v/>
      </c>
      <c r="G536" s="4">
        <f>SUMIFS('01_異動主檔'!$F:$F,'01_異動主檔'!$B:$B,117,'01_異動主檔'!$D:$D,B536,'01_異動主檔'!$E:$E,"新增")</f>
        <v/>
      </c>
      <c r="H536" s="4">
        <f>-SUMIFS('01_異動主檔'!$F:$F,'01_異動主檔'!$B:$B,117,'01_異動主檔'!$D:$D,B536,'01_異動主檔'!$E:$E,"減列")</f>
        <v/>
      </c>
      <c r="I536" s="4">
        <f>-SUMIFS('01_異動主檔'!$F:$F,'01_異動主檔'!$B:$B,117,'01_異動主檔'!$D:$D,B536,'01_異動主檔'!$E:$E,"精簡")</f>
        <v/>
      </c>
      <c r="J536" s="10">
        <f>D536+E536+F536+G536+H536+I536</f>
        <v/>
      </c>
    </row>
    <row r="537" ht="18" customHeight="1">
      <c r="A537" s="4" t="inlineStr">
        <is>
          <t>C004</t>
        </is>
      </c>
      <c r="B537" s="3" t="inlineStr">
        <is>
          <t>台中分局</t>
        </is>
      </c>
      <c r="C537" s="4" t="n">
        <v>118</v>
      </c>
      <c r="D537" s="10">
        <f>J536</f>
        <v/>
      </c>
      <c r="E537" s="4">
        <f>SUMIFS('01_異動主檔'!$F:$F,'01_異動主檔'!$B:$B,118,'01_異動主檔'!$D:$D,B537,'01_異動主檔'!$E:$E,"移入")</f>
        <v/>
      </c>
      <c r="F537" s="4">
        <f>-SUMIFS('01_異動主檔'!$F:$F,'01_異動主檔'!$B:$B,118,'01_異動主檔'!$D:$D,B537,'01_異動主檔'!$E:$E,"移出")</f>
        <v/>
      </c>
      <c r="G537" s="4">
        <f>SUMIFS('01_異動主檔'!$F:$F,'01_異動主檔'!$B:$B,118,'01_異動主檔'!$D:$D,B537,'01_異動主檔'!$E:$E,"新增")</f>
        <v/>
      </c>
      <c r="H537" s="4">
        <f>-SUMIFS('01_異動主檔'!$F:$F,'01_異動主檔'!$B:$B,118,'01_異動主檔'!$D:$D,B537,'01_異動主檔'!$E:$E,"減列")</f>
        <v/>
      </c>
      <c r="I537" s="4">
        <f>-SUMIFS('01_異動主檔'!$F:$F,'01_異動主檔'!$B:$B,118,'01_異動主檔'!$D:$D,B537,'01_異動主檔'!$E:$E,"精簡")</f>
        <v/>
      </c>
      <c r="J537" s="10">
        <f>D537+E537+F537+G537+H537+I537</f>
        <v/>
      </c>
    </row>
    <row r="538" ht="18" customHeight="1">
      <c r="A538" s="6" t="inlineStr">
        <is>
          <t>C004</t>
        </is>
      </c>
      <c r="B538" s="5" t="inlineStr">
        <is>
          <t>台中分局</t>
        </is>
      </c>
      <c r="C538" s="6" t="n">
        <v>119</v>
      </c>
      <c r="D538" s="10">
        <f>J537</f>
        <v/>
      </c>
      <c r="E538" s="4">
        <f>SUMIFS('01_異動主檔'!$F:$F,'01_異動主檔'!$B:$B,119,'01_異動主檔'!$D:$D,B538,'01_異動主檔'!$E:$E,"移入")</f>
        <v/>
      </c>
      <c r="F538" s="4">
        <f>-SUMIFS('01_異動主檔'!$F:$F,'01_異動主檔'!$B:$B,119,'01_異動主檔'!$D:$D,B538,'01_異動主檔'!$E:$E,"移出")</f>
        <v/>
      </c>
      <c r="G538" s="4">
        <f>SUMIFS('01_異動主檔'!$F:$F,'01_異動主檔'!$B:$B,119,'01_異動主檔'!$D:$D,B538,'01_異動主檔'!$E:$E,"新增")</f>
        <v/>
      </c>
      <c r="H538" s="4">
        <f>-SUMIFS('01_異動主檔'!$F:$F,'01_異動主檔'!$B:$B,119,'01_異動主檔'!$D:$D,B538,'01_異動主檔'!$E:$E,"減列")</f>
        <v/>
      </c>
      <c r="I538" s="4">
        <f>-SUMIFS('01_異動主檔'!$F:$F,'01_異動主檔'!$B:$B,119,'01_異動主檔'!$D:$D,B538,'01_異動主檔'!$E:$E,"精簡")</f>
        <v/>
      </c>
      <c r="J538" s="10">
        <f>D538+E538+F538+G538+H538+I538</f>
        <v/>
      </c>
    </row>
    <row r="539" ht="18" customHeight="1">
      <c r="A539" s="4" t="inlineStr">
        <is>
          <t>C004</t>
        </is>
      </c>
      <c r="B539" s="3" t="inlineStr">
        <is>
          <t>台中分局</t>
        </is>
      </c>
      <c r="C539" s="4" t="n">
        <v>120</v>
      </c>
      <c r="D539" s="10">
        <f>J538</f>
        <v/>
      </c>
      <c r="E539" s="4">
        <f>SUMIFS('01_異動主檔'!$F:$F,'01_異動主檔'!$B:$B,120,'01_異動主檔'!$D:$D,B539,'01_異動主檔'!$E:$E,"移入")</f>
        <v/>
      </c>
      <c r="F539" s="4">
        <f>-SUMIFS('01_異動主檔'!$F:$F,'01_異動主檔'!$B:$B,120,'01_異動主檔'!$D:$D,B539,'01_異動主檔'!$E:$E,"移出")</f>
        <v/>
      </c>
      <c r="G539" s="4">
        <f>SUMIFS('01_異動主檔'!$F:$F,'01_異動主檔'!$B:$B,120,'01_異動主檔'!$D:$D,B539,'01_異動主檔'!$E:$E,"新增")</f>
        <v/>
      </c>
      <c r="H539" s="4">
        <f>-SUMIFS('01_異動主檔'!$F:$F,'01_異動主檔'!$B:$B,120,'01_異動主檔'!$D:$D,B539,'01_異動主檔'!$E:$E,"減列")</f>
        <v/>
      </c>
      <c r="I539" s="4">
        <f>-SUMIFS('01_異動主檔'!$F:$F,'01_異動主檔'!$B:$B,120,'01_異動主檔'!$D:$D,B539,'01_異動主檔'!$E:$E,"精簡")</f>
        <v/>
      </c>
      <c r="J539" s="10">
        <f>D539+E539+F539+G539+H539+I539</f>
        <v/>
      </c>
    </row>
    <row r="540" ht="18" customHeight="1">
      <c r="A540" s="6" t="inlineStr">
        <is>
          <t>C004</t>
        </is>
      </c>
      <c r="B540" s="5" t="inlineStr">
        <is>
          <t>台中分局</t>
        </is>
      </c>
      <c r="C540" s="6" t="n">
        <v>121</v>
      </c>
      <c r="D540" s="10">
        <f>J539</f>
        <v/>
      </c>
      <c r="E540" s="4">
        <f>SUMIFS('01_異動主檔'!$F:$F,'01_異動主檔'!$B:$B,121,'01_異動主檔'!$D:$D,B540,'01_異動主檔'!$E:$E,"移入")</f>
        <v/>
      </c>
      <c r="F540" s="4">
        <f>-SUMIFS('01_異動主檔'!$F:$F,'01_異動主檔'!$B:$B,121,'01_異動主檔'!$D:$D,B540,'01_異動主檔'!$E:$E,"移出")</f>
        <v/>
      </c>
      <c r="G540" s="4">
        <f>SUMIFS('01_異動主檔'!$F:$F,'01_異動主檔'!$B:$B,121,'01_異動主檔'!$D:$D,B540,'01_異動主檔'!$E:$E,"新增")</f>
        <v/>
      </c>
      <c r="H540" s="4">
        <f>-SUMIFS('01_異動主檔'!$F:$F,'01_異動主檔'!$B:$B,121,'01_異動主檔'!$D:$D,B540,'01_異動主檔'!$E:$E,"減列")</f>
        <v/>
      </c>
      <c r="I540" s="4">
        <f>-SUMIFS('01_異動主檔'!$F:$F,'01_異動主檔'!$B:$B,121,'01_異動主檔'!$D:$D,B540,'01_異動主檔'!$E:$E,"精簡")</f>
        <v/>
      </c>
      <c r="J540" s="10">
        <f>D540+E540+F540+G540+H540+I540</f>
        <v/>
      </c>
    </row>
    <row r="541" ht="18" customHeight="1">
      <c r="A541" s="4" t="inlineStr">
        <is>
          <t>C004</t>
        </is>
      </c>
      <c r="B541" s="3" t="inlineStr">
        <is>
          <t>台中分局</t>
        </is>
      </c>
      <c r="C541" s="4" t="n">
        <v>122</v>
      </c>
      <c r="D541" s="10">
        <f>J540</f>
        <v/>
      </c>
      <c r="E541" s="4">
        <f>SUMIFS('01_異動主檔'!$F:$F,'01_異動主檔'!$B:$B,122,'01_異動主檔'!$D:$D,B541,'01_異動主檔'!$E:$E,"移入")</f>
        <v/>
      </c>
      <c r="F541" s="4">
        <f>-SUMIFS('01_異動主檔'!$F:$F,'01_異動主檔'!$B:$B,122,'01_異動主檔'!$D:$D,B541,'01_異動主檔'!$E:$E,"移出")</f>
        <v/>
      </c>
      <c r="G541" s="4">
        <f>SUMIFS('01_異動主檔'!$F:$F,'01_異動主檔'!$B:$B,122,'01_異動主檔'!$D:$D,B541,'01_異動主檔'!$E:$E,"新增")</f>
        <v/>
      </c>
      <c r="H541" s="4">
        <f>-SUMIFS('01_異動主檔'!$F:$F,'01_異動主檔'!$B:$B,122,'01_異動主檔'!$D:$D,B541,'01_異動主檔'!$E:$E,"減列")</f>
        <v/>
      </c>
      <c r="I541" s="4">
        <f>-SUMIFS('01_異動主檔'!$F:$F,'01_異動主檔'!$B:$B,122,'01_異動主檔'!$D:$D,B541,'01_異動主檔'!$E:$E,"精簡")</f>
        <v/>
      </c>
      <c r="J541" s="10">
        <f>D541+E541+F541+G541+H541+I541</f>
        <v/>
      </c>
    </row>
    <row r="542" ht="18" customHeight="1">
      <c r="A542" s="6" t="inlineStr">
        <is>
          <t>C004</t>
        </is>
      </c>
      <c r="B542" s="5" t="inlineStr">
        <is>
          <t>台中分局</t>
        </is>
      </c>
      <c r="C542" s="6" t="n">
        <v>123</v>
      </c>
      <c r="D542" s="10">
        <f>J541</f>
        <v/>
      </c>
      <c r="E542" s="4">
        <f>SUMIFS('01_異動主檔'!$F:$F,'01_異動主檔'!$B:$B,123,'01_異動主檔'!$D:$D,B542,'01_異動主檔'!$E:$E,"移入")</f>
        <v/>
      </c>
      <c r="F542" s="4">
        <f>-SUMIFS('01_異動主檔'!$F:$F,'01_異動主檔'!$B:$B,123,'01_異動主檔'!$D:$D,B542,'01_異動主檔'!$E:$E,"移出")</f>
        <v/>
      </c>
      <c r="G542" s="4">
        <f>SUMIFS('01_異動主檔'!$F:$F,'01_異動主檔'!$B:$B,123,'01_異動主檔'!$D:$D,B542,'01_異動主檔'!$E:$E,"新增")</f>
        <v/>
      </c>
      <c r="H542" s="4">
        <f>-SUMIFS('01_異動主檔'!$F:$F,'01_異動主檔'!$B:$B,123,'01_異動主檔'!$D:$D,B542,'01_異動主檔'!$E:$E,"減列")</f>
        <v/>
      </c>
      <c r="I542" s="4">
        <f>-SUMIFS('01_異動主檔'!$F:$F,'01_異動主檔'!$B:$B,123,'01_異動主檔'!$D:$D,B542,'01_異動主檔'!$E:$E,"精簡")</f>
        <v/>
      </c>
      <c r="J542" s="10">
        <f>D542+E542+F542+G542+H542+I542</f>
        <v/>
      </c>
    </row>
    <row r="543" ht="18" customHeight="1">
      <c r="A543" s="4" t="inlineStr">
        <is>
          <t>C004</t>
        </is>
      </c>
      <c r="B543" s="3" t="inlineStr">
        <is>
          <t>台中分局</t>
        </is>
      </c>
      <c r="C543" s="4" t="n">
        <v>124</v>
      </c>
      <c r="D543" s="10">
        <f>J542</f>
        <v/>
      </c>
      <c r="E543" s="4">
        <f>SUMIFS('01_異動主檔'!$F:$F,'01_異動主檔'!$B:$B,124,'01_異動主檔'!$D:$D,B543,'01_異動主檔'!$E:$E,"移入")</f>
        <v/>
      </c>
      <c r="F543" s="4">
        <f>-SUMIFS('01_異動主檔'!$F:$F,'01_異動主檔'!$B:$B,124,'01_異動主檔'!$D:$D,B543,'01_異動主檔'!$E:$E,"移出")</f>
        <v/>
      </c>
      <c r="G543" s="4">
        <f>SUMIFS('01_異動主檔'!$F:$F,'01_異動主檔'!$B:$B,124,'01_異動主檔'!$D:$D,B543,'01_異動主檔'!$E:$E,"新增")</f>
        <v/>
      </c>
      <c r="H543" s="4">
        <f>-SUMIFS('01_異動主檔'!$F:$F,'01_異動主檔'!$B:$B,124,'01_異動主檔'!$D:$D,B543,'01_異動主檔'!$E:$E,"減列")</f>
        <v/>
      </c>
      <c r="I543" s="4">
        <f>-SUMIFS('01_異動主檔'!$F:$F,'01_異動主檔'!$B:$B,124,'01_異動主檔'!$D:$D,B543,'01_異動主檔'!$E:$E,"精簡")</f>
        <v/>
      </c>
      <c r="J543" s="10">
        <f>D543+E543+F543+G543+H543+I543</f>
        <v/>
      </c>
    </row>
    <row r="544" ht="18" customHeight="1">
      <c r="A544" s="6" t="inlineStr">
        <is>
          <t>C004</t>
        </is>
      </c>
      <c r="B544" s="5" t="inlineStr">
        <is>
          <t>台中分局</t>
        </is>
      </c>
      <c r="C544" s="6" t="n">
        <v>125</v>
      </c>
      <c r="D544" s="10">
        <f>J543</f>
        <v/>
      </c>
      <c r="E544" s="4">
        <f>SUMIFS('01_異動主檔'!$F:$F,'01_異動主檔'!$B:$B,125,'01_異動主檔'!$D:$D,B544,'01_異動主檔'!$E:$E,"移入")</f>
        <v/>
      </c>
      <c r="F544" s="4">
        <f>-SUMIFS('01_異動主檔'!$F:$F,'01_異動主檔'!$B:$B,125,'01_異動主檔'!$D:$D,B544,'01_異動主檔'!$E:$E,"移出")</f>
        <v/>
      </c>
      <c r="G544" s="4">
        <f>SUMIFS('01_異動主檔'!$F:$F,'01_異動主檔'!$B:$B,125,'01_異動主檔'!$D:$D,B544,'01_異動主檔'!$E:$E,"新增")</f>
        <v/>
      </c>
      <c r="H544" s="4">
        <f>-SUMIFS('01_異動主檔'!$F:$F,'01_異動主檔'!$B:$B,125,'01_異動主檔'!$D:$D,B544,'01_異動主檔'!$E:$E,"減列")</f>
        <v/>
      </c>
      <c r="I544" s="4">
        <f>-SUMIFS('01_異動主檔'!$F:$F,'01_異動主檔'!$B:$B,125,'01_異動主檔'!$D:$D,B544,'01_異動主檔'!$E:$E,"精簡")</f>
        <v/>
      </c>
      <c r="J544" s="10">
        <f>D544+E544+F544+G544+H544+I544</f>
        <v/>
      </c>
    </row>
    <row r="545" ht="18" customHeight="1">
      <c r="A545" s="4" t="inlineStr">
        <is>
          <t>C005</t>
        </is>
      </c>
      <c r="B545" s="3" t="inlineStr">
        <is>
          <t>台南分局</t>
        </is>
      </c>
      <c r="C545" s="4" t="n">
        <v>99</v>
      </c>
      <c r="D545" s="10">
        <f>'02_年初員額設定'!C25</f>
        <v/>
      </c>
      <c r="E545" s="4">
        <f>SUMIFS('01_異動主檔'!$F:$F,'01_異動主檔'!$B:$B,99,'01_異動主檔'!$D:$D,B545,'01_異動主檔'!$E:$E,"移入")</f>
        <v/>
      </c>
      <c r="F545" s="4">
        <f>-SUMIFS('01_異動主檔'!$F:$F,'01_異動主檔'!$B:$B,99,'01_異動主檔'!$D:$D,B545,'01_異動主檔'!$E:$E,"移出")</f>
        <v/>
      </c>
      <c r="G545" s="4">
        <f>SUMIFS('01_異動主檔'!$F:$F,'01_異動主檔'!$B:$B,99,'01_異動主檔'!$D:$D,B545,'01_異動主檔'!$E:$E,"新增")</f>
        <v/>
      </c>
      <c r="H545" s="4">
        <f>-SUMIFS('01_異動主檔'!$F:$F,'01_異動主檔'!$B:$B,99,'01_異動主檔'!$D:$D,B545,'01_異動主檔'!$E:$E,"減列")</f>
        <v/>
      </c>
      <c r="I545" s="4">
        <f>-SUMIFS('01_異動主檔'!$F:$F,'01_異動主檔'!$B:$B,99,'01_異動主檔'!$D:$D,B545,'01_異動主檔'!$E:$E,"精簡")</f>
        <v/>
      </c>
      <c r="J545" s="10">
        <f>D545+E545+F545+G545+H545+I545</f>
        <v/>
      </c>
    </row>
    <row r="546" ht="18" customHeight="1">
      <c r="A546" s="6" t="inlineStr">
        <is>
          <t>C005</t>
        </is>
      </c>
      <c r="B546" s="5" t="inlineStr">
        <is>
          <t>台南分局</t>
        </is>
      </c>
      <c r="C546" s="6" t="n">
        <v>100</v>
      </c>
      <c r="D546" s="10">
        <f>J545</f>
        <v/>
      </c>
      <c r="E546" s="4">
        <f>SUMIFS('01_異動主檔'!$F:$F,'01_異動主檔'!$B:$B,100,'01_異動主檔'!$D:$D,B546,'01_異動主檔'!$E:$E,"移入")</f>
        <v/>
      </c>
      <c r="F546" s="4">
        <f>-SUMIFS('01_異動主檔'!$F:$F,'01_異動主檔'!$B:$B,100,'01_異動主檔'!$D:$D,B546,'01_異動主檔'!$E:$E,"移出")</f>
        <v/>
      </c>
      <c r="G546" s="4">
        <f>SUMIFS('01_異動主檔'!$F:$F,'01_異動主檔'!$B:$B,100,'01_異動主檔'!$D:$D,B546,'01_異動主檔'!$E:$E,"新增")</f>
        <v/>
      </c>
      <c r="H546" s="4">
        <f>-SUMIFS('01_異動主檔'!$F:$F,'01_異動主檔'!$B:$B,100,'01_異動主檔'!$D:$D,B546,'01_異動主檔'!$E:$E,"減列")</f>
        <v/>
      </c>
      <c r="I546" s="4">
        <f>-SUMIFS('01_異動主檔'!$F:$F,'01_異動主檔'!$B:$B,100,'01_異動主檔'!$D:$D,B546,'01_異動主檔'!$E:$E,"精簡")</f>
        <v/>
      </c>
      <c r="J546" s="10">
        <f>D546+E546+F546+G546+H546+I546</f>
        <v/>
      </c>
    </row>
    <row r="547" ht="18" customHeight="1">
      <c r="A547" s="4" t="inlineStr">
        <is>
          <t>C005</t>
        </is>
      </c>
      <c r="B547" s="3" t="inlineStr">
        <is>
          <t>台南分局</t>
        </is>
      </c>
      <c r="C547" s="4" t="n">
        <v>101</v>
      </c>
      <c r="D547" s="10">
        <f>J546</f>
        <v/>
      </c>
      <c r="E547" s="4">
        <f>SUMIFS('01_異動主檔'!$F:$F,'01_異動主檔'!$B:$B,101,'01_異動主檔'!$D:$D,B547,'01_異動主檔'!$E:$E,"移入")</f>
        <v/>
      </c>
      <c r="F547" s="4">
        <f>-SUMIFS('01_異動主檔'!$F:$F,'01_異動主檔'!$B:$B,101,'01_異動主檔'!$D:$D,B547,'01_異動主檔'!$E:$E,"移出")</f>
        <v/>
      </c>
      <c r="G547" s="4">
        <f>SUMIFS('01_異動主檔'!$F:$F,'01_異動主檔'!$B:$B,101,'01_異動主檔'!$D:$D,B547,'01_異動主檔'!$E:$E,"新增")</f>
        <v/>
      </c>
      <c r="H547" s="4">
        <f>-SUMIFS('01_異動主檔'!$F:$F,'01_異動主檔'!$B:$B,101,'01_異動主檔'!$D:$D,B547,'01_異動主檔'!$E:$E,"減列")</f>
        <v/>
      </c>
      <c r="I547" s="4">
        <f>-SUMIFS('01_異動主檔'!$F:$F,'01_異動主檔'!$B:$B,101,'01_異動主檔'!$D:$D,B547,'01_異動主檔'!$E:$E,"精簡")</f>
        <v/>
      </c>
      <c r="J547" s="10">
        <f>D547+E547+F547+G547+H547+I547</f>
        <v/>
      </c>
    </row>
    <row r="548" ht="18" customHeight="1">
      <c r="A548" s="6" t="inlineStr">
        <is>
          <t>C005</t>
        </is>
      </c>
      <c r="B548" s="5" t="inlineStr">
        <is>
          <t>台南分局</t>
        </is>
      </c>
      <c r="C548" s="6" t="n">
        <v>102</v>
      </c>
      <c r="D548" s="10">
        <f>J547</f>
        <v/>
      </c>
      <c r="E548" s="4">
        <f>SUMIFS('01_異動主檔'!$F:$F,'01_異動主檔'!$B:$B,102,'01_異動主檔'!$D:$D,B548,'01_異動主檔'!$E:$E,"移入")</f>
        <v/>
      </c>
      <c r="F548" s="4">
        <f>-SUMIFS('01_異動主檔'!$F:$F,'01_異動主檔'!$B:$B,102,'01_異動主檔'!$D:$D,B548,'01_異動主檔'!$E:$E,"移出")</f>
        <v/>
      </c>
      <c r="G548" s="4">
        <f>SUMIFS('01_異動主檔'!$F:$F,'01_異動主檔'!$B:$B,102,'01_異動主檔'!$D:$D,B548,'01_異動主檔'!$E:$E,"新增")</f>
        <v/>
      </c>
      <c r="H548" s="4">
        <f>-SUMIFS('01_異動主檔'!$F:$F,'01_異動主檔'!$B:$B,102,'01_異動主檔'!$D:$D,B548,'01_異動主檔'!$E:$E,"減列")</f>
        <v/>
      </c>
      <c r="I548" s="4">
        <f>-SUMIFS('01_異動主檔'!$F:$F,'01_異動主檔'!$B:$B,102,'01_異動主檔'!$D:$D,B548,'01_異動主檔'!$E:$E,"精簡")</f>
        <v/>
      </c>
      <c r="J548" s="10">
        <f>D548+E548+F548+G548+H548+I548</f>
        <v/>
      </c>
    </row>
    <row r="549" ht="18" customHeight="1">
      <c r="A549" s="4" t="inlineStr">
        <is>
          <t>C005</t>
        </is>
      </c>
      <c r="B549" s="3" t="inlineStr">
        <is>
          <t>台南分局</t>
        </is>
      </c>
      <c r="C549" s="4" t="n">
        <v>103</v>
      </c>
      <c r="D549" s="10">
        <f>J548</f>
        <v/>
      </c>
      <c r="E549" s="4">
        <f>SUMIFS('01_異動主檔'!$F:$F,'01_異動主檔'!$B:$B,103,'01_異動主檔'!$D:$D,B549,'01_異動主檔'!$E:$E,"移入")</f>
        <v/>
      </c>
      <c r="F549" s="4">
        <f>-SUMIFS('01_異動主檔'!$F:$F,'01_異動主檔'!$B:$B,103,'01_異動主檔'!$D:$D,B549,'01_異動主檔'!$E:$E,"移出")</f>
        <v/>
      </c>
      <c r="G549" s="4">
        <f>SUMIFS('01_異動主檔'!$F:$F,'01_異動主檔'!$B:$B,103,'01_異動主檔'!$D:$D,B549,'01_異動主檔'!$E:$E,"新增")</f>
        <v/>
      </c>
      <c r="H549" s="4">
        <f>-SUMIFS('01_異動主檔'!$F:$F,'01_異動主檔'!$B:$B,103,'01_異動主檔'!$D:$D,B549,'01_異動主檔'!$E:$E,"減列")</f>
        <v/>
      </c>
      <c r="I549" s="4">
        <f>-SUMIFS('01_異動主檔'!$F:$F,'01_異動主檔'!$B:$B,103,'01_異動主檔'!$D:$D,B549,'01_異動主檔'!$E:$E,"精簡")</f>
        <v/>
      </c>
      <c r="J549" s="10">
        <f>D549+E549+F549+G549+H549+I549</f>
        <v/>
      </c>
    </row>
    <row r="550" ht="18" customHeight="1">
      <c r="A550" s="6" t="inlineStr">
        <is>
          <t>C005</t>
        </is>
      </c>
      <c r="B550" s="5" t="inlineStr">
        <is>
          <t>台南分局</t>
        </is>
      </c>
      <c r="C550" s="6" t="n">
        <v>104</v>
      </c>
      <c r="D550" s="10">
        <f>J549</f>
        <v/>
      </c>
      <c r="E550" s="4">
        <f>SUMIFS('01_異動主檔'!$F:$F,'01_異動主檔'!$B:$B,104,'01_異動主檔'!$D:$D,B550,'01_異動主檔'!$E:$E,"移入")</f>
        <v/>
      </c>
      <c r="F550" s="4">
        <f>-SUMIFS('01_異動主檔'!$F:$F,'01_異動主檔'!$B:$B,104,'01_異動主檔'!$D:$D,B550,'01_異動主檔'!$E:$E,"移出")</f>
        <v/>
      </c>
      <c r="G550" s="4">
        <f>SUMIFS('01_異動主檔'!$F:$F,'01_異動主檔'!$B:$B,104,'01_異動主檔'!$D:$D,B550,'01_異動主檔'!$E:$E,"新增")</f>
        <v/>
      </c>
      <c r="H550" s="4">
        <f>-SUMIFS('01_異動主檔'!$F:$F,'01_異動主檔'!$B:$B,104,'01_異動主檔'!$D:$D,B550,'01_異動主檔'!$E:$E,"減列")</f>
        <v/>
      </c>
      <c r="I550" s="4">
        <f>-SUMIFS('01_異動主檔'!$F:$F,'01_異動主檔'!$B:$B,104,'01_異動主檔'!$D:$D,B550,'01_異動主檔'!$E:$E,"精簡")</f>
        <v/>
      </c>
      <c r="J550" s="10">
        <f>D550+E550+F550+G550+H550+I550</f>
        <v/>
      </c>
    </row>
    <row r="551" ht="18" customHeight="1">
      <c r="A551" s="4" t="inlineStr">
        <is>
          <t>C005</t>
        </is>
      </c>
      <c r="B551" s="3" t="inlineStr">
        <is>
          <t>台南分局</t>
        </is>
      </c>
      <c r="C551" s="4" t="n">
        <v>105</v>
      </c>
      <c r="D551" s="10">
        <f>J550</f>
        <v/>
      </c>
      <c r="E551" s="4">
        <f>SUMIFS('01_異動主檔'!$F:$F,'01_異動主檔'!$B:$B,105,'01_異動主檔'!$D:$D,B551,'01_異動主檔'!$E:$E,"移入")</f>
        <v/>
      </c>
      <c r="F551" s="4">
        <f>-SUMIFS('01_異動主檔'!$F:$F,'01_異動主檔'!$B:$B,105,'01_異動主檔'!$D:$D,B551,'01_異動主檔'!$E:$E,"移出")</f>
        <v/>
      </c>
      <c r="G551" s="4">
        <f>SUMIFS('01_異動主檔'!$F:$F,'01_異動主檔'!$B:$B,105,'01_異動主檔'!$D:$D,B551,'01_異動主檔'!$E:$E,"新增")</f>
        <v/>
      </c>
      <c r="H551" s="4">
        <f>-SUMIFS('01_異動主檔'!$F:$F,'01_異動主檔'!$B:$B,105,'01_異動主檔'!$D:$D,B551,'01_異動主檔'!$E:$E,"減列")</f>
        <v/>
      </c>
      <c r="I551" s="4">
        <f>-SUMIFS('01_異動主檔'!$F:$F,'01_異動主檔'!$B:$B,105,'01_異動主檔'!$D:$D,B551,'01_異動主檔'!$E:$E,"精簡")</f>
        <v/>
      </c>
      <c r="J551" s="10">
        <f>D551+E551+F551+G551+H551+I551</f>
        <v/>
      </c>
    </row>
    <row r="552" ht="18" customHeight="1">
      <c r="A552" s="6" t="inlineStr">
        <is>
          <t>C005</t>
        </is>
      </c>
      <c r="B552" s="5" t="inlineStr">
        <is>
          <t>台南分局</t>
        </is>
      </c>
      <c r="C552" s="6" t="n">
        <v>106</v>
      </c>
      <c r="D552" s="10">
        <f>J551</f>
        <v/>
      </c>
      <c r="E552" s="4">
        <f>SUMIFS('01_異動主檔'!$F:$F,'01_異動主檔'!$B:$B,106,'01_異動主檔'!$D:$D,B552,'01_異動主檔'!$E:$E,"移入")</f>
        <v/>
      </c>
      <c r="F552" s="4">
        <f>-SUMIFS('01_異動主檔'!$F:$F,'01_異動主檔'!$B:$B,106,'01_異動主檔'!$D:$D,B552,'01_異動主檔'!$E:$E,"移出")</f>
        <v/>
      </c>
      <c r="G552" s="4">
        <f>SUMIFS('01_異動主檔'!$F:$F,'01_異動主檔'!$B:$B,106,'01_異動主檔'!$D:$D,B552,'01_異動主檔'!$E:$E,"新增")</f>
        <v/>
      </c>
      <c r="H552" s="4">
        <f>-SUMIFS('01_異動主檔'!$F:$F,'01_異動主檔'!$B:$B,106,'01_異動主檔'!$D:$D,B552,'01_異動主檔'!$E:$E,"減列")</f>
        <v/>
      </c>
      <c r="I552" s="4">
        <f>-SUMIFS('01_異動主檔'!$F:$F,'01_異動主檔'!$B:$B,106,'01_異動主檔'!$D:$D,B552,'01_異動主檔'!$E:$E,"精簡")</f>
        <v/>
      </c>
      <c r="J552" s="10">
        <f>D552+E552+F552+G552+H552+I552</f>
        <v/>
      </c>
    </row>
    <row r="553" ht="18" customHeight="1">
      <c r="A553" s="4" t="inlineStr">
        <is>
          <t>C005</t>
        </is>
      </c>
      <c r="B553" s="3" t="inlineStr">
        <is>
          <t>台南分局</t>
        </is>
      </c>
      <c r="C553" s="4" t="n">
        <v>107</v>
      </c>
      <c r="D553" s="10">
        <f>J552</f>
        <v/>
      </c>
      <c r="E553" s="4">
        <f>SUMIFS('01_異動主檔'!$F:$F,'01_異動主檔'!$B:$B,107,'01_異動主檔'!$D:$D,B553,'01_異動主檔'!$E:$E,"移入")</f>
        <v/>
      </c>
      <c r="F553" s="4">
        <f>-SUMIFS('01_異動主檔'!$F:$F,'01_異動主檔'!$B:$B,107,'01_異動主檔'!$D:$D,B553,'01_異動主檔'!$E:$E,"移出")</f>
        <v/>
      </c>
      <c r="G553" s="4">
        <f>SUMIFS('01_異動主檔'!$F:$F,'01_異動主檔'!$B:$B,107,'01_異動主檔'!$D:$D,B553,'01_異動主檔'!$E:$E,"新增")</f>
        <v/>
      </c>
      <c r="H553" s="4">
        <f>-SUMIFS('01_異動主檔'!$F:$F,'01_異動主檔'!$B:$B,107,'01_異動主檔'!$D:$D,B553,'01_異動主檔'!$E:$E,"減列")</f>
        <v/>
      </c>
      <c r="I553" s="4">
        <f>-SUMIFS('01_異動主檔'!$F:$F,'01_異動主檔'!$B:$B,107,'01_異動主檔'!$D:$D,B553,'01_異動主檔'!$E:$E,"精簡")</f>
        <v/>
      </c>
      <c r="J553" s="10">
        <f>D553+E553+F553+G553+H553+I553</f>
        <v/>
      </c>
    </row>
    <row r="554" ht="18" customHeight="1">
      <c r="A554" s="6" t="inlineStr">
        <is>
          <t>C005</t>
        </is>
      </c>
      <c r="B554" s="5" t="inlineStr">
        <is>
          <t>台南分局</t>
        </is>
      </c>
      <c r="C554" s="6" t="n">
        <v>108</v>
      </c>
      <c r="D554" s="10">
        <f>J553</f>
        <v/>
      </c>
      <c r="E554" s="4">
        <f>SUMIFS('01_異動主檔'!$F:$F,'01_異動主檔'!$B:$B,108,'01_異動主檔'!$D:$D,B554,'01_異動主檔'!$E:$E,"移入")</f>
        <v/>
      </c>
      <c r="F554" s="4">
        <f>-SUMIFS('01_異動主檔'!$F:$F,'01_異動主檔'!$B:$B,108,'01_異動主檔'!$D:$D,B554,'01_異動主檔'!$E:$E,"移出")</f>
        <v/>
      </c>
      <c r="G554" s="4">
        <f>SUMIFS('01_異動主檔'!$F:$F,'01_異動主檔'!$B:$B,108,'01_異動主檔'!$D:$D,B554,'01_異動主檔'!$E:$E,"新增")</f>
        <v/>
      </c>
      <c r="H554" s="4">
        <f>-SUMIFS('01_異動主檔'!$F:$F,'01_異動主檔'!$B:$B,108,'01_異動主檔'!$D:$D,B554,'01_異動主檔'!$E:$E,"減列")</f>
        <v/>
      </c>
      <c r="I554" s="4">
        <f>-SUMIFS('01_異動主檔'!$F:$F,'01_異動主檔'!$B:$B,108,'01_異動主檔'!$D:$D,B554,'01_異動主檔'!$E:$E,"精簡")</f>
        <v/>
      </c>
      <c r="J554" s="10">
        <f>D554+E554+F554+G554+H554+I554</f>
        <v/>
      </c>
    </row>
    <row r="555" ht="18" customHeight="1">
      <c r="A555" s="4" t="inlineStr">
        <is>
          <t>C005</t>
        </is>
      </c>
      <c r="B555" s="3" t="inlineStr">
        <is>
          <t>台南分局</t>
        </is>
      </c>
      <c r="C555" s="4" t="n">
        <v>109</v>
      </c>
      <c r="D555" s="10">
        <f>J554</f>
        <v/>
      </c>
      <c r="E555" s="4">
        <f>SUMIFS('01_異動主檔'!$F:$F,'01_異動主檔'!$B:$B,109,'01_異動主檔'!$D:$D,B555,'01_異動主檔'!$E:$E,"移入")</f>
        <v/>
      </c>
      <c r="F555" s="4">
        <f>-SUMIFS('01_異動主檔'!$F:$F,'01_異動主檔'!$B:$B,109,'01_異動主檔'!$D:$D,B555,'01_異動主檔'!$E:$E,"移出")</f>
        <v/>
      </c>
      <c r="G555" s="4">
        <f>SUMIFS('01_異動主檔'!$F:$F,'01_異動主檔'!$B:$B,109,'01_異動主檔'!$D:$D,B555,'01_異動主檔'!$E:$E,"新增")</f>
        <v/>
      </c>
      <c r="H555" s="4">
        <f>-SUMIFS('01_異動主檔'!$F:$F,'01_異動主檔'!$B:$B,109,'01_異動主檔'!$D:$D,B555,'01_異動主檔'!$E:$E,"減列")</f>
        <v/>
      </c>
      <c r="I555" s="4">
        <f>-SUMIFS('01_異動主檔'!$F:$F,'01_異動主檔'!$B:$B,109,'01_異動主檔'!$D:$D,B555,'01_異動主檔'!$E:$E,"精簡")</f>
        <v/>
      </c>
      <c r="J555" s="10">
        <f>D555+E555+F555+G555+H555+I555</f>
        <v/>
      </c>
    </row>
    <row r="556" ht="18" customHeight="1">
      <c r="A556" s="6" t="inlineStr">
        <is>
          <t>C005</t>
        </is>
      </c>
      <c r="B556" s="5" t="inlineStr">
        <is>
          <t>台南分局</t>
        </is>
      </c>
      <c r="C556" s="6" t="n">
        <v>110</v>
      </c>
      <c r="D556" s="10">
        <f>J555</f>
        <v/>
      </c>
      <c r="E556" s="4">
        <f>SUMIFS('01_異動主檔'!$F:$F,'01_異動主檔'!$B:$B,110,'01_異動主檔'!$D:$D,B556,'01_異動主檔'!$E:$E,"移入")</f>
        <v/>
      </c>
      <c r="F556" s="4">
        <f>-SUMIFS('01_異動主檔'!$F:$F,'01_異動主檔'!$B:$B,110,'01_異動主檔'!$D:$D,B556,'01_異動主檔'!$E:$E,"移出")</f>
        <v/>
      </c>
      <c r="G556" s="4">
        <f>SUMIFS('01_異動主檔'!$F:$F,'01_異動主檔'!$B:$B,110,'01_異動主檔'!$D:$D,B556,'01_異動主檔'!$E:$E,"新增")</f>
        <v/>
      </c>
      <c r="H556" s="4">
        <f>-SUMIFS('01_異動主檔'!$F:$F,'01_異動主檔'!$B:$B,110,'01_異動主檔'!$D:$D,B556,'01_異動主檔'!$E:$E,"減列")</f>
        <v/>
      </c>
      <c r="I556" s="4">
        <f>-SUMIFS('01_異動主檔'!$F:$F,'01_異動主檔'!$B:$B,110,'01_異動主檔'!$D:$D,B556,'01_異動主檔'!$E:$E,"精簡")</f>
        <v/>
      </c>
      <c r="J556" s="10">
        <f>D556+E556+F556+G556+H556+I556</f>
        <v/>
      </c>
    </row>
    <row r="557" ht="18" customHeight="1">
      <c r="A557" s="4" t="inlineStr">
        <is>
          <t>C005</t>
        </is>
      </c>
      <c r="B557" s="3" t="inlineStr">
        <is>
          <t>台南分局</t>
        </is>
      </c>
      <c r="C557" s="4" t="n">
        <v>111</v>
      </c>
      <c r="D557" s="10">
        <f>J556</f>
        <v/>
      </c>
      <c r="E557" s="4">
        <f>SUMIFS('01_異動主檔'!$F:$F,'01_異動主檔'!$B:$B,111,'01_異動主檔'!$D:$D,B557,'01_異動主檔'!$E:$E,"移入")</f>
        <v/>
      </c>
      <c r="F557" s="4">
        <f>-SUMIFS('01_異動主檔'!$F:$F,'01_異動主檔'!$B:$B,111,'01_異動主檔'!$D:$D,B557,'01_異動主檔'!$E:$E,"移出")</f>
        <v/>
      </c>
      <c r="G557" s="4">
        <f>SUMIFS('01_異動主檔'!$F:$F,'01_異動主檔'!$B:$B,111,'01_異動主檔'!$D:$D,B557,'01_異動主檔'!$E:$E,"新增")</f>
        <v/>
      </c>
      <c r="H557" s="4">
        <f>-SUMIFS('01_異動主檔'!$F:$F,'01_異動主檔'!$B:$B,111,'01_異動主檔'!$D:$D,B557,'01_異動主檔'!$E:$E,"減列")</f>
        <v/>
      </c>
      <c r="I557" s="4">
        <f>-SUMIFS('01_異動主檔'!$F:$F,'01_異動主檔'!$B:$B,111,'01_異動主檔'!$D:$D,B557,'01_異動主檔'!$E:$E,"精簡")</f>
        <v/>
      </c>
      <c r="J557" s="10">
        <f>D557+E557+F557+G557+H557+I557</f>
        <v/>
      </c>
    </row>
    <row r="558" ht="18" customHeight="1">
      <c r="A558" s="6" t="inlineStr">
        <is>
          <t>C005</t>
        </is>
      </c>
      <c r="B558" s="5" t="inlineStr">
        <is>
          <t>台南分局</t>
        </is>
      </c>
      <c r="C558" s="6" t="n">
        <v>112</v>
      </c>
      <c r="D558" s="10">
        <f>J557</f>
        <v/>
      </c>
      <c r="E558" s="4">
        <f>SUMIFS('01_異動主檔'!$F:$F,'01_異動主檔'!$B:$B,112,'01_異動主檔'!$D:$D,B558,'01_異動主檔'!$E:$E,"移入")</f>
        <v/>
      </c>
      <c r="F558" s="4">
        <f>-SUMIFS('01_異動主檔'!$F:$F,'01_異動主檔'!$B:$B,112,'01_異動主檔'!$D:$D,B558,'01_異動主檔'!$E:$E,"移出")</f>
        <v/>
      </c>
      <c r="G558" s="4">
        <f>SUMIFS('01_異動主檔'!$F:$F,'01_異動主檔'!$B:$B,112,'01_異動主檔'!$D:$D,B558,'01_異動主檔'!$E:$E,"新增")</f>
        <v/>
      </c>
      <c r="H558" s="4">
        <f>-SUMIFS('01_異動主檔'!$F:$F,'01_異動主檔'!$B:$B,112,'01_異動主檔'!$D:$D,B558,'01_異動主檔'!$E:$E,"減列")</f>
        <v/>
      </c>
      <c r="I558" s="4">
        <f>-SUMIFS('01_異動主檔'!$F:$F,'01_異動主檔'!$B:$B,112,'01_異動主檔'!$D:$D,B558,'01_異動主檔'!$E:$E,"精簡")</f>
        <v/>
      </c>
      <c r="J558" s="10">
        <f>D558+E558+F558+G558+H558+I558</f>
        <v/>
      </c>
    </row>
    <row r="559" ht="18" customHeight="1">
      <c r="A559" s="4" t="inlineStr">
        <is>
          <t>C005</t>
        </is>
      </c>
      <c r="B559" s="3" t="inlineStr">
        <is>
          <t>台南分局</t>
        </is>
      </c>
      <c r="C559" s="4" t="n">
        <v>113</v>
      </c>
      <c r="D559" s="10">
        <f>J558</f>
        <v/>
      </c>
      <c r="E559" s="4">
        <f>SUMIFS('01_異動主檔'!$F:$F,'01_異動主檔'!$B:$B,113,'01_異動主檔'!$D:$D,B559,'01_異動主檔'!$E:$E,"移入")</f>
        <v/>
      </c>
      <c r="F559" s="4">
        <f>-SUMIFS('01_異動主檔'!$F:$F,'01_異動主檔'!$B:$B,113,'01_異動主檔'!$D:$D,B559,'01_異動主檔'!$E:$E,"移出")</f>
        <v/>
      </c>
      <c r="G559" s="4">
        <f>SUMIFS('01_異動主檔'!$F:$F,'01_異動主檔'!$B:$B,113,'01_異動主檔'!$D:$D,B559,'01_異動主檔'!$E:$E,"新增")</f>
        <v/>
      </c>
      <c r="H559" s="4">
        <f>-SUMIFS('01_異動主檔'!$F:$F,'01_異動主檔'!$B:$B,113,'01_異動主檔'!$D:$D,B559,'01_異動主檔'!$E:$E,"減列")</f>
        <v/>
      </c>
      <c r="I559" s="4">
        <f>-SUMIFS('01_異動主檔'!$F:$F,'01_異動主檔'!$B:$B,113,'01_異動主檔'!$D:$D,B559,'01_異動主檔'!$E:$E,"精簡")</f>
        <v/>
      </c>
      <c r="J559" s="10">
        <f>D559+E559+F559+G559+H559+I559</f>
        <v/>
      </c>
    </row>
    <row r="560" ht="18" customHeight="1">
      <c r="A560" s="6" t="inlineStr">
        <is>
          <t>C005</t>
        </is>
      </c>
      <c r="B560" s="5" t="inlineStr">
        <is>
          <t>台南分局</t>
        </is>
      </c>
      <c r="C560" s="6" t="n">
        <v>114</v>
      </c>
      <c r="D560" s="10">
        <f>J559</f>
        <v/>
      </c>
      <c r="E560" s="4">
        <f>SUMIFS('01_異動主檔'!$F:$F,'01_異動主檔'!$B:$B,114,'01_異動主檔'!$D:$D,B560,'01_異動主檔'!$E:$E,"移入")</f>
        <v/>
      </c>
      <c r="F560" s="4">
        <f>-SUMIFS('01_異動主檔'!$F:$F,'01_異動主檔'!$B:$B,114,'01_異動主檔'!$D:$D,B560,'01_異動主檔'!$E:$E,"移出")</f>
        <v/>
      </c>
      <c r="G560" s="4">
        <f>SUMIFS('01_異動主檔'!$F:$F,'01_異動主檔'!$B:$B,114,'01_異動主檔'!$D:$D,B560,'01_異動主檔'!$E:$E,"新增")</f>
        <v/>
      </c>
      <c r="H560" s="4">
        <f>-SUMIFS('01_異動主檔'!$F:$F,'01_異動主檔'!$B:$B,114,'01_異動主檔'!$D:$D,B560,'01_異動主檔'!$E:$E,"減列")</f>
        <v/>
      </c>
      <c r="I560" s="4">
        <f>-SUMIFS('01_異動主檔'!$F:$F,'01_異動主檔'!$B:$B,114,'01_異動主檔'!$D:$D,B560,'01_異動主檔'!$E:$E,"精簡")</f>
        <v/>
      </c>
      <c r="J560" s="10">
        <f>D560+E560+F560+G560+H560+I560</f>
        <v/>
      </c>
    </row>
    <row r="561" ht="18" customHeight="1">
      <c r="A561" s="4" t="inlineStr">
        <is>
          <t>C005</t>
        </is>
      </c>
      <c r="B561" s="3" t="inlineStr">
        <is>
          <t>台南分局</t>
        </is>
      </c>
      <c r="C561" s="4" t="n">
        <v>115</v>
      </c>
      <c r="D561" s="10">
        <f>J560</f>
        <v/>
      </c>
      <c r="E561" s="4">
        <f>SUMIFS('01_異動主檔'!$F:$F,'01_異動主檔'!$B:$B,115,'01_異動主檔'!$D:$D,B561,'01_異動主檔'!$E:$E,"移入")</f>
        <v/>
      </c>
      <c r="F561" s="4">
        <f>-SUMIFS('01_異動主檔'!$F:$F,'01_異動主檔'!$B:$B,115,'01_異動主檔'!$D:$D,B561,'01_異動主檔'!$E:$E,"移出")</f>
        <v/>
      </c>
      <c r="G561" s="4">
        <f>SUMIFS('01_異動主檔'!$F:$F,'01_異動主檔'!$B:$B,115,'01_異動主檔'!$D:$D,B561,'01_異動主檔'!$E:$E,"新增")</f>
        <v/>
      </c>
      <c r="H561" s="4">
        <f>-SUMIFS('01_異動主檔'!$F:$F,'01_異動主檔'!$B:$B,115,'01_異動主檔'!$D:$D,B561,'01_異動主檔'!$E:$E,"減列")</f>
        <v/>
      </c>
      <c r="I561" s="4">
        <f>-SUMIFS('01_異動主檔'!$F:$F,'01_異動主檔'!$B:$B,115,'01_異動主檔'!$D:$D,B561,'01_異動主檔'!$E:$E,"精簡")</f>
        <v/>
      </c>
      <c r="J561" s="10">
        <f>D561+E561+F561+G561+H561+I561</f>
        <v/>
      </c>
    </row>
    <row r="562" ht="18" customHeight="1">
      <c r="A562" s="6" t="inlineStr">
        <is>
          <t>C005</t>
        </is>
      </c>
      <c r="B562" s="5" t="inlineStr">
        <is>
          <t>台南分局</t>
        </is>
      </c>
      <c r="C562" s="6" t="n">
        <v>116</v>
      </c>
      <c r="D562" s="10">
        <f>J561</f>
        <v/>
      </c>
      <c r="E562" s="4">
        <f>SUMIFS('01_異動主檔'!$F:$F,'01_異動主檔'!$B:$B,116,'01_異動主檔'!$D:$D,B562,'01_異動主檔'!$E:$E,"移入")</f>
        <v/>
      </c>
      <c r="F562" s="4">
        <f>-SUMIFS('01_異動主檔'!$F:$F,'01_異動主檔'!$B:$B,116,'01_異動主檔'!$D:$D,B562,'01_異動主檔'!$E:$E,"移出")</f>
        <v/>
      </c>
      <c r="G562" s="4">
        <f>SUMIFS('01_異動主檔'!$F:$F,'01_異動主檔'!$B:$B,116,'01_異動主檔'!$D:$D,B562,'01_異動主檔'!$E:$E,"新增")</f>
        <v/>
      </c>
      <c r="H562" s="4">
        <f>-SUMIFS('01_異動主檔'!$F:$F,'01_異動主檔'!$B:$B,116,'01_異動主檔'!$D:$D,B562,'01_異動主檔'!$E:$E,"減列")</f>
        <v/>
      </c>
      <c r="I562" s="4">
        <f>-SUMIFS('01_異動主檔'!$F:$F,'01_異動主檔'!$B:$B,116,'01_異動主檔'!$D:$D,B562,'01_異動主檔'!$E:$E,"精簡")</f>
        <v/>
      </c>
      <c r="J562" s="10">
        <f>D562+E562+F562+G562+H562+I562</f>
        <v/>
      </c>
    </row>
    <row r="563" ht="18" customHeight="1">
      <c r="A563" s="4" t="inlineStr">
        <is>
          <t>C005</t>
        </is>
      </c>
      <c r="B563" s="3" t="inlineStr">
        <is>
          <t>台南分局</t>
        </is>
      </c>
      <c r="C563" s="4" t="n">
        <v>117</v>
      </c>
      <c r="D563" s="10">
        <f>J562</f>
        <v/>
      </c>
      <c r="E563" s="4">
        <f>SUMIFS('01_異動主檔'!$F:$F,'01_異動主檔'!$B:$B,117,'01_異動主檔'!$D:$D,B563,'01_異動主檔'!$E:$E,"移入")</f>
        <v/>
      </c>
      <c r="F563" s="4">
        <f>-SUMIFS('01_異動主檔'!$F:$F,'01_異動主檔'!$B:$B,117,'01_異動主檔'!$D:$D,B563,'01_異動主檔'!$E:$E,"移出")</f>
        <v/>
      </c>
      <c r="G563" s="4">
        <f>SUMIFS('01_異動主檔'!$F:$F,'01_異動主檔'!$B:$B,117,'01_異動主檔'!$D:$D,B563,'01_異動主檔'!$E:$E,"新增")</f>
        <v/>
      </c>
      <c r="H563" s="4">
        <f>-SUMIFS('01_異動主檔'!$F:$F,'01_異動主檔'!$B:$B,117,'01_異動主檔'!$D:$D,B563,'01_異動主檔'!$E:$E,"減列")</f>
        <v/>
      </c>
      <c r="I563" s="4">
        <f>-SUMIFS('01_異動主檔'!$F:$F,'01_異動主檔'!$B:$B,117,'01_異動主檔'!$D:$D,B563,'01_異動主檔'!$E:$E,"精簡")</f>
        <v/>
      </c>
      <c r="J563" s="10">
        <f>D563+E563+F563+G563+H563+I563</f>
        <v/>
      </c>
    </row>
    <row r="564" ht="18" customHeight="1">
      <c r="A564" s="6" t="inlineStr">
        <is>
          <t>C005</t>
        </is>
      </c>
      <c r="B564" s="5" t="inlineStr">
        <is>
          <t>台南分局</t>
        </is>
      </c>
      <c r="C564" s="6" t="n">
        <v>118</v>
      </c>
      <c r="D564" s="10">
        <f>J563</f>
        <v/>
      </c>
      <c r="E564" s="4">
        <f>SUMIFS('01_異動主檔'!$F:$F,'01_異動主檔'!$B:$B,118,'01_異動主檔'!$D:$D,B564,'01_異動主檔'!$E:$E,"移入")</f>
        <v/>
      </c>
      <c r="F564" s="4">
        <f>-SUMIFS('01_異動主檔'!$F:$F,'01_異動主檔'!$B:$B,118,'01_異動主檔'!$D:$D,B564,'01_異動主檔'!$E:$E,"移出")</f>
        <v/>
      </c>
      <c r="G564" s="4">
        <f>SUMIFS('01_異動主檔'!$F:$F,'01_異動主檔'!$B:$B,118,'01_異動主檔'!$D:$D,B564,'01_異動主檔'!$E:$E,"新增")</f>
        <v/>
      </c>
      <c r="H564" s="4">
        <f>-SUMIFS('01_異動主檔'!$F:$F,'01_異動主檔'!$B:$B,118,'01_異動主檔'!$D:$D,B564,'01_異動主檔'!$E:$E,"減列")</f>
        <v/>
      </c>
      <c r="I564" s="4">
        <f>-SUMIFS('01_異動主檔'!$F:$F,'01_異動主檔'!$B:$B,118,'01_異動主檔'!$D:$D,B564,'01_異動主檔'!$E:$E,"精簡")</f>
        <v/>
      </c>
      <c r="J564" s="10">
        <f>D564+E564+F564+G564+H564+I564</f>
        <v/>
      </c>
    </row>
    <row r="565" ht="18" customHeight="1">
      <c r="A565" s="4" t="inlineStr">
        <is>
          <t>C005</t>
        </is>
      </c>
      <c r="B565" s="3" t="inlineStr">
        <is>
          <t>台南分局</t>
        </is>
      </c>
      <c r="C565" s="4" t="n">
        <v>119</v>
      </c>
      <c r="D565" s="10">
        <f>J564</f>
        <v/>
      </c>
      <c r="E565" s="4">
        <f>SUMIFS('01_異動主檔'!$F:$F,'01_異動主檔'!$B:$B,119,'01_異動主檔'!$D:$D,B565,'01_異動主檔'!$E:$E,"移入")</f>
        <v/>
      </c>
      <c r="F565" s="4">
        <f>-SUMIFS('01_異動主檔'!$F:$F,'01_異動主檔'!$B:$B,119,'01_異動主檔'!$D:$D,B565,'01_異動主檔'!$E:$E,"移出")</f>
        <v/>
      </c>
      <c r="G565" s="4">
        <f>SUMIFS('01_異動主檔'!$F:$F,'01_異動主檔'!$B:$B,119,'01_異動主檔'!$D:$D,B565,'01_異動主檔'!$E:$E,"新增")</f>
        <v/>
      </c>
      <c r="H565" s="4">
        <f>-SUMIFS('01_異動主檔'!$F:$F,'01_異動主檔'!$B:$B,119,'01_異動主檔'!$D:$D,B565,'01_異動主檔'!$E:$E,"減列")</f>
        <v/>
      </c>
      <c r="I565" s="4">
        <f>-SUMIFS('01_異動主檔'!$F:$F,'01_異動主檔'!$B:$B,119,'01_異動主檔'!$D:$D,B565,'01_異動主檔'!$E:$E,"精簡")</f>
        <v/>
      </c>
      <c r="J565" s="10">
        <f>D565+E565+F565+G565+H565+I565</f>
        <v/>
      </c>
    </row>
    <row r="566" ht="18" customHeight="1">
      <c r="A566" s="6" t="inlineStr">
        <is>
          <t>C005</t>
        </is>
      </c>
      <c r="B566" s="5" t="inlineStr">
        <is>
          <t>台南分局</t>
        </is>
      </c>
      <c r="C566" s="6" t="n">
        <v>120</v>
      </c>
      <c r="D566" s="10">
        <f>J565</f>
        <v/>
      </c>
      <c r="E566" s="4">
        <f>SUMIFS('01_異動主檔'!$F:$F,'01_異動主檔'!$B:$B,120,'01_異動主檔'!$D:$D,B566,'01_異動主檔'!$E:$E,"移入")</f>
        <v/>
      </c>
      <c r="F566" s="4">
        <f>-SUMIFS('01_異動主檔'!$F:$F,'01_異動主檔'!$B:$B,120,'01_異動主檔'!$D:$D,B566,'01_異動主檔'!$E:$E,"移出")</f>
        <v/>
      </c>
      <c r="G566" s="4">
        <f>SUMIFS('01_異動主檔'!$F:$F,'01_異動主檔'!$B:$B,120,'01_異動主檔'!$D:$D,B566,'01_異動主檔'!$E:$E,"新增")</f>
        <v/>
      </c>
      <c r="H566" s="4">
        <f>-SUMIFS('01_異動主檔'!$F:$F,'01_異動主檔'!$B:$B,120,'01_異動主檔'!$D:$D,B566,'01_異動主檔'!$E:$E,"減列")</f>
        <v/>
      </c>
      <c r="I566" s="4">
        <f>-SUMIFS('01_異動主檔'!$F:$F,'01_異動主檔'!$B:$B,120,'01_異動主檔'!$D:$D,B566,'01_異動主檔'!$E:$E,"精簡")</f>
        <v/>
      </c>
      <c r="J566" s="10">
        <f>D566+E566+F566+G566+H566+I566</f>
        <v/>
      </c>
    </row>
    <row r="567" ht="18" customHeight="1">
      <c r="A567" s="4" t="inlineStr">
        <is>
          <t>C005</t>
        </is>
      </c>
      <c r="B567" s="3" t="inlineStr">
        <is>
          <t>台南分局</t>
        </is>
      </c>
      <c r="C567" s="4" t="n">
        <v>121</v>
      </c>
      <c r="D567" s="10">
        <f>J566</f>
        <v/>
      </c>
      <c r="E567" s="4">
        <f>SUMIFS('01_異動主檔'!$F:$F,'01_異動主檔'!$B:$B,121,'01_異動主檔'!$D:$D,B567,'01_異動主檔'!$E:$E,"移入")</f>
        <v/>
      </c>
      <c r="F567" s="4">
        <f>-SUMIFS('01_異動主檔'!$F:$F,'01_異動主檔'!$B:$B,121,'01_異動主檔'!$D:$D,B567,'01_異動主檔'!$E:$E,"移出")</f>
        <v/>
      </c>
      <c r="G567" s="4">
        <f>SUMIFS('01_異動主檔'!$F:$F,'01_異動主檔'!$B:$B,121,'01_異動主檔'!$D:$D,B567,'01_異動主檔'!$E:$E,"新增")</f>
        <v/>
      </c>
      <c r="H567" s="4">
        <f>-SUMIFS('01_異動主檔'!$F:$F,'01_異動主檔'!$B:$B,121,'01_異動主檔'!$D:$D,B567,'01_異動主檔'!$E:$E,"減列")</f>
        <v/>
      </c>
      <c r="I567" s="4">
        <f>-SUMIFS('01_異動主檔'!$F:$F,'01_異動主檔'!$B:$B,121,'01_異動主檔'!$D:$D,B567,'01_異動主檔'!$E:$E,"精簡")</f>
        <v/>
      </c>
      <c r="J567" s="10">
        <f>D567+E567+F567+G567+H567+I567</f>
        <v/>
      </c>
    </row>
    <row r="568" ht="18" customHeight="1">
      <c r="A568" s="6" t="inlineStr">
        <is>
          <t>C005</t>
        </is>
      </c>
      <c r="B568" s="5" t="inlineStr">
        <is>
          <t>台南分局</t>
        </is>
      </c>
      <c r="C568" s="6" t="n">
        <v>122</v>
      </c>
      <c r="D568" s="10">
        <f>J567</f>
        <v/>
      </c>
      <c r="E568" s="4">
        <f>SUMIFS('01_異動主檔'!$F:$F,'01_異動主檔'!$B:$B,122,'01_異動主檔'!$D:$D,B568,'01_異動主檔'!$E:$E,"移入")</f>
        <v/>
      </c>
      <c r="F568" s="4">
        <f>-SUMIFS('01_異動主檔'!$F:$F,'01_異動主檔'!$B:$B,122,'01_異動主檔'!$D:$D,B568,'01_異動主檔'!$E:$E,"移出")</f>
        <v/>
      </c>
      <c r="G568" s="4">
        <f>SUMIFS('01_異動主檔'!$F:$F,'01_異動主檔'!$B:$B,122,'01_異動主檔'!$D:$D,B568,'01_異動主檔'!$E:$E,"新增")</f>
        <v/>
      </c>
      <c r="H568" s="4">
        <f>-SUMIFS('01_異動主檔'!$F:$F,'01_異動主檔'!$B:$B,122,'01_異動主檔'!$D:$D,B568,'01_異動主檔'!$E:$E,"減列")</f>
        <v/>
      </c>
      <c r="I568" s="4">
        <f>-SUMIFS('01_異動主檔'!$F:$F,'01_異動主檔'!$B:$B,122,'01_異動主檔'!$D:$D,B568,'01_異動主檔'!$E:$E,"精簡")</f>
        <v/>
      </c>
      <c r="J568" s="10">
        <f>D568+E568+F568+G568+H568+I568</f>
        <v/>
      </c>
    </row>
    <row r="569" ht="18" customHeight="1">
      <c r="A569" s="4" t="inlineStr">
        <is>
          <t>C005</t>
        </is>
      </c>
      <c r="B569" s="3" t="inlineStr">
        <is>
          <t>台南分局</t>
        </is>
      </c>
      <c r="C569" s="4" t="n">
        <v>123</v>
      </c>
      <c r="D569" s="10">
        <f>J568</f>
        <v/>
      </c>
      <c r="E569" s="4">
        <f>SUMIFS('01_異動主檔'!$F:$F,'01_異動主檔'!$B:$B,123,'01_異動主檔'!$D:$D,B569,'01_異動主檔'!$E:$E,"移入")</f>
        <v/>
      </c>
      <c r="F569" s="4">
        <f>-SUMIFS('01_異動主檔'!$F:$F,'01_異動主檔'!$B:$B,123,'01_異動主檔'!$D:$D,B569,'01_異動主檔'!$E:$E,"移出")</f>
        <v/>
      </c>
      <c r="G569" s="4">
        <f>SUMIFS('01_異動主檔'!$F:$F,'01_異動主檔'!$B:$B,123,'01_異動主檔'!$D:$D,B569,'01_異動主檔'!$E:$E,"新增")</f>
        <v/>
      </c>
      <c r="H569" s="4">
        <f>-SUMIFS('01_異動主檔'!$F:$F,'01_異動主檔'!$B:$B,123,'01_異動主檔'!$D:$D,B569,'01_異動主檔'!$E:$E,"減列")</f>
        <v/>
      </c>
      <c r="I569" s="4">
        <f>-SUMIFS('01_異動主檔'!$F:$F,'01_異動主檔'!$B:$B,123,'01_異動主檔'!$D:$D,B569,'01_異動主檔'!$E:$E,"精簡")</f>
        <v/>
      </c>
      <c r="J569" s="10">
        <f>D569+E569+F569+G569+H569+I569</f>
        <v/>
      </c>
    </row>
    <row r="570" ht="18" customHeight="1">
      <c r="A570" s="6" t="inlineStr">
        <is>
          <t>C005</t>
        </is>
      </c>
      <c r="B570" s="5" t="inlineStr">
        <is>
          <t>台南分局</t>
        </is>
      </c>
      <c r="C570" s="6" t="n">
        <v>124</v>
      </c>
      <c r="D570" s="10">
        <f>J569</f>
        <v/>
      </c>
      <c r="E570" s="4">
        <f>SUMIFS('01_異動主檔'!$F:$F,'01_異動主檔'!$B:$B,124,'01_異動主檔'!$D:$D,B570,'01_異動主檔'!$E:$E,"移入")</f>
        <v/>
      </c>
      <c r="F570" s="4">
        <f>-SUMIFS('01_異動主檔'!$F:$F,'01_異動主檔'!$B:$B,124,'01_異動主檔'!$D:$D,B570,'01_異動主檔'!$E:$E,"移出")</f>
        <v/>
      </c>
      <c r="G570" s="4">
        <f>SUMIFS('01_異動主檔'!$F:$F,'01_異動主檔'!$B:$B,124,'01_異動主檔'!$D:$D,B570,'01_異動主檔'!$E:$E,"新增")</f>
        <v/>
      </c>
      <c r="H570" s="4">
        <f>-SUMIFS('01_異動主檔'!$F:$F,'01_異動主檔'!$B:$B,124,'01_異動主檔'!$D:$D,B570,'01_異動主檔'!$E:$E,"減列")</f>
        <v/>
      </c>
      <c r="I570" s="4">
        <f>-SUMIFS('01_異動主檔'!$F:$F,'01_異動主檔'!$B:$B,124,'01_異動主檔'!$D:$D,B570,'01_異動主檔'!$E:$E,"精簡")</f>
        <v/>
      </c>
      <c r="J570" s="10">
        <f>D570+E570+F570+G570+H570+I570</f>
        <v/>
      </c>
    </row>
    <row r="571" ht="18" customHeight="1">
      <c r="A571" s="4" t="inlineStr">
        <is>
          <t>C005</t>
        </is>
      </c>
      <c r="B571" s="3" t="inlineStr">
        <is>
          <t>台南分局</t>
        </is>
      </c>
      <c r="C571" s="4" t="n">
        <v>125</v>
      </c>
      <c r="D571" s="10">
        <f>J570</f>
        <v/>
      </c>
      <c r="E571" s="4">
        <f>SUMIFS('01_異動主檔'!$F:$F,'01_異動主檔'!$B:$B,125,'01_異動主檔'!$D:$D,B571,'01_異動主檔'!$E:$E,"移入")</f>
        <v/>
      </c>
      <c r="F571" s="4">
        <f>-SUMIFS('01_異動主檔'!$F:$F,'01_異動主檔'!$B:$B,125,'01_異動主檔'!$D:$D,B571,'01_異動主檔'!$E:$E,"移出")</f>
        <v/>
      </c>
      <c r="G571" s="4">
        <f>SUMIFS('01_異動主檔'!$F:$F,'01_異動主檔'!$B:$B,125,'01_異動主檔'!$D:$D,B571,'01_異動主檔'!$E:$E,"新增")</f>
        <v/>
      </c>
      <c r="H571" s="4">
        <f>-SUMIFS('01_異動主檔'!$F:$F,'01_異動主檔'!$B:$B,125,'01_異動主檔'!$D:$D,B571,'01_異動主檔'!$E:$E,"減列")</f>
        <v/>
      </c>
      <c r="I571" s="4">
        <f>-SUMIFS('01_異動主檔'!$F:$F,'01_異動主檔'!$B:$B,125,'01_異動主檔'!$D:$D,B571,'01_異動主檔'!$E:$E,"精簡")</f>
        <v/>
      </c>
      <c r="J571" s="10">
        <f>D571+E571+F571+G571+H571+I571</f>
        <v/>
      </c>
    </row>
    <row r="572" ht="18" customHeight="1">
      <c r="A572" s="6" t="inlineStr">
        <is>
          <t>C006</t>
        </is>
      </c>
      <c r="B572" s="5" t="inlineStr">
        <is>
          <t>高雄分局</t>
        </is>
      </c>
      <c r="C572" s="6" t="n">
        <v>99</v>
      </c>
      <c r="D572" s="10">
        <f>'02_年初員額設定'!C26</f>
        <v/>
      </c>
      <c r="E572" s="4">
        <f>SUMIFS('01_異動主檔'!$F:$F,'01_異動主檔'!$B:$B,99,'01_異動主檔'!$D:$D,B572,'01_異動主檔'!$E:$E,"移入")</f>
        <v/>
      </c>
      <c r="F572" s="4">
        <f>-SUMIFS('01_異動主檔'!$F:$F,'01_異動主檔'!$B:$B,99,'01_異動主檔'!$D:$D,B572,'01_異動主檔'!$E:$E,"移出")</f>
        <v/>
      </c>
      <c r="G572" s="4">
        <f>SUMIFS('01_異動主檔'!$F:$F,'01_異動主檔'!$B:$B,99,'01_異動主檔'!$D:$D,B572,'01_異動主檔'!$E:$E,"新增")</f>
        <v/>
      </c>
      <c r="H572" s="4">
        <f>-SUMIFS('01_異動主檔'!$F:$F,'01_異動主檔'!$B:$B,99,'01_異動主檔'!$D:$D,B572,'01_異動主檔'!$E:$E,"減列")</f>
        <v/>
      </c>
      <c r="I572" s="4">
        <f>-SUMIFS('01_異動主檔'!$F:$F,'01_異動主檔'!$B:$B,99,'01_異動主檔'!$D:$D,B572,'01_異動主檔'!$E:$E,"精簡")</f>
        <v/>
      </c>
      <c r="J572" s="10">
        <f>D572+E572+F572+G572+H572+I572</f>
        <v/>
      </c>
    </row>
    <row r="573" ht="18" customHeight="1">
      <c r="A573" s="4" t="inlineStr">
        <is>
          <t>C006</t>
        </is>
      </c>
      <c r="B573" s="3" t="inlineStr">
        <is>
          <t>高雄分局</t>
        </is>
      </c>
      <c r="C573" s="4" t="n">
        <v>100</v>
      </c>
      <c r="D573" s="10">
        <f>J572</f>
        <v/>
      </c>
      <c r="E573" s="4">
        <f>SUMIFS('01_異動主檔'!$F:$F,'01_異動主檔'!$B:$B,100,'01_異動主檔'!$D:$D,B573,'01_異動主檔'!$E:$E,"移入")</f>
        <v/>
      </c>
      <c r="F573" s="4">
        <f>-SUMIFS('01_異動主檔'!$F:$F,'01_異動主檔'!$B:$B,100,'01_異動主檔'!$D:$D,B573,'01_異動主檔'!$E:$E,"移出")</f>
        <v/>
      </c>
      <c r="G573" s="4">
        <f>SUMIFS('01_異動主檔'!$F:$F,'01_異動主檔'!$B:$B,100,'01_異動主檔'!$D:$D,B573,'01_異動主檔'!$E:$E,"新增")</f>
        <v/>
      </c>
      <c r="H573" s="4">
        <f>-SUMIFS('01_異動主檔'!$F:$F,'01_異動主檔'!$B:$B,100,'01_異動主檔'!$D:$D,B573,'01_異動主檔'!$E:$E,"減列")</f>
        <v/>
      </c>
      <c r="I573" s="4">
        <f>-SUMIFS('01_異動主檔'!$F:$F,'01_異動主檔'!$B:$B,100,'01_異動主檔'!$D:$D,B573,'01_異動主檔'!$E:$E,"精簡")</f>
        <v/>
      </c>
      <c r="J573" s="10">
        <f>D573+E573+F573+G573+H573+I573</f>
        <v/>
      </c>
    </row>
    <row r="574" ht="18" customHeight="1">
      <c r="A574" s="6" t="inlineStr">
        <is>
          <t>C006</t>
        </is>
      </c>
      <c r="B574" s="5" t="inlineStr">
        <is>
          <t>高雄分局</t>
        </is>
      </c>
      <c r="C574" s="6" t="n">
        <v>101</v>
      </c>
      <c r="D574" s="10">
        <f>J573</f>
        <v/>
      </c>
      <c r="E574" s="4">
        <f>SUMIFS('01_異動主檔'!$F:$F,'01_異動主檔'!$B:$B,101,'01_異動主檔'!$D:$D,B574,'01_異動主檔'!$E:$E,"移入")</f>
        <v/>
      </c>
      <c r="F574" s="4">
        <f>-SUMIFS('01_異動主檔'!$F:$F,'01_異動主檔'!$B:$B,101,'01_異動主檔'!$D:$D,B574,'01_異動主檔'!$E:$E,"移出")</f>
        <v/>
      </c>
      <c r="G574" s="4">
        <f>SUMIFS('01_異動主檔'!$F:$F,'01_異動主檔'!$B:$B,101,'01_異動主檔'!$D:$D,B574,'01_異動主檔'!$E:$E,"新增")</f>
        <v/>
      </c>
      <c r="H574" s="4">
        <f>-SUMIFS('01_異動主檔'!$F:$F,'01_異動主檔'!$B:$B,101,'01_異動主檔'!$D:$D,B574,'01_異動主檔'!$E:$E,"減列")</f>
        <v/>
      </c>
      <c r="I574" s="4">
        <f>-SUMIFS('01_異動主檔'!$F:$F,'01_異動主檔'!$B:$B,101,'01_異動主檔'!$D:$D,B574,'01_異動主檔'!$E:$E,"精簡")</f>
        <v/>
      </c>
      <c r="J574" s="10">
        <f>D574+E574+F574+G574+H574+I574</f>
        <v/>
      </c>
    </row>
    <row r="575" ht="18" customHeight="1">
      <c r="A575" s="4" t="inlineStr">
        <is>
          <t>C006</t>
        </is>
      </c>
      <c r="B575" s="3" t="inlineStr">
        <is>
          <t>高雄分局</t>
        </is>
      </c>
      <c r="C575" s="4" t="n">
        <v>102</v>
      </c>
      <c r="D575" s="10">
        <f>J574</f>
        <v/>
      </c>
      <c r="E575" s="4">
        <f>SUMIFS('01_異動主檔'!$F:$F,'01_異動主檔'!$B:$B,102,'01_異動主檔'!$D:$D,B575,'01_異動主檔'!$E:$E,"移入")</f>
        <v/>
      </c>
      <c r="F575" s="4">
        <f>-SUMIFS('01_異動主檔'!$F:$F,'01_異動主檔'!$B:$B,102,'01_異動主檔'!$D:$D,B575,'01_異動主檔'!$E:$E,"移出")</f>
        <v/>
      </c>
      <c r="G575" s="4">
        <f>SUMIFS('01_異動主檔'!$F:$F,'01_異動主檔'!$B:$B,102,'01_異動主檔'!$D:$D,B575,'01_異動主檔'!$E:$E,"新增")</f>
        <v/>
      </c>
      <c r="H575" s="4">
        <f>-SUMIFS('01_異動主檔'!$F:$F,'01_異動主檔'!$B:$B,102,'01_異動主檔'!$D:$D,B575,'01_異動主檔'!$E:$E,"減列")</f>
        <v/>
      </c>
      <c r="I575" s="4">
        <f>-SUMIFS('01_異動主檔'!$F:$F,'01_異動主檔'!$B:$B,102,'01_異動主檔'!$D:$D,B575,'01_異動主檔'!$E:$E,"精簡")</f>
        <v/>
      </c>
      <c r="J575" s="10">
        <f>D575+E575+F575+G575+H575+I575</f>
        <v/>
      </c>
    </row>
    <row r="576" ht="18" customHeight="1">
      <c r="A576" s="6" t="inlineStr">
        <is>
          <t>C006</t>
        </is>
      </c>
      <c r="B576" s="5" t="inlineStr">
        <is>
          <t>高雄分局</t>
        </is>
      </c>
      <c r="C576" s="6" t="n">
        <v>103</v>
      </c>
      <c r="D576" s="10">
        <f>J575</f>
        <v/>
      </c>
      <c r="E576" s="4">
        <f>SUMIFS('01_異動主檔'!$F:$F,'01_異動主檔'!$B:$B,103,'01_異動主檔'!$D:$D,B576,'01_異動主檔'!$E:$E,"移入")</f>
        <v/>
      </c>
      <c r="F576" s="4">
        <f>-SUMIFS('01_異動主檔'!$F:$F,'01_異動主檔'!$B:$B,103,'01_異動主檔'!$D:$D,B576,'01_異動主檔'!$E:$E,"移出")</f>
        <v/>
      </c>
      <c r="G576" s="4">
        <f>SUMIFS('01_異動主檔'!$F:$F,'01_異動主檔'!$B:$B,103,'01_異動主檔'!$D:$D,B576,'01_異動主檔'!$E:$E,"新增")</f>
        <v/>
      </c>
      <c r="H576" s="4">
        <f>-SUMIFS('01_異動主檔'!$F:$F,'01_異動主檔'!$B:$B,103,'01_異動主檔'!$D:$D,B576,'01_異動主檔'!$E:$E,"減列")</f>
        <v/>
      </c>
      <c r="I576" s="4">
        <f>-SUMIFS('01_異動主檔'!$F:$F,'01_異動主檔'!$B:$B,103,'01_異動主檔'!$D:$D,B576,'01_異動主檔'!$E:$E,"精簡")</f>
        <v/>
      </c>
      <c r="J576" s="10">
        <f>D576+E576+F576+G576+H576+I576</f>
        <v/>
      </c>
    </row>
    <row r="577" ht="18" customHeight="1">
      <c r="A577" s="4" t="inlineStr">
        <is>
          <t>C006</t>
        </is>
      </c>
      <c r="B577" s="3" t="inlineStr">
        <is>
          <t>高雄分局</t>
        </is>
      </c>
      <c r="C577" s="4" t="n">
        <v>104</v>
      </c>
      <c r="D577" s="10">
        <f>J576</f>
        <v/>
      </c>
      <c r="E577" s="4">
        <f>SUMIFS('01_異動主檔'!$F:$F,'01_異動主檔'!$B:$B,104,'01_異動主檔'!$D:$D,B577,'01_異動主檔'!$E:$E,"移入")</f>
        <v/>
      </c>
      <c r="F577" s="4">
        <f>-SUMIFS('01_異動主檔'!$F:$F,'01_異動主檔'!$B:$B,104,'01_異動主檔'!$D:$D,B577,'01_異動主檔'!$E:$E,"移出")</f>
        <v/>
      </c>
      <c r="G577" s="4">
        <f>SUMIFS('01_異動主檔'!$F:$F,'01_異動主檔'!$B:$B,104,'01_異動主檔'!$D:$D,B577,'01_異動主檔'!$E:$E,"新增")</f>
        <v/>
      </c>
      <c r="H577" s="4">
        <f>-SUMIFS('01_異動主檔'!$F:$F,'01_異動主檔'!$B:$B,104,'01_異動主檔'!$D:$D,B577,'01_異動主檔'!$E:$E,"減列")</f>
        <v/>
      </c>
      <c r="I577" s="4">
        <f>-SUMIFS('01_異動主檔'!$F:$F,'01_異動主檔'!$B:$B,104,'01_異動主檔'!$D:$D,B577,'01_異動主檔'!$E:$E,"精簡")</f>
        <v/>
      </c>
      <c r="J577" s="10">
        <f>D577+E577+F577+G577+H577+I577</f>
        <v/>
      </c>
    </row>
    <row r="578" ht="18" customHeight="1">
      <c r="A578" s="6" t="inlineStr">
        <is>
          <t>C006</t>
        </is>
      </c>
      <c r="B578" s="5" t="inlineStr">
        <is>
          <t>高雄分局</t>
        </is>
      </c>
      <c r="C578" s="6" t="n">
        <v>105</v>
      </c>
      <c r="D578" s="10">
        <f>J577</f>
        <v/>
      </c>
      <c r="E578" s="4">
        <f>SUMIFS('01_異動主檔'!$F:$F,'01_異動主檔'!$B:$B,105,'01_異動主檔'!$D:$D,B578,'01_異動主檔'!$E:$E,"移入")</f>
        <v/>
      </c>
      <c r="F578" s="4">
        <f>-SUMIFS('01_異動主檔'!$F:$F,'01_異動主檔'!$B:$B,105,'01_異動主檔'!$D:$D,B578,'01_異動主檔'!$E:$E,"移出")</f>
        <v/>
      </c>
      <c r="G578" s="4">
        <f>SUMIFS('01_異動主檔'!$F:$F,'01_異動主檔'!$B:$B,105,'01_異動主檔'!$D:$D,B578,'01_異動主檔'!$E:$E,"新增")</f>
        <v/>
      </c>
      <c r="H578" s="4">
        <f>-SUMIFS('01_異動主檔'!$F:$F,'01_異動主檔'!$B:$B,105,'01_異動主檔'!$D:$D,B578,'01_異動主檔'!$E:$E,"減列")</f>
        <v/>
      </c>
      <c r="I578" s="4">
        <f>-SUMIFS('01_異動主檔'!$F:$F,'01_異動主檔'!$B:$B,105,'01_異動主檔'!$D:$D,B578,'01_異動主檔'!$E:$E,"精簡")</f>
        <v/>
      </c>
      <c r="J578" s="10">
        <f>D578+E578+F578+G578+H578+I578</f>
        <v/>
      </c>
    </row>
    <row r="579" ht="18" customHeight="1">
      <c r="A579" s="4" t="inlineStr">
        <is>
          <t>C006</t>
        </is>
      </c>
      <c r="B579" s="3" t="inlineStr">
        <is>
          <t>高雄分局</t>
        </is>
      </c>
      <c r="C579" s="4" t="n">
        <v>106</v>
      </c>
      <c r="D579" s="10">
        <f>J578</f>
        <v/>
      </c>
      <c r="E579" s="4">
        <f>SUMIFS('01_異動主檔'!$F:$F,'01_異動主檔'!$B:$B,106,'01_異動主檔'!$D:$D,B579,'01_異動主檔'!$E:$E,"移入")</f>
        <v/>
      </c>
      <c r="F579" s="4">
        <f>-SUMIFS('01_異動主檔'!$F:$F,'01_異動主檔'!$B:$B,106,'01_異動主檔'!$D:$D,B579,'01_異動主檔'!$E:$E,"移出")</f>
        <v/>
      </c>
      <c r="G579" s="4">
        <f>SUMIFS('01_異動主檔'!$F:$F,'01_異動主檔'!$B:$B,106,'01_異動主檔'!$D:$D,B579,'01_異動主檔'!$E:$E,"新增")</f>
        <v/>
      </c>
      <c r="H579" s="4">
        <f>-SUMIFS('01_異動主檔'!$F:$F,'01_異動主檔'!$B:$B,106,'01_異動主檔'!$D:$D,B579,'01_異動主檔'!$E:$E,"減列")</f>
        <v/>
      </c>
      <c r="I579" s="4">
        <f>-SUMIFS('01_異動主檔'!$F:$F,'01_異動主檔'!$B:$B,106,'01_異動主檔'!$D:$D,B579,'01_異動主檔'!$E:$E,"精簡")</f>
        <v/>
      </c>
      <c r="J579" s="10">
        <f>D579+E579+F579+G579+H579+I579</f>
        <v/>
      </c>
    </row>
    <row r="580" ht="18" customHeight="1">
      <c r="A580" s="6" t="inlineStr">
        <is>
          <t>C006</t>
        </is>
      </c>
      <c r="B580" s="5" t="inlineStr">
        <is>
          <t>高雄分局</t>
        </is>
      </c>
      <c r="C580" s="6" t="n">
        <v>107</v>
      </c>
      <c r="D580" s="10">
        <f>J579</f>
        <v/>
      </c>
      <c r="E580" s="4">
        <f>SUMIFS('01_異動主檔'!$F:$F,'01_異動主檔'!$B:$B,107,'01_異動主檔'!$D:$D,B580,'01_異動主檔'!$E:$E,"移入")</f>
        <v/>
      </c>
      <c r="F580" s="4">
        <f>-SUMIFS('01_異動主檔'!$F:$F,'01_異動主檔'!$B:$B,107,'01_異動主檔'!$D:$D,B580,'01_異動主檔'!$E:$E,"移出")</f>
        <v/>
      </c>
      <c r="G580" s="4">
        <f>SUMIFS('01_異動主檔'!$F:$F,'01_異動主檔'!$B:$B,107,'01_異動主檔'!$D:$D,B580,'01_異動主檔'!$E:$E,"新增")</f>
        <v/>
      </c>
      <c r="H580" s="4">
        <f>-SUMIFS('01_異動主檔'!$F:$F,'01_異動主檔'!$B:$B,107,'01_異動主檔'!$D:$D,B580,'01_異動主檔'!$E:$E,"減列")</f>
        <v/>
      </c>
      <c r="I580" s="4">
        <f>-SUMIFS('01_異動主檔'!$F:$F,'01_異動主檔'!$B:$B,107,'01_異動主檔'!$D:$D,B580,'01_異動主檔'!$E:$E,"精簡")</f>
        <v/>
      </c>
      <c r="J580" s="10">
        <f>D580+E580+F580+G580+H580+I580</f>
        <v/>
      </c>
    </row>
    <row r="581" ht="18" customHeight="1">
      <c r="A581" s="4" t="inlineStr">
        <is>
          <t>C006</t>
        </is>
      </c>
      <c r="B581" s="3" t="inlineStr">
        <is>
          <t>高雄分局</t>
        </is>
      </c>
      <c r="C581" s="4" t="n">
        <v>108</v>
      </c>
      <c r="D581" s="10">
        <f>J580</f>
        <v/>
      </c>
      <c r="E581" s="4">
        <f>SUMIFS('01_異動主檔'!$F:$F,'01_異動主檔'!$B:$B,108,'01_異動主檔'!$D:$D,B581,'01_異動主檔'!$E:$E,"移入")</f>
        <v/>
      </c>
      <c r="F581" s="4">
        <f>-SUMIFS('01_異動主檔'!$F:$F,'01_異動主檔'!$B:$B,108,'01_異動主檔'!$D:$D,B581,'01_異動主檔'!$E:$E,"移出")</f>
        <v/>
      </c>
      <c r="G581" s="4">
        <f>SUMIFS('01_異動主檔'!$F:$F,'01_異動主檔'!$B:$B,108,'01_異動主檔'!$D:$D,B581,'01_異動主檔'!$E:$E,"新增")</f>
        <v/>
      </c>
      <c r="H581" s="4">
        <f>-SUMIFS('01_異動主檔'!$F:$F,'01_異動主檔'!$B:$B,108,'01_異動主檔'!$D:$D,B581,'01_異動主檔'!$E:$E,"減列")</f>
        <v/>
      </c>
      <c r="I581" s="4">
        <f>-SUMIFS('01_異動主檔'!$F:$F,'01_異動主檔'!$B:$B,108,'01_異動主檔'!$D:$D,B581,'01_異動主檔'!$E:$E,"精簡")</f>
        <v/>
      </c>
      <c r="J581" s="10">
        <f>D581+E581+F581+G581+H581+I581</f>
        <v/>
      </c>
    </row>
    <row r="582" ht="18" customHeight="1">
      <c r="A582" s="6" t="inlineStr">
        <is>
          <t>C006</t>
        </is>
      </c>
      <c r="B582" s="5" t="inlineStr">
        <is>
          <t>高雄分局</t>
        </is>
      </c>
      <c r="C582" s="6" t="n">
        <v>109</v>
      </c>
      <c r="D582" s="10">
        <f>J581</f>
        <v/>
      </c>
      <c r="E582" s="4">
        <f>SUMIFS('01_異動主檔'!$F:$F,'01_異動主檔'!$B:$B,109,'01_異動主檔'!$D:$D,B582,'01_異動主檔'!$E:$E,"移入")</f>
        <v/>
      </c>
      <c r="F582" s="4">
        <f>-SUMIFS('01_異動主檔'!$F:$F,'01_異動主檔'!$B:$B,109,'01_異動主檔'!$D:$D,B582,'01_異動主檔'!$E:$E,"移出")</f>
        <v/>
      </c>
      <c r="G582" s="4">
        <f>SUMIFS('01_異動主檔'!$F:$F,'01_異動主檔'!$B:$B,109,'01_異動主檔'!$D:$D,B582,'01_異動主檔'!$E:$E,"新增")</f>
        <v/>
      </c>
      <c r="H582" s="4">
        <f>-SUMIFS('01_異動主檔'!$F:$F,'01_異動主檔'!$B:$B,109,'01_異動主檔'!$D:$D,B582,'01_異動主檔'!$E:$E,"減列")</f>
        <v/>
      </c>
      <c r="I582" s="4">
        <f>-SUMIFS('01_異動主檔'!$F:$F,'01_異動主檔'!$B:$B,109,'01_異動主檔'!$D:$D,B582,'01_異動主檔'!$E:$E,"精簡")</f>
        <v/>
      </c>
      <c r="J582" s="10">
        <f>D582+E582+F582+G582+H582+I582</f>
        <v/>
      </c>
    </row>
    <row r="583" ht="18" customHeight="1">
      <c r="A583" s="4" t="inlineStr">
        <is>
          <t>C006</t>
        </is>
      </c>
      <c r="B583" s="3" t="inlineStr">
        <is>
          <t>高雄分局</t>
        </is>
      </c>
      <c r="C583" s="4" t="n">
        <v>110</v>
      </c>
      <c r="D583" s="10">
        <f>J582</f>
        <v/>
      </c>
      <c r="E583" s="4">
        <f>SUMIFS('01_異動主檔'!$F:$F,'01_異動主檔'!$B:$B,110,'01_異動主檔'!$D:$D,B583,'01_異動主檔'!$E:$E,"移入")</f>
        <v/>
      </c>
      <c r="F583" s="4">
        <f>-SUMIFS('01_異動主檔'!$F:$F,'01_異動主檔'!$B:$B,110,'01_異動主檔'!$D:$D,B583,'01_異動主檔'!$E:$E,"移出")</f>
        <v/>
      </c>
      <c r="G583" s="4">
        <f>SUMIFS('01_異動主檔'!$F:$F,'01_異動主檔'!$B:$B,110,'01_異動主檔'!$D:$D,B583,'01_異動主檔'!$E:$E,"新增")</f>
        <v/>
      </c>
      <c r="H583" s="4">
        <f>-SUMIFS('01_異動主檔'!$F:$F,'01_異動主檔'!$B:$B,110,'01_異動主檔'!$D:$D,B583,'01_異動主檔'!$E:$E,"減列")</f>
        <v/>
      </c>
      <c r="I583" s="4">
        <f>-SUMIFS('01_異動主檔'!$F:$F,'01_異動主檔'!$B:$B,110,'01_異動主檔'!$D:$D,B583,'01_異動主檔'!$E:$E,"精簡")</f>
        <v/>
      </c>
      <c r="J583" s="10">
        <f>D583+E583+F583+G583+H583+I583</f>
        <v/>
      </c>
    </row>
    <row r="584" ht="18" customHeight="1">
      <c r="A584" s="6" t="inlineStr">
        <is>
          <t>C006</t>
        </is>
      </c>
      <c r="B584" s="5" t="inlineStr">
        <is>
          <t>高雄分局</t>
        </is>
      </c>
      <c r="C584" s="6" t="n">
        <v>111</v>
      </c>
      <c r="D584" s="10">
        <f>J583</f>
        <v/>
      </c>
      <c r="E584" s="4">
        <f>SUMIFS('01_異動主檔'!$F:$F,'01_異動主檔'!$B:$B,111,'01_異動主檔'!$D:$D,B584,'01_異動主檔'!$E:$E,"移入")</f>
        <v/>
      </c>
      <c r="F584" s="4">
        <f>-SUMIFS('01_異動主檔'!$F:$F,'01_異動主檔'!$B:$B,111,'01_異動主檔'!$D:$D,B584,'01_異動主檔'!$E:$E,"移出")</f>
        <v/>
      </c>
      <c r="G584" s="4">
        <f>SUMIFS('01_異動主檔'!$F:$F,'01_異動主檔'!$B:$B,111,'01_異動主檔'!$D:$D,B584,'01_異動主檔'!$E:$E,"新增")</f>
        <v/>
      </c>
      <c r="H584" s="4">
        <f>-SUMIFS('01_異動主檔'!$F:$F,'01_異動主檔'!$B:$B,111,'01_異動主檔'!$D:$D,B584,'01_異動主檔'!$E:$E,"減列")</f>
        <v/>
      </c>
      <c r="I584" s="4">
        <f>-SUMIFS('01_異動主檔'!$F:$F,'01_異動主檔'!$B:$B,111,'01_異動主檔'!$D:$D,B584,'01_異動主檔'!$E:$E,"精簡")</f>
        <v/>
      </c>
      <c r="J584" s="10">
        <f>D584+E584+F584+G584+H584+I584</f>
        <v/>
      </c>
    </row>
    <row r="585" ht="18" customHeight="1">
      <c r="A585" s="4" t="inlineStr">
        <is>
          <t>C006</t>
        </is>
      </c>
      <c r="B585" s="3" t="inlineStr">
        <is>
          <t>高雄分局</t>
        </is>
      </c>
      <c r="C585" s="4" t="n">
        <v>112</v>
      </c>
      <c r="D585" s="10">
        <f>J584</f>
        <v/>
      </c>
      <c r="E585" s="4">
        <f>SUMIFS('01_異動主檔'!$F:$F,'01_異動主檔'!$B:$B,112,'01_異動主檔'!$D:$D,B585,'01_異動主檔'!$E:$E,"移入")</f>
        <v/>
      </c>
      <c r="F585" s="4">
        <f>-SUMIFS('01_異動主檔'!$F:$F,'01_異動主檔'!$B:$B,112,'01_異動主檔'!$D:$D,B585,'01_異動主檔'!$E:$E,"移出")</f>
        <v/>
      </c>
      <c r="G585" s="4">
        <f>SUMIFS('01_異動主檔'!$F:$F,'01_異動主檔'!$B:$B,112,'01_異動主檔'!$D:$D,B585,'01_異動主檔'!$E:$E,"新增")</f>
        <v/>
      </c>
      <c r="H585" s="4">
        <f>-SUMIFS('01_異動主檔'!$F:$F,'01_異動主檔'!$B:$B,112,'01_異動主檔'!$D:$D,B585,'01_異動主檔'!$E:$E,"減列")</f>
        <v/>
      </c>
      <c r="I585" s="4">
        <f>-SUMIFS('01_異動主檔'!$F:$F,'01_異動主檔'!$B:$B,112,'01_異動主檔'!$D:$D,B585,'01_異動主檔'!$E:$E,"精簡")</f>
        <v/>
      </c>
      <c r="J585" s="10">
        <f>D585+E585+F585+G585+H585+I585</f>
        <v/>
      </c>
    </row>
    <row r="586" ht="18" customHeight="1">
      <c r="A586" s="6" t="inlineStr">
        <is>
          <t>C006</t>
        </is>
      </c>
      <c r="B586" s="5" t="inlineStr">
        <is>
          <t>高雄分局</t>
        </is>
      </c>
      <c r="C586" s="6" t="n">
        <v>113</v>
      </c>
      <c r="D586" s="10">
        <f>J585</f>
        <v/>
      </c>
      <c r="E586" s="4">
        <f>SUMIFS('01_異動主檔'!$F:$F,'01_異動主檔'!$B:$B,113,'01_異動主檔'!$D:$D,B586,'01_異動主檔'!$E:$E,"移入")</f>
        <v/>
      </c>
      <c r="F586" s="4">
        <f>-SUMIFS('01_異動主檔'!$F:$F,'01_異動主檔'!$B:$B,113,'01_異動主檔'!$D:$D,B586,'01_異動主檔'!$E:$E,"移出")</f>
        <v/>
      </c>
      <c r="G586" s="4">
        <f>SUMIFS('01_異動主檔'!$F:$F,'01_異動主檔'!$B:$B,113,'01_異動主檔'!$D:$D,B586,'01_異動主檔'!$E:$E,"新增")</f>
        <v/>
      </c>
      <c r="H586" s="4">
        <f>-SUMIFS('01_異動主檔'!$F:$F,'01_異動主檔'!$B:$B,113,'01_異動主檔'!$D:$D,B586,'01_異動主檔'!$E:$E,"減列")</f>
        <v/>
      </c>
      <c r="I586" s="4">
        <f>-SUMIFS('01_異動主檔'!$F:$F,'01_異動主檔'!$B:$B,113,'01_異動主檔'!$D:$D,B586,'01_異動主檔'!$E:$E,"精簡")</f>
        <v/>
      </c>
      <c r="J586" s="10">
        <f>D586+E586+F586+G586+H586+I586</f>
        <v/>
      </c>
    </row>
    <row r="587" ht="18" customHeight="1">
      <c r="A587" s="4" t="inlineStr">
        <is>
          <t>C006</t>
        </is>
      </c>
      <c r="B587" s="3" t="inlineStr">
        <is>
          <t>高雄分局</t>
        </is>
      </c>
      <c r="C587" s="4" t="n">
        <v>114</v>
      </c>
      <c r="D587" s="10">
        <f>J586</f>
        <v/>
      </c>
      <c r="E587" s="4">
        <f>SUMIFS('01_異動主檔'!$F:$F,'01_異動主檔'!$B:$B,114,'01_異動主檔'!$D:$D,B587,'01_異動主檔'!$E:$E,"移入")</f>
        <v/>
      </c>
      <c r="F587" s="4">
        <f>-SUMIFS('01_異動主檔'!$F:$F,'01_異動主檔'!$B:$B,114,'01_異動主檔'!$D:$D,B587,'01_異動主檔'!$E:$E,"移出")</f>
        <v/>
      </c>
      <c r="G587" s="4">
        <f>SUMIFS('01_異動主檔'!$F:$F,'01_異動主檔'!$B:$B,114,'01_異動主檔'!$D:$D,B587,'01_異動主檔'!$E:$E,"新增")</f>
        <v/>
      </c>
      <c r="H587" s="4">
        <f>-SUMIFS('01_異動主檔'!$F:$F,'01_異動主檔'!$B:$B,114,'01_異動主檔'!$D:$D,B587,'01_異動主檔'!$E:$E,"減列")</f>
        <v/>
      </c>
      <c r="I587" s="4">
        <f>-SUMIFS('01_異動主檔'!$F:$F,'01_異動主檔'!$B:$B,114,'01_異動主檔'!$D:$D,B587,'01_異動主檔'!$E:$E,"精簡")</f>
        <v/>
      </c>
      <c r="J587" s="10">
        <f>D587+E587+F587+G587+H587+I587</f>
        <v/>
      </c>
    </row>
    <row r="588" ht="18" customHeight="1">
      <c r="A588" s="6" t="inlineStr">
        <is>
          <t>C006</t>
        </is>
      </c>
      <c r="B588" s="5" t="inlineStr">
        <is>
          <t>高雄分局</t>
        </is>
      </c>
      <c r="C588" s="6" t="n">
        <v>115</v>
      </c>
      <c r="D588" s="10">
        <f>J587</f>
        <v/>
      </c>
      <c r="E588" s="4">
        <f>SUMIFS('01_異動主檔'!$F:$F,'01_異動主檔'!$B:$B,115,'01_異動主檔'!$D:$D,B588,'01_異動主檔'!$E:$E,"移入")</f>
        <v/>
      </c>
      <c r="F588" s="4">
        <f>-SUMIFS('01_異動主檔'!$F:$F,'01_異動主檔'!$B:$B,115,'01_異動主檔'!$D:$D,B588,'01_異動主檔'!$E:$E,"移出")</f>
        <v/>
      </c>
      <c r="G588" s="4">
        <f>SUMIFS('01_異動主檔'!$F:$F,'01_異動主檔'!$B:$B,115,'01_異動主檔'!$D:$D,B588,'01_異動主檔'!$E:$E,"新增")</f>
        <v/>
      </c>
      <c r="H588" s="4">
        <f>-SUMIFS('01_異動主檔'!$F:$F,'01_異動主檔'!$B:$B,115,'01_異動主檔'!$D:$D,B588,'01_異動主檔'!$E:$E,"減列")</f>
        <v/>
      </c>
      <c r="I588" s="4">
        <f>-SUMIFS('01_異動主檔'!$F:$F,'01_異動主檔'!$B:$B,115,'01_異動主檔'!$D:$D,B588,'01_異動主檔'!$E:$E,"精簡")</f>
        <v/>
      </c>
      <c r="J588" s="10">
        <f>D588+E588+F588+G588+H588+I588</f>
        <v/>
      </c>
    </row>
    <row r="589" ht="18" customHeight="1">
      <c r="A589" s="4" t="inlineStr">
        <is>
          <t>C006</t>
        </is>
      </c>
      <c r="B589" s="3" t="inlineStr">
        <is>
          <t>高雄分局</t>
        </is>
      </c>
      <c r="C589" s="4" t="n">
        <v>116</v>
      </c>
      <c r="D589" s="10">
        <f>J588</f>
        <v/>
      </c>
      <c r="E589" s="4">
        <f>SUMIFS('01_異動主檔'!$F:$F,'01_異動主檔'!$B:$B,116,'01_異動主檔'!$D:$D,B589,'01_異動主檔'!$E:$E,"移入")</f>
        <v/>
      </c>
      <c r="F589" s="4">
        <f>-SUMIFS('01_異動主檔'!$F:$F,'01_異動主檔'!$B:$B,116,'01_異動主檔'!$D:$D,B589,'01_異動主檔'!$E:$E,"移出")</f>
        <v/>
      </c>
      <c r="G589" s="4">
        <f>SUMIFS('01_異動主檔'!$F:$F,'01_異動主檔'!$B:$B,116,'01_異動主檔'!$D:$D,B589,'01_異動主檔'!$E:$E,"新增")</f>
        <v/>
      </c>
      <c r="H589" s="4">
        <f>-SUMIFS('01_異動主檔'!$F:$F,'01_異動主檔'!$B:$B,116,'01_異動主檔'!$D:$D,B589,'01_異動主檔'!$E:$E,"減列")</f>
        <v/>
      </c>
      <c r="I589" s="4">
        <f>-SUMIFS('01_異動主檔'!$F:$F,'01_異動主檔'!$B:$B,116,'01_異動主檔'!$D:$D,B589,'01_異動主檔'!$E:$E,"精簡")</f>
        <v/>
      </c>
      <c r="J589" s="10">
        <f>D589+E589+F589+G589+H589+I589</f>
        <v/>
      </c>
    </row>
    <row r="590" ht="18" customHeight="1">
      <c r="A590" s="6" t="inlineStr">
        <is>
          <t>C006</t>
        </is>
      </c>
      <c r="B590" s="5" t="inlineStr">
        <is>
          <t>高雄分局</t>
        </is>
      </c>
      <c r="C590" s="6" t="n">
        <v>117</v>
      </c>
      <c r="D590" s="10">
        <f>J589</f>
        <v/>
      </c>
      <c r="E590" s="4">
        <f>SUMIFS('01_異動主檔'!$F:$F,'01_異動主檔'!$B:$B,117,'01_異動主檔'!$D:$D,B590,'01_異動主檔'!$E:$E,"移入")</f>
        <v/>
      </c>
      <c r="F590" s="4">
        <f>-SUMIFS('01_異動主檔'!$F:$F,'01_異動主檔'!$B:$B,117,'01_異動主檔'!$D:$D,B590,'01_異動主檔'!$E:$E,"移出")</f>
        <v/>
      </c>
      <c r="G590" s="4">
        <f>SUMIFS('01_異動主檔'!$F:$F,'01_異動主檔'!$B:$B,117,'01_異動主檔'!$D:$D,B590,'01_異動主檔'!$E:$E,"新增")</f>
        <v/>
      </c>
      <c r="H590" s="4">
        <f>-SUMIFS('01_異動主檔'!$F:$F,'01_異動主檔'!$B:$B,117,'01_異動主檔'!$D:$D,B590,'01_異動主檔'!$E:$E,"減列")</f>
        <v/>
      </c>
      <c r="I590" s="4">
        <f>-SUMIFS('01_異動主檔'!$F:$F,'01_異動主檔'!$B:$B,117,'01_異動主檔'!$D:$D,B590,'01_異動主檔'!$E:$E,"精簡")</f>
        <v/>
      </c>
      <c r="J590" s="10">
        <f>D590+E590+F590+G590+H590+I590</f>
        <v/>
      </c>
    </row>
    <row r="591" ht="18" customHeight="1">
      <c r="A591" s="4" t="inlineStr">
        <is>
          <t>C006</t>
        </is>
      </c>
      <c r="B591" s="3" t="inlineStr">
        <is>
          <t>高雄分局</t>
        </is>
      </c>
      <c r="C591" s="4" t="n">
        <v>118</v>
      </c>
      <c r="D591" s="10">
        <f>J590</f>
        <v/>
      </c>
      <c r="E591" s="4">
        <f>SUMIFS('01_異動主檔'!$F:$F,'01_異動主檔'!$B:$B,118,'01_異動主檔'!$D:$D,B591,'01_異動主檔'!$E:$E,"移入")</f>
        <v/>
      </c>
      <c r="F591" s="4">
        <f>-SUMIFS('01_異動主檔'!$F:$F,'01_異動主檔'!$B:$B,118,'01_異動主檔'!$D:$D,B591,'01_異動主檔'!$E:$E,"移出")</f>
        <v/>
      </c>
      <c r="G591" s="4">
        <f>SUMIFS('01_異動主檔'!$F:$F,'01_異動主檔'!$B:$B,118,'01_異動主檔'!$D:$D,B591,'01_異動主檔'!$E:$E,"新增")</f>
        <v/>
      </c>
      <c r="H591" s="4">
        <f>-SUMIFS('01_異動主檔'!$F:$F,'01_異動主檔'!$B:$B,118,'01_異動主檔'!$D:$D,B591,'01_異動主檔'!$E:$E,"減列")</f>
        <v/>
      </c>
      <c r="I591" s="4">
        <f>-SUMIFS('01_異動主檔'!$F:$F,'01_異動主檔'!$B:$B,118,'01_異動主檔'!$D:$D,B591,'01_異動主檔'!$E:$E,"精簡")</f>
        <v/>
      </c>
      <c r="J591" s="10">
        <f>D591+E591+F591+G591+H591+I591</f>
        <v/>
      </c>
    </row>
    <row r="592" ht="18" customHeight="1">
      <c r="A592" s="6" t="inlineStr">
        <is>
          <t>C006</t>
        </is>
      </c>
      <c r="B592" s="5" t="inlineStr">
        <is>
          <t>高雄分局</t>
        </is>
      </c>
      <c r="C592" s="6" t="n">
        <v>119</v>
      </c>
      <c r="D592" s="10">
        <f>J591</f>
        <v/>
      </c>
      <c r="E592" s="4">
        <f>SUMIFS('01_異動主檔'!$F:$F,'01_異動主檔'!$B:$B,119,'01_異動主檔'!$D:$D,B592,'01_異動主檔'!$E:$E,"移入")</f>
        <v/>
      </c>
      <c r="F592" s="4">
        <f>-SUMIFS('01_異動主檔'!$F:$F,'01_異動主檔'!$B:$B,119,'01_異動主檔'!$D:$D,B592,'01_異動主檔'!$E:$E,"移出")</f>
        <v/>
      </c>
      <c r="G592" s="4">
        <f>SUMIFS('01_異動主檔'!$F:$F,'01_異動主檔'!$B:$B,119,'01_異動主檔'!$D:$D,B592,'01_異動主檔'!$E:$E,"新增")</f>
        <v/>
      </c>
      <c r="H592" s="4">
        <f>-SUMIFS('01_異動主檔'!$F:$F,'01_異動主檔'!$B:$B,119,'01_異動主檔'!$D:$D,B592,'01_異動主檔'!$E:$E,"減列")</f>
        <v/>
      </c>
      <c r="I592" s="4">
        <f>-SUMIFS('01_異動主檔'!$F:$F,'01_異動主檔'!$B:$B,119,'01_異動主檔'!$D:$D,B592,'01_異動主檔'!$E:$E,"精簡")</f>
        <v/>
      </c>
      <c r="J592" s="10">
        <f>D592+E592+F592+G592+H592+I592</f>
        <v/>
      </c>
    </row>
    <row r="593" ht="18" customHeight="1">
      <c r="A593" s="4" t="inlineStr">
        <is>
          <t>C006</t>
        </is>
      </c>
      <c r="B593" s="3" t="inlineStr">
        <is>
          <t>高雄分局</t>
        </is>
      </c>
      <c r="C593" s="4" t="n">
        <v>120</v>
      </c>
      <c r="D593" s="10">
        <f>J592</f>
        <v/>
      </c>
      <c r="E593" s="4">
        <f>SUMIFS('01_異動主檔'!$F:$F,'01_異動主檔'!$B:$B,120,'01_異動主檔'!$D:$D,B593,'01_異動主檔'!$E:$E,"移入")</f>
        <v/>
      </c>
      <c r="F593" s="4">
        <f>-SUMIFS('01_異動主檔'!$F:$F,'01_異動主檔'!$B:$B,120,'01_異動主檔'!$D:$D,B593,'01_異動主檔'!$E:$E,"移出")</f>
        <v/>
      </c>
      <c r="G593" s="4">
        <f>SUMIFS('01_異動主檔'!$F:$F,'01_異動主檔'!$B:$B,120,'01_異動主檔'!$D:$D,B593,'01_異動主檔'!$E:$E,"新增")</f>
        <v/>
      </c>
      <c r="H593" s="4">
        <f>-SUMIFS('01_異動主檔'!$F:$F,'01_異動主檔'!$B:$B,120,'01_異動主檔'!$D:$D,B593,'01_異動主檔'!$E:$E,"減列")</f>
        <v/>
      </c>
      <c r="I593" s="4">
        <f>-SUMIFS('01_異動主檔'!$F:$F,'01_異動主檔'!$B:$B,120,'01_異動主檔'!$D:$D,B593,'01_異動主檔'!$E:$E,"精簡")</f>
        <v/>
      </c>
      <c r="J593" s="10">
        <f>D593+E593+F593+G593+H593+I593</f>
        <v/>
      </c>
    </row>
    <row r="594" ht="18" customHeight="1">
      <c r="A594" s="6" t="inlineStr">
        <is>
          <t>C006</t>
        </is>
      </c>
      <c r="B594" s="5" t="inlineStr">
        <is>
          <t>高雄分局</t>
        </is>
      </c>
      <c r="C594" s="6" t="n">
        <v>121</v>
      </c>
      <c r="D594" s="10">
        <f>J593</f>
        <v/>
      </c>
      <c r="E594" s="4">
        <f>SUMIFS('01_異動主檔'!$F:$F,'01_異動主檔'!$B:$B,121,'01_異動主檔'!$D:$D,B594,'01_異動主檔'!$E:$E,"移入")</f>
        <v/>
      </c>
      <c r="F594" s="4">
        <f>-SUMIFS('01_異動主檔'!$F:$F,'01_異動主檔'!$B:$B,121,'01_異動主檔'!$D:$D,B594,'01_異動主檔'!$E:$E,"移出")</f>
        <v/>
      </c>
      <c r="G594" s="4">
        <f>SUMIFS('01_異動主檔'!$F:$F,'01_異動主檔'!$B:$B,121,'01_異動主檔'!$D:$D,B594,'01_異動主檔'!$E:$E,"新增")</f>
        <v/>
      </c>
      <c r="H594" s="4">
        <f>-SUMIFS('01_異動主檔'!$F:$F,'01_異動主檔'!$B:$B,121,'01_異動主檔'!$D:$D,B594,'01_異動主檔'!$E:$E,"減列")</f>
        <v/>
      </c>
      <c r="I594" s="4">
        <f>-SUMIFS('01_異動主檔'!$F:$F,'01_異動主檔'!$B:$B,121,'01_異動主檔'!$D:$D,B594,'01_異動主檔'!$E:$E,"精簡")</f>
        <v/>
      </c>
      <c r="J594" s="10">
        <f>D594+E594+F594+G594+H594+I594</f>
        <v/>
      </c>
    </row>
    <row r="595" ht="18" customHeight="1">
      <c r="A595" s="4" t="inlineStr">
        <is>
          <t>C006</t>
        </is>
      </c>
      <c r="B595" s="3" t="inlineStr">
        <is>
          <t>高雄分局</t>
        </is>
      </c>
      <c r="C595" s="4" t="n">
        <v>122</v>
      </c>
      <c r="D595" s="10">
        <f>J594</f>
        <v/>
      </c>
      <c r="E595" s="4">
        <f>SUMIFS('01_異動主檔'!$F:$F,'01_異動主檔'!$B:$B,122,'01_異動主檔'!$D:$D,B595,'01_異動主檔'!$E:$E,"移入")</f>
        <v/>
      </c>
      <c r="F595" s="4">
        <f>-SUMIFS('01_異動主檔'!$F:$F,'01_異動主檔'!$B:$B,122,'01_異動主檔'!$D:$D,B595,'01_異動主檔'!$E:$E,"移出")</f>
        <v/>
      </c>
      <c r="G595" s="4">
        <f>SUMIFS('01_異動主檔'!$F:$F,'01_異動主檔'!$B:$B,122,'01_異動主檔'!$D:$D,B595,'01_異動主檔'!$E:$E,"新增")</f>
        <v/>
      </c>
      <c r="H595" s="4">
        <f>-SUMIFS('01_異動主檔'!$F:$F,'01_異動主檔'!$B:$B,122,'01_異動主檔'!$D:$D,B595,'01_異動主檔'!$E:$E,"減列")</f>
        <v/>
      </c>
      <c r="I595" s="4">
        <f>-SUMIFS('01_異動主檔'!$F:$F,'01_異動主檔'!$B:$B,122,'01_異動主檔'!$D:$D,B595,'01_異動主檔'!$E:$E,"精簡")</f>
        <v/>
      </c>
      <c r="J595" s="10">
        <f>D595+E595+F595+G595+H595+I595</f>
        <v/>
      </c>
    </row>
    <row r="596" ht="18" customHeight="1">
      <c r="A596" s="6" t="inlineStr">
        <is>
          <t>C006</t>
        </is>
      </c>
      <c r="B596" s="5" t="inlineStr">
        <is>
          <t>高雄分局</t>
        </is>
      </c>
      <c r="C596" s="6" t="n">
        <v>123</v>
      </c>
      <c r="D596" s="10">
        <f>J595</f>
        <v/>
      </c>
      <c r="E596" s="4">
        <f>SUMIFS('01_異動主檔'!$F:$F,'01_異動主檔'!$B:$B,123,'01_異動主檔'!$D:$D,B596,'01_異動主檔'!$E:$E,"移入")</f>
        <v/>
      </c>
      <c r="F596" s="4">
        <f>-SUMIFS('01_異動主檔'!$F:$F,'01_異動主檔'!$B:$B,123,'01_異動主檔'!$D:$D,B596,'01_異動主檔'!$E:$E,"移出")</f>
        <v/>
      </c>
      <c r="G596" s="4">
        <f>SUMIFS('01_異動主檔'!$F:$F,'01_異動主檔'!$B:$B,123,'01_異動主檔'!$D:$D,B596,'01_異動主檔'!$E:$E,"新增")</f>
        <v/>
      </c>
      <c r="H596" s="4">
        <f>-SUMIFS('01_異動主檔'!$F:$F,'01_異動主檔'!$B:$B,123,'01_異動主檔'!$D:$D,B596,'01_異動主檔'!$E:$E,"減列")</f>
        <v/>
      </c>
      <c r="I596" s="4">
        <f>-SUMIFS('01_異動主檔'!$F:$F,'01_異動主檔'!$B:$B,123,'01_異動主檔'!$D:$D,B596,'01_異動主檔'!$E:$E,"精簡")</f>
        <v/>
      </c>
      <c r="J596" s="10">
        <f>D596+E596+F596+G596+H596+I596</f>
        <v/>
      </c>
    </row>
    <row r="597" ht="18" customHeight="1">
      <c r="A597" s="4" t="inlineStr">
        <is>
          <t>C006</t>
        </is>
      </c>
      <c r="B597" s="3" t="inlineStr">
        <is>
          <t>高雄分局</t>
        </is>
      </c>
      <c r="C597" s="4" t="n">
        <v>124</v>
      </c>
      <c r="D597" s="10">
        <f>J596</f>
        <v/>
      </c>
      <c r="E597" s="4">
        <f>SUMIFS('01_異動主檔'!$F:$F,'01_異動主檔'!$B:$B,124,'01_異動主檔'!$D:$D,B597,'01_異動主檔'!$E:$E,"移入")</f>
        <v/>
      </c>
      <c r="F597" s="4">
        <f>-SUMIFS('01_異動主檔'!$F:$F,'01_異動主檔'!$B:$B,124,'01_異動主檔'!$D:$D,B597,'01_異動主檔'!$E:$E,"移出")</f>
        <v/>
      </c>
      <c r="G597" s="4">
        <f>SUMIFS('01_異動主檔'!$F:$F,'01_異動主檔'!$B:$B,124,'01_異動主檔'!$D:$D,B597,'01_異動主檔'!$E:$E,"新增")</f>
        <v/>
      </c>
      <c r="H597" s="4">
        <f>-SUMIFS('01_異動主檔'!$F:$F,'01_異動主檔'!$B:$B,124,'01_異動主檔'!$D:$D,B597,'01_異動主檔'!$E:$E,"減列")</f>
        <v/>
      </c>
      <c r="I597" s="4">
        <f>-SUMIFS('01_異動主檔'!$F:$F,'01_異動主檔'!$B:$B,124,'01_異動主檔'!$D:$D,B597,'01_異動主檔'!$E:$E,"精簡")</f>
        <v/>
      </c>
      <c r="J597" s="10">
        <f>D597+E597+F597+G597+H597+I597</f>
        <v/>
      </c>
    </row>
    <row r="598" ht="18" customHeight="1">
      <c r="A598" s="6" t="inlineStr">
        <is>
          <t>C006</t>
        </is>
      </c>
      <c r="B598" s="5" t="inlineStr">
        <is>
          <t>高雄分局</t>
        </is>
      </c>
      <c r="C598" s="6" t="n">
        <v>125</v>
      </c>
      <c r="D598" s="10">
        <f>J597</f>
        <v/>
      </c>
      <c r="E598" s="4">
        <f>SUMIFS('01_異動主檔'!$F:$F,'01_異動主檔'!$B:$B,125,'01_異動主檔'!$D:$D,B598,'01_異動主檔'!$E:$E,"移入")</f>
        <v/>
      </c>
      <c r="F598" s="4">
        <f>-SUMIFS('01_異動主檔'!$F:$F,'01_異動主檔'!$B:$B,125,'01_異動主檔'!$D:$D,B598,'01_異動主檔'!$E:$E,"移出")</f>
        <v/>
      </c>
      <c r="G598" s="4">
        <f>SUMIFS('01_異動主檔'!$F:$F,'01_異動主檔'!$B:$B,125,'01_異動主檔'!$D:$D,B598,'01_異動主檔'!$E:$E,"新增")</f>
        <v/>
      </c>
      <c r="H598" s="4">
        <f>-SUMIFS('01_異動主檔'!$F:$F,'01_異動主檔'!$B:$B,125,'01_異動主檔'!$D:$D,B598,'01_異動主檔'!$E:$E,"減列")</f>
        <v/>
      </c>
      <c r="I598" s="4">
        <f>-SUMIFS('01_異動主檔'!$F:$F,'01_異動主檔'!$B:$B,125,'01_異動主檔'!$D:$D,B598,'01_異動主檔'!$E:$E,"精簡")</f>
        <v/>
      </c>
      <c r="J598" s="10">
        <f>D598+E598+F598+G598+H598+I598</f>
        <v/>
      </c>
    </row>
    <row r="599" ht="18" customHeight="1">
      <c r="A599" s="4" t="inlineStr">
        <is>
          <t>C007</t>
        </is>
      </c>
      <c r="B599" s="3" t="inlineStr">
        <is>
          <t>基隆分局</t>
        </is>
      </c>
      <c r="C599" s="4" t="n">
        <v>99</v>
      </c>
      <c r="D599" s="10">
        <f>'02_年初員額設定'!C27</f>
        <v/>
      </c>
      <c r="E599" s="4">
        <f>SUMIFS('01_異動主檔'!$F:$F,'01_異動主檔'!$B:$B,99,'01_異動主檔'!$D:$D,B599,'01_異動主檔'!$E:$E,"移入")</f>
        <v/>
      </c>
      <c r="F599" s="4">
        <f>-SUMIFS('01_異動主檔'!$F:$F,'01_異動主檔'!$B:$B,99,'01_異動主檔'!$D:$D,B599,'01_異動主檔'!$E:$E,"移出")</f>
        <v/>
      </c>
      <c r="G599" s="4">
        <f>SUMIFS('01_異動主檔'!$F:$F,'01_異動主檔'!$B:$B,99,'01_異動主檔'!$D:$D,B599,'01_異動主檔'!$E:$E,"新增")</f>
        <v/>
      </c>
      <c r="H599" s="4">
        <f>-SUMIFS('01_異動主檔'!$F:$F,'01_異動主檔'!$B:$B,99,'01_異動主檔'!$D:$D,B599,'01_異動主檔'!$E:$E,"減列")</f>
        <v/>
      </c>
      <c r="I599" s="4">
        <f>-SUMIFS('01_異動主檔'!$F:$F,'01_異動主檔'!$B:$B,99,'01_異動主檔'!$D:$D,B599,'01_異動主檔'!$E:$E,"精簡")</f>
        <v/>
      </c>
      <c r="J599" s="10">
        <f>D599+E599+F599+G599+H599+I599</f>
        <v/>
      </c>
    </row>
    <row r="600" ht="18" customHeight="1">
      <c r="A600" s="6" t="inlineStr">
        <is>
          <t>C007</t>
        </is>
      </c>
      <c r="B600" s="5" t="inlineStr">
        <is>
          <t>基隆分局</t>
        </is>
      </c>
      <c r="C600" s="6" t="n">
        <v>100</v>
      </c>
      <c r="D600" s="10">
        <f>J599</f>
        <v/>
      </c>
      <c r="E600" s="4">
        <f>SUMIFS('01_異動主檔'!$F:$F,'01_異動主檔'!$B:$B,100,'01_異動主檔'!$D:$D,B600,'01_異動主檔'!$E:$E,"移入")</f>
        <v/>
      </c>
      <c r="F600" s="4">
        <f>-SUMIFS('01_異動主檔'!$F:$F,'01_異動主檔'!$B:$B,100,'01_異動主檔'!$D:$D,B600,'01_異動主檔'!$E:$E,"移出")</f>
        <v/>
      </c>
      <c r="G600" s="4">
        <f>SUMIFS('01_異動主檔'!$F:$F,'01_異動主檔'!$B:$B,100,'01_異動主檔'!$D:$D,B600,'01_異動主檔'!$E:$E,"新增")</f>
        <v/>
      </c>
      <c r="H600" s="4">
        <f>-SUMIFS('01_異動主檔'!$F:$F,'01_異動主檔'!$B:$B,100,'01_異動主檔'!$D:$D,B600,'01_異動主檔'!$E:$E,"減列")</f>
        <v/>
      </c>
      <c r="I600" s="4">
        <f>-SUMIFS('01_異動主檔'!$F:$F,'01_異動主檔'!$B:$B,100,'01_異動主檔'!$D:$D,B600,'01_異動主檔'!$E:$E,"精簡")</f>
        <v/>
      </c>
      <c r="J600" s="10">
        <f>D600+E600+F600+G600+H600+I600</f>
        <v/>
      </c>
    </row>
    <row r="601" ht="18" customHeight="1">
      <c r="A601" s="4" t="inlineStr">
        <is>
          <t>C007</t>
        </is>
      </c>
      <c r="B601" s="3" t="inlineStr">
        <is>
          <t>基隆分局</t>
        </is>
      </c>
      <c r="C601" s="4" t="n">
        <v>101</v>
      </c>
      <c r="D601" s="10">
        <f>J600</f>
        <v/>
      </c>
      <c r="E601" s="4">
        <f>SUMIFS('01_異動主檔'!$F:$F,'01_異動主檔'!$B:$B,101,'01_異動主檔'!$D:$D,B601,'01_異動主檔'!$E:$E,"移入")</f>
        <v/>
      </c>
      <c r="F601" s="4">
        <f>-SUMIFS('01_異動主檔'!$F:$F,'01_異動主檔'!$B:$B,101,'01_異動主檔'!$D:$D,B601,'01_異動主檔'!$E:$E,"移出")</f>
        <v/>
      </c>
      <c r="G601" s="4">
        <f>SUMIFS('01_異動主檔'!$F:$F,'01_異動主檔'!$B:$B,101,'01_異動主檔'!$D:$D,B601,'01_異動主檔'!$E:$E,"新增")</f>
        <v/>
      </c>
      <c r="H601" s="4">
        <f>-SUMIFS('01_異動主檔'!$F:$F,'01_異動主檔'!$B:$B,101,'01_異動主檔'!$D:$D,B601,'01_異動主檔'!$E:$E,"減列")</f>
        <v/>
      </c>
      <c r="I601" s="4">
        <f>-SUMIFS('01_異動主檔'!$F:$F,'01_異動主檔'!$B:$B,101,'01_異動主檔'!$D:$D,B601,'01_異動主檔'!$E:$E,"精簡")</f>
        <v/>
      </c>
      <c r="J601" s="10">
        <f>D601+E601+F601+G601+H601+I601</f>
        <v/>
      </c>
    </row>
    <row r="602" ht="18" customHeight="1">
      <c r="A602" s="6" t="inlineStr">
        <is>
          <t>C007</t>
        </is>
      </c>
      <c r="B602" s="5" t="inlineStr">
        <is>
          <t>基隆分局</t>
        </is>
      </c>
      <c r="C602" s="6" t="n">
        <v>102</v>
      </c>
      <c r="D602" s="10">
        <f>J601</f>
        <v/>
      </c>
      <c r="E602" s="4">
        <f>SUMIFS('01_異動主檔'!$F:$F,'01_異動主檔'!$B:$B,102,'01_異動主檔'!$D:$D,B602,'01_異動主檔'!$E:$E,"移入")</f>
        <v/>
      </c>
      <c r="F602" s="4">
        <f>-SUMIFS('01_異動主檔'!$F:$F,'01_異動主檔'!$B:$B,102,'01_異動主檔'!$D:$D,B602,'01_異動主檔'!$E:$E,"移出")</f>
        <v/>
      </c>
      <c r="G602" s="4">
        <f>SUMIFS('01_異動主檔'!$F:$F,'01_異動主檔'!$B:$B,102,'01_異動主檔'!$D:$D,B602,'01_異動主檔'!$E:$E,"新增")</f>
        <v/>
      </c>
      <c r="H602" s="4">
        <f>-SUMIFS('01_異動主檔'!$F:$F,'01_異動主檔'!$B:$B,102,'01_異動主檔'!$D:$D,B602,'01_異動主檔'!$E:$E,"減列")</f>
        <v/>
      </c>
      <c r="I602" s="4">
        <f>-SUMIFS('01_異動主檔'!$F:$F,'01_異動主檔'!$B:$B,102,'01_異動主檔'!$D:$D,B602,'01_異動主檔'!$E:$E,"精簡")</f>
        <v/>
      </c>
      <c r="J602" s="10">
        <f>D602+E602+F602+G602+H602+I602</f>
        <v/>
      </c>
    </row>
    <row r="603" ht="18" customHeight="1">
      <c r="A603" s="4" t="inlineStr">
        <is>
          <t>C007</t>
        </is>
      </c>
      <c r="B603" s="3" t="inlineStr">
        <is>
          <t>基隆分局</t>
        </is>
      </c>
      <c r="C603" s="4" t="n">
        <v>103</v>
      </c>
      <c r="D603" s="10">
        <f>J602</f>
        <v/>
      </c>
      <c r="E603" s="4">
        <f>SUMIFS('01_異動主檔'!$F:$F,'01_異動主檔'!$B:$B,103,'01_異動主檔'!$D:$D,B603,'01_異動主檔'!$E:$E,"移入")</f>
        <v/>
      </c>
      <c r="F603" s="4">
        <f>-SUMIFS('01_異動主檔'!$F:$F,'01_異動主檔'!$B:$B,103,'01_異動主檔'!$D:$D,B603,'01_異動主檔'!$E:$E,"移出")</f>
        <v/>
      </c>
      <c r="G603" s="4">
        <f>SUMIFS('01_異動主檔'!$F:$F,'01_異動主檔'!$B:$B,103,'01_異動主檔'!$D:$D,B603,'01_異動主檔'!$E:$E,"新增")</f>
        <v/>
      </c>
      <c r="H603" s="4">
        <f>-SUMIFS('01_異動主檔'!$F:$F,'01_異動主檔'!$B:$B,103,'01_異動主檔'!$D:$D,B603,'01_異動主檔'!$E:$E,"減列")</f>
        <v/>
      </c>
      <c r="I603" s="4">
        <f>-SUMIFS('01_異動主檔'!$F:$F,'01_異動主檔'!$B:$B,103,'01_異動主檔'!$D:$D,B603,'01_異動主檔'!$E:$E,"精簡")</f>
        <v/>
      </c>
      <c r="J603" s="10">
        <f>D603+E603+F603+G603+H603+I603</f>
        <v/>
      </c>
    </row>
    <row r="604" ht="18" customHeight="1">
      <c r="A604" s="6" t="inlineStr">
        <is>
          <t>C007</t>
        </is>
      </c>
      <c r="B604" s="5" t="inlineStr">
        <is>
          <t>基隆分局</t>
        </is>
      </c>
      <c r="C604" s="6" t="n">
        <v>104</v>
      </c>
      <c r="D604" s="10">
        <f>J603</f>
        <v/>
      </c>
      <c r="E604" s="4">
        <f>SUMIFS('01_異動主檔'!$F:$F,'01_異動主檔'!$B:$B,104,'01_異動主檔'!$D:$D,B604,'01_異動主檔'!$E:$E,"移入")</f>
        <v/>
      </c>
      <c r="F604" s="4">
        <f>-SUMIFS('01_異動主檔'!$F:$F,'01_異動主檔'!$B:$B,104,'01_異動主檔'!$D:$D,B604,'01_異動主檔'!$E:$E,"移出")</f>
        <v/>
      </c>
      <c r="G604" s="4">
        <f>SUMIFS('01_異動主檔'!$F:$F,'01_異動主檔'!$B:$B,104,'01_異動主檔'!$D:$D,B604,'01_異動主檔'!$E:$E,"新增")</f>
        <v/>
      </c>
      <c r="H604" s="4">
        <f>-SUMIFS('01_異動主檔'!$F:$F,'01_異動主檔'!$B:$B,104,'01_異動主檔'!$D:$D,B604,'01_異動主檔'!$E:$E,"減列")</f>
        <v/>
      </c>
      <c r="I604" s="4">
        <f>-SUMIFS('01_異動主檔'!$F:$F,'01_異動主檔'!$B:$B,104,'01_異動主檔'!$D:$D,B604,'01_異動主檔'!$E:$E,"精簡")</f>
        <v/>
      </c>
      <c r="J604" s="10">
        <f>D604+E604+F604+G604+H604+I604</f>
        <v/>
      </c>
    </row>
    <row r="605" ht="18" customHeight="1">
      <c r="A605" s="4" t="inlineStr">
        <is>
          <t>C007</t>
        </is>
      </c>
      <c r="B605" s="3" t="inlineStr">
        <is>
          <t>基隆分局</t>
        </is>
      </c>
      <c r="C605" s="4" t="n">
        <v>105</v>
      </c>
      <c r="D605" s="10">
        <f>J604</f>
        <v/>
      </c>
      <c r="E605" s="4">
        <f>SUMIFS('01_異動主檔'!$F:$F,'01_異動主檔'!$B:$B,105,'01_異動主檔'!$D:$D,B605,'01_異動主檔'!$E:$E,"移入")</f>
        <v/>
      </c>
      <c r="F605" s="4">
        <f>-SUMIFS('01_異動主檔'!$F:$F,'01_異動主檔'!$B:$B,105,'01_異動主檔'!$D:$D,B605,'01_異動主檔'!$E:$E,"移出")</f>
        <v/>
      </c>
      <c r="G605" s="4">
        <f>SUMIFS('01_異動主檔'!$F:$F,'01_異動主檔'!$B:$B,105,'01_異動主檔'!$D:$D,B605,'01_異動主檔'!$E:$E,"新增")</f>
        <v/>
      </c>
      <c r="H605" s="4">
        <f>-SUMIFS('01_異動主檔'!$F:$F,'01_異動主檔'!$B:$B,105,'01_異動主檔'!$D:$D,B605,'01_異動主檔'!$E:$E,"減列")</f>
        <v/>
      </c>
      <c r="I605" s="4">
        <f>-SUMIFS('01_異動主檔'!$F:$F,'01_異動主檔'!$B:$B,105,'01_異動主檔'!$D:$D,B605,'01_異動主檔'!$E:$E,"精簡")</f>
        <v/>
      </c>
      <c r="J605" s="10">
        <f>D605+E605+F605+G605+H605+I605</f>
        <v/>
      </c>
    </row>
    <row r="606" ht="18" customHeight="1">
      <c r="A606" s="6" t="inlineStr">
        <is>
          <t>C007</t>
        </is>
      </c>
      <c r="B606" s="5" t="inlineStr">
        <is>
          <t>基隆分局</t>
        </is>
      </c>
      <c r="C606" s="6" t="n">
        <v>106</v>
      </c>
      <c r="D606" s="10">
        <f>J605</f>
        <v/>
      </c>
      <c r="E606" s="4">
        <f>SUMIFS('01_異動主檔'!$F:$F,'01_異動主檔'!$B:$B,106,'01_異動主檔'!$D:$D,B606,'01_異動主檔'!$E:$E,"移入")</f>
        <v/>
      </c>
      <c r="F606" s="4">
        <f>-SUMIFS('01_異動主檔'!$F:$F,'01_異動主檔'!$B:$B,106,'01_異動主檔'!$D:$D,B606,'01_異動主檔'!$E:$E,"移出")</f>
        <v/>
      </c>
      <c r="G606" s="4">
        <f>SUMIFS('01_異動主檔'!$F:$F,'01_異動主檔'!$B:$B,106,'01_異動主檔'!$D:$D,B606,'01_異動主檔'!$E:$E,"新增")</f>
        <v/>
      </c>
      <c r="H606" s="4">
        <f>-SUMIFS('01_異動主檔'!$F:$F,'01_異動主檔'!$B:$B,106,'01_異動主檔'!$D:$D,B606,'01_異動主檔'!$E:$E,"減列")</f>
        <v/>
      </c>
      <c r="I606" s="4">
        <f>-SUMIFS('01_異動主檔'!$F:$F,'01_異動主檔'!$B:$B,106,'01_異動主檔'!$D:$D,B606,'01_異動主檔'!$E:$E,"精簡")</f>
        <v/>
      </c>
      <c r="J606" s="10">
        <f>D606+E606+F606+G606+H606+I606</f>
        <v/>
      </c>
    </row>
    <row r="607" ht="18" customHeight="1">
      <c r="A607" s="4" t="inlineStr">
        <is>
          <t>C007</t>
        </is>
      </c>
      <c r="B607" s="3" t="inlineStr">
        <is>
          <t>基隆分局</t>
        </is>
      </c>
      <c r="C607" s="4" t="n">
        <v>107</v>
      </c>
      <c r="D607" s="10">
        <f>J606</f>
        <v/>
      </c>
      <c r="E607" s="4">
        <f>SUMIFS('01_異動主檔'!$F:$F,'01_異動主檔'!$B:$B,107,'01_異動主檔'!$D:$D,B607,'01_異動主檔'!$E:$E,"移入")</f>
        <v/>
      </c>
      <c r="F607" s="4">
        <f>-SUMIFS('01_異動主檔'!$F:$F,'01_異動主檔'!$B:$B,107,'01_異動主檔'!$D:$D,B607,'01_異動主檔'!$E:$E,"移出")</f>
        <v/>
      </c>
      <c r="G607" s="4">
        <f>SUMIFS('01_異動主檔'!$F:$F,'01_異動主檔'!$B:$B,107,'01_異動主檔'!$D:$D,B607,'01_異動主檔'!$E:$E,"新增")</f>
        <v/>
      </c>
      <c r="H607" s="4">
        <f>-SUMIFS('01_異動主檔'!$F:$F,'01_異動主檔'!$B:$B,107,'01_異動主檔'!$D:$D,B607,'01_異動主檔'!$E:$E,"減列")</f>
        <v/>
      </c>
      <c r="I607" s="4">
        <f>-SUMIFS('01_異動主檔'!$F:$F,'01_異動主檔'!$B:$B,107,'01_異動主檔'!$D:$D,B607,'01_異動主檔'!$E:$E,"精簡")</f>
        <v/>
      </c>
      <c r="J607" s="10">
        <f>D607+E607+F607+G607+H607+I607</f>
        <v/>
      </c>
    </row>
    <row r="608" ht="18" customHeight="1">
      <c r="A608" s="6" t="inlineStr">
        <is>
          <t>C007</t>
        </is>
      </c>
      <c r="B608" s="5" t="inlineStr">
        <is>
          <t>基隆分局</t>
        </is>
      </c>
      <c r="C608" s="6" t="n">
        <v>108</v>
      </c>
      <c r="D608" s="10">
        <f>J607</f>
        <v/>
      </c>
      <c r="E608" s="4">
        <f>SUMIFS('01_異動主檔'!$F:$F,'01_異動主檔'!$B:$B,108,'01_異動主檔'!$D:$D,B608,'01_異動主檔'!$E:$E,"移入")</f>
        <v/>
      </c>
      <c r="F608" s="4">
        <f>-SUMIFS('01_異動主檔'!$F:$F,'01_異動主檔'!$B:$B,108,'01_異動主檔'!$D:$D,B608,'01_異動主檔'!$E:$E,"移出")</f>
        <v/>
      </c>
      <c r="G608" s="4">
        <f>SUMIFS('01_異動主檔'!$F:$F,'01_異動主檔'!$B:$B,108,'01_異動主檔'!$D:$D,B608,'01_異動主檔'!$E:$E,"新增")</f>
        <v/>
      </c>
      <c r="H608" s="4">
        <f>-SUMIFS('01_異動主檔'!$F:$F,'01_異動主檔'!$B:$B,108,'01_異動主檔'!$D:$D,B608,'01_異動主檔'!$E:$E,"減列")</f>
        <v/>
      </c>
      <c r="I608" s="4">
        <f>-SUMIFS('01_異動主檔'!$F:$F,'01_異動主檔'!$B:$B,108,'01_異動主檔'!$D:$D,B608,'01_異動主檔'!$E:$E,"精簡")</f>
        <v/>
      </c>
      <c r="J608" s="10">
        <f>D608+E608+F608+G608+H608+I608</f>
        <v/>
      </c>
    </row>
    <row r="609" ht="18" customHeight="1">
      <c r="A609" s="4" t="inlineStr">
        <is>
          <t>C007</t>
        </is>
      </c>
      <c r="B609" s="3" t="inlineStr">
        <is>
          <t>基隆分局</t>
        </is>
      </c>
      <c r="C609" s="4" t="n">
        <v>109</v>
      </c>
      <c r="D609" s="10">
        <f>J608</f>
        <v/>
      </c>
      <c r="E609" s="4">
        <f>SUMIFS('01_異動主檔'!$F:$F,'01_異動主檔'!$B:$B,109,'01_異動主檔'!$D:$D,B609,'01_異動主檔'!$E:$E,"移入")</f>
        <v/>
      </c>
      <c r="F609" s="4">
        <f>-SUMIFS('01_異動主檔'!$F:$F,'01_異動主檔'!$B:$B,109,'01_異動主檔'!$D:$D,B609,'01_異動主檔'!$E:$E,"移出")</f>
        <v/>
      </c>
      <c r="G609" s="4">
        <f>SUMIFS('01_異動主檔'!$F:$F,'01_異動主檔'!$B:$B,109,'01_異動主檔'!$D:$D,B609,'01_異動主檔'!$E:$E,"新增")</f>
        <v/>
      </c>
      <c r="H609" s="4">
        <f>-SUMIFS('01_異動主檔'!$F:$F,'01_異動主檔'!$B:$B,109,'01_異動主檔'!$D:$D,B609,'01_異動主檔'!$E:$E,"減列")</f>
        <v/>
      </c>
      <c r="I609" s="4">
        <f>-SUMIFS('01_異動主檔'!$F:$F,'01_異動主檔'!$B:$B,109,'01_異動主檔'!$D:$D,B609,'01_異動主檔'!$E:$E,"精簡")</f>
        <v/>
      </c>
      <c r="J609" s="10">
        <f>D609+E609+F609+G609+H609+I609</f>
        <v/>
      </c>
    </row>
    <row r="610" ht="18" customHeight="1">
      <c r="A610" s="6" t="inlineStr">
        <is>
          <t>C007</t>
        </is>
      </c>
      <c r="B610" s="5" t="inlineStr">
        <is>
          <t>基隆分局</t>
        </is>
      </c>
      <c r="C610" s="6" t="n">
        <v>110</v>
      </c>
      <c r="D610" s="10">
        <f>J609</f>
        <v/>
      </c>
      <c r="E610" s="4">
        <f>SUMIFS('01_異動主檔'!$F:$F,'01_異動主檔'!$B:$B,110,'01_異動主檔'!$D:$D,B610,'01_異動主檔'!$E:$E,"移入")</f>
        <v/>
      </c>
      <c r="F610" s="4">
        <f>-SUMIFS('01_異動主檔'!$F:$F,'01_異動主檔'!$B:$B,110,'01_異動主檔'!$D:$D,B610,'01_異動主檔'!$E:$E,"移出")</f>
        <v/>
      </c>
      <c r="G610" s="4">
        <f>SUMIFS('01_異動主檔'!$F:$F,'01_異動主檔'!$B:$B,110,'01_異動主檔'!$D:$D,B610,'01_異動主檔'!$E:$E,"新增")</f>
        <v/>
      </c>
      <c r="H610" s="4">
        <f>-SUMIFS('01_異動主檔'!$F:$F,'01_異動主檔'!$B:$B,110,'01_異動主檔'!$D:$D,B610,'01_異動主檔'!$E:$E,"減列")</f>
        <v/>
      </c>
      <c r="I610" s="4">
        <f>-SUMIFS('01_異動主檔'!$F:$F,'01_異動主檔'!$B:$B,110,'01_異動主檔'!$D:$D,B610,'01_異動主檔'!$E:$E,"精簡")</f>
        <v/>
      </c>
      <c r="J610" s="10">
        <f>D610+E610+F610+G610+H610+I610</f>
        <v/>
      </c>
    </row>
    <row r="611" ht="18" customHeight="1">
      <c r="A611" s="4" t="inlineStr">
        <is>
          <t>C007</t>
        </is>
      </c>
      <c r="B611" s="3" t="inlineStr">
        <is>
          <t>基隆分局</t>
        </is>
      </c>
      <c r="C611" s="4" t="n">
        <v>111</v>
      </c>
      <c r="D611" s="10">
        <f>J610</f>
        <v/>
      </c>
      <c r="E611" s="4">
        <f>SUMIFS('01_異動主檔'!$F:$F,'01_異動主檔'!$B:$B,111,'01_異動主檔'!$D:$D,B611,'01_異動主檔'!$E:$E,"移入")</f>
        <v/>
      </c>
      <c r="F611" s="4">
        <f>-SUMIFS('01_異動主檔'!$F:$F,'01_異動主檔'!$B:$B,111,'01_異動主檔'!$D:$D,B611,'01_異動主檔'!$E:$E,"移出")</f>
        <v/>
      </c>
      <c r="G611" s="4">
        <f>SUMIFS('01_異動主檔'!$F:$F,'01_異動主檔'!$B:$B,111,'01_異動主檔'!$D:$D,B611,'01_異動主檔'!$E:$E,"新增")</f>
        <v/>
      </c>
      <c r="H611" s="4">
        <f>-SUMIFS('01_異動主檔'!$F:$F,'01_異動主檔'!$B:$B,111,'01_異動主檔'!$D:$D,B611,'01_異動主檔'!$E:$E,"減列")</f>
        <v/>
      </c>
      <c r="I611" s="4">
        <f>-SUMIFS('01_異動主檔'!$F:$F,'01_異動主檔'!$B:$B,111,'01_異動主檔'!$D:$D,B611,'01_異動主檔'!$E:$E,"精簡")</f>
        <v/>
      </c>
      <c r="J611" s="10">
        <f>D611+E611+F611+G611+H611+I611</f>
        <v/>
      </c>
    </row>
    <row r="612" ht="18" customHeight="1">
      <c r="A612" s="6" t="inlineStr">
        <is>
          <t>C007</t>
        </is>
      </c>
      <c r="B612" s="5" t="inlineStr">
        <is>
          <t>基隆分局</t>
        </is>
      </c>
      <c r="C612" s="6" t="n">
        <v>112</v>
      </c>
      <c r="D612" s="10">
        <f>J611</f>
        <v/>
      </c>
      <c r="E612" s="4">
        <f>SUMIFS('01_異動主檔'!$F:$F,'01_異動主檔'!$B:$B,112,'01_異動主檔'!$D:$D,B612,'01_異動主檔'!$E:$E,"移入")</f>
        <v/>
      </c>
      <c r="F612" s="4">
        <f>-SUMIFS('01_異動主檔'!$F:$F,'01_異動主檔'!$B:$B,112,'01_異動主檔'!$D:$D,B612,'01_異動主檔'!$E:$E,"移出")</f>
        <v/>
      </c>
      <c r="G612" s="4">
        <f>SUMIFS('01_異動主檔'!$F:$F,'01_異動主檔'!$B:$B,112,'01_異動主檔'!$D:$D,B612,'01_異動主檔'!$E:$E,"新增")</f>
        <v/>
      </c>
      <c r="H612" s="4">
        <f>-SUMIFS('01_異動主檔'!$F:$F,'01_異動主檔'!$B:$B,112,'01_異動主檔'!$D:$D,B612,'01_異動主檔'!$E:$E,"減列")</f>
        <v/>
      </c>
      <c r="I612" s="4">
        <f>-SUMIFS('01_異動主檔'!$F:$F,'01_異動主檔'!$B:$B,112,'01_異動主檔'!$D:$D,B612,'01_異動主檔'!$E:$E,"精簡")</f>
        <v/>
      </c>
      <c r="J612" s="10">
        <f>D612+E612+F612+G612+H612+I612</f>
        <v/>
      </c>
    </row>
    <row r="613" ht="18" customHeight="1">
      <c r="A613" s="4" t="inlineStr">
        <is>
          <t>C007</t>
        </is>
      </c>
      <c r="B613" s="3" t="inlineStr">
        <is>
          <t>基隆分局</t>
        </is>
      </c>
      <c r="C613" s="4" t="n">
        <v>113</v>
      </c>
      <c r="D613" s="10">
        <f>J612</f>
        <v/>
      </c>
      <c r="E613" s="4">
        <f>SUMIFS('01_異動主檔'!$F:$F,'01_異動主檔'!$B:$B,113,'01_異動主檔'!$D:$D,B613,'01_異動主檔'!$E:$E,"移入")</f>
        <v/>
      </c>
      <c r="F613" s="4">
        <f>-SUMIFS('01_異動主檔'!$F:$F,'01_異動主檔'!$B:$B,113,'01_異動主檔'!$D:$D,B613,'01_異動主檔'!$E:$E,"移出")</f>
        <v/>
      </c>
      <c r="G613" s="4">
        <f>SUMIFS('01_異動主檔'!$F:$F,'01_異動主檔'!$B:$B,113,'01_異動主檔'!$D:$D,B613,'01_異動主檔'!$E:$E,"新增")</f>
        <v/>
      </c>
      <c r="H613" s="4">
        <f>-SUMIFS('01_異動主檔'!$F:$F,'01_異動主檔'!$B:$B,113,'01_異動主檔'!$D:$D,B613,'01_異動主檔'!$E:$E,"減列")</f>
        <v/>
      </c>
      <c r="I613" s="4">
        <f>-SUMIFS('01_異動主檔'!$F:$F,'01_異動主檔'!$B:$B,113,'01_異動主檔'!$D:$D,B613,'01_異動主檔'!$E:$E,"精簡")</f>
        <v/>
      </c>
      <c r="J613" s="10">
        <f>D613+E613+F613+G613+H613+I613</f>
        <v/>
      </c>
    </row>
    <row r="614" ht="18" customHeight="1">
      <c r="A614" s="6" t="inlineStr">
        <is>
          <t>C007</t>
        </is>
      </c>
      <c r="B614" s="5" t="inlineStr">
        <is>
          <t>基隆分局</t>
        </is>
      </c>
      <c r="C614" s="6" t="n">
        <v>114</v>
      </c>
      <c r="D614" s="10">
        <f>J613</f>
        <v/>
      </c>
      <c r="E614" s="4">
        <f>SUMIFS('01_異動主檔'!$F:$F,'01_異動主檔'!$B:$B,114,'01_異動主檔'!$D:$D,B614,'01_異動主檔'!$E:$E,"移入")</f>
        <v/>
      </c>
      <c r="F614" s="4">
        <f>-SUMIFS('01_異動主檔'!$F:$F,'01_異動主檔'!$B:$B,114,'01_異動主檔'!$D:$D,B614,'01_異動主檔'!$E:$E,"移出")</f>
        <v/>
      </c>
      <c r="G614" s="4">
        <f>SUMIFS('01_異動主檔'!$F:$F,'01_異動主檔'!$B:$B,114,'01_異動主檔'!$D:$D,B614,'01_異動主檔'!$E:$E,"新增")</f>
        <v/>
      </c>
      <c r="H614" s="4">
        <f>-SUMIFS('01_異動主檔'!$F:$F,'01_異動主檔'!$B:$B,114,'01_異動主檔'!$D:$D,B614,'01_異動主檔'!$E:$E,"減列")</f>
        <v/>
      </c>
      <c r="I614" s="4">
        <f>-SUMIFS('01_異動主檔'!$F:$F,'01_異動主檔'!$B:$B,114,'01_異動主檔'!$D:$D,B614,'01_異動主檔'!$E:$E,"精簡")</f>
        <v/>
      </c>
      <c r="J614" s="10">
        <f>D614+E614+F614+G614+H614+I614</f>
        <v/>
      </c>
    </row>
    <row r="615" ht="18" customHeight="1">
      <c r="A615" s="4" t="inlineStr">
        <is>
          <t>C007</t>
        </is>
      </c>
      <c r="B615" s="3" t="inlineStr">
        <is>
          <t>基隆分局</t>
        </is>
      </c>
      <c r="C615" s="4" t="n">
        <v>115</v>
      </c>
      <c r="D615" s="10">
        <f>J614</f>
        <v/>
      </c>
      <c r="E615" s="4">
        <f>SUMIFS('01_異動主檔'!$F:$F,'01_異動主檔'!$B:$B,115,'01_異動主檔'!$D:$D,B615,'01_異動主檔'!$E:$E,"移入")</f>
        <v/>
      </c>
      <c r="F615" s="4">
        <f>-SUMIFS('01_異動主檔'!$F:$F,'01_異動主檔'!$B:$B,115,'01_異動主檔'!$D:$D,B615,'01_異動主檔'!$E:$E,"移出")</f>
        <v/>
      </c>
      <c r="G615" s="4">
        <f>SUMIFS('01_異動主檔'!$F:$F,'01_異動主檔'!$B:$B,115,'01_異動主檔'!$D:$D,B615,'01_異動主檔'!$E:$E,"新增")</f>
        <v/>
      </c>
      <c r="H615" s="4">
        <f>-SUMIFS('01_異動主檔'!$F:$F,'01_異動主檔'!$B:$B,115,'01_異動主檔'!$D:$D,B615,'01_異動主檔'!$E:$E,"減列")</f>
        <v/>
      </c>
      <c r="I615" s="4">
        <f>-SUMIFS('01_異動主檔'!$F:$F,'01_異動主檔'!$B:$B,115,'01_異動主檔'!$D:$D,B615,'01_異動主檔'!$E:$E,"精簡")</f>
        <v/>
      </c>
      <c r="J615" s="10">
        <f>D615+E615+F615+G615+H615+I615</f>
        <v/>
      </c>
    </row>
    <row r="616" ht="18" customHeight="1">
      <c r="A616" s="6" t="inlineStr">
        <is>
          <t>C007</t>
        </is>
      </c>
      <c r="B616" s="5" t="inlineStr">
        <is>
          <t>基隆分局</t>
        </is>
      </c>
      <c r="C616" s="6" t="n">
        <v>116</v>
      </c>
      <c r="D616" s="10">
        <f>J615</f>
        <v/>
      </c>
      <c r="E616" s="4">
        <f>SUMIFS('01_異動主檔'!$F:$F,'01_異動主檔'!$B:$B,116,'01_異動主檔'!$D:$D,B616,'01_異動主檔'!$E:$E,"移入")</f>
        <v/>
      </c>
      <c r="F616" s="4">
        <f>-SUMIFS('01_異動主檔'!$F:$F,'01_異動主檔'!$B:$B,116,'01_異動主檔'!$D:$D,B616,'01_異動主檔'!$E:$E,"移出")</f>
        <v/>
      </c>
      <c r="G616" s="4">
        <f>SUMIFS('01_異動主檔'!$F:$F,'01_異動主檔'!$B:$B,116,'01_異動主檔'!$D:$D,B616,'01_異動主檔'!$E:$E,"新增")</f>
        <v/>
      </c>
      <c r="H616" s="4">
        <f>-SUMIFS('01_異動主檔'!$F:$F,'01_異動主檔'!$B:$B,116,'01_異動主檔'!$D:$D,B616,'01_異動主檔'!$E:$E,"減列")</f>
        <v/>
      </c>
      <c r="I616" s="4">
        <f>-SUMIFS('01_異動主檔'!$F:$F,'01_異動主檔'!$B:$B,116,'01_異動主檔'!$D:$D,B616,'01_異動主檔'!$E:$E,"精簡")</f>
        <v/>
      </c>
      <c r="J616" s="10">
        <f>D616+E616+F616+G616+H616+I616</f>
        <v/>
      </c>
    </row>
    <row r="617" ht="18" customHeight="1">
      <c r="A617" s="4" t="inlineStr">
        <is>
          <t>C007</t>
        </is>
      </c>
      <c r="B617" s="3" t="inlineStr">
        <is>
          <t>基隆分局</t>
        </is>
      </c>
      <c r="C617" s="4" t="n">
        <v>117</v>
      </c>
      <c r="D617" s="10">
        <f>J616</f>
        <v/>
      </c>
      <c r="E617" s="4">
        <f>SUMIFS('01_異動主檔'!$F:$F,'01_異動主檔'!$B:$B,117,'01_異動主檔'!$D:$D,B617,'01_異動主檔'!$E:$E,"移入")</f>
        <v/>
      </c>
      <c r="F617" s="4">
        <f>-SUMIFS('01_異動主檔'!$F:$F,'01_異動主檔'!$B:$B,117,'01_異動主檔'!$D:$D,B617,'01_異動主檔'!$E:$E,"移出")</f>
        <v/>
      </c>
      <c r="G617" s="4">
        <f>SUMIFS('01_異動主檔'!$F:$F,'01_異動主檔'!$B:$B,117,'01_異動主檔'!$D:$D,B617,'01_異動主檔'!$E:$E,"新增")</f>
        <v/>
      </c>
      <c r="H617" s="4">
        <f>-SUMIFS('01_異動主檔'!$F:$F,'01_異動主檔'!$B:$B,117,'01_異動主檔'!$D:$D,B617,'01_異動主檔'!$E:$E,"減列")</f>
        <v/>
      </c>
      <c r="I617" s="4">
        <f>-SUMIFS('01_異動主檔'!$F:$F,'01_異動主檔'!$B:$B,117,'01_異動主檔'!$D:$D,B617,'01_異動主檔'!$E:$E,"精簡")</f>
        <v/>
      </c>
      <c r="J617" s="10">
        <f>D617+E617+F617+G617+H617+I617</f>
        <v/>
      </c>
    </row>
    <row r="618" ht="18" customHeight="1">
      <c r="A618" s="6" t="inlineStr">
        <is>
          <t>C007</t>
        </is>
      </c>
      <c r="B618" s="5" t="inlineStr">
        <is>
          <t>基隆分局</t>
        </is>
      </c>
      <c r="C618" s="6" t="n">
        <v>118</v>
      </c>
      <c r="D618" s="10">
        <f>J617</f>
        <v/>
      </c>
      <c r="E618" s="4">
        <f>SUMIFS('01_異動主檔'!$F:$F,'01_異動主檔'!$B:$B,118,'01_異動主檔'!$D:$D,B618,'01_異動主檔'!$E:$E,"移入")</f>
        <v/>
      </c>
      <c r="F618" s="4">
        <f>-SUMIFS('01_異動主檔'!$F:$F,'01_異動主檔'!$B:$B,118,'01_異動主檔'!$D:$D,B618,'01_異動主檔'!$E:$E,"移出")</f>
        <v/>
      </c>
      <c r="G618" s="4">
        <f>SUMIFS('01_異動主檔'!$F:$F,'01_異動主檔'!$B:$B,118,'01_異動主檔'!$D:$D,B618,'01_異動主檔'!$E:$E,"新增")</f>
        <v/>
      </c>
      <c r="H618" s="4">
        <f>-SUMIFS('01_異動主檔'!$F:$F,'01_異動主檔'!$B:$B,118,'01_異動主檔'!$D:$D,B618,'01_異動主檔'!$E:$E,"減列")</f>
        <v/>
      </c>
      <c r="I618" s="4">
        <f>-SUMIFS('01_異動主檔'!$F:$F,'01_異動主檔'!$B:$B,118,'01_異動主檔'!$D:$D,B618,'01_異動主檔'!$E:$E,"精簡")</f>
        <v/>
      </c>
      <c r="J618" s="10">
        <f>D618+E618+F618+G618+H618+I618</f>
        <v/>
      </c>
    </row>
    <row r="619" ht="18" customHeight="1">
      <c r="A619" s="4" t="inlineStr">
        <is>
          <t>C007</t>
        </is>
      </c>
      <c r="B619" s="3" t="inlineStr">
        <is>
          <t>基隆分局</t>
        </is>
      </c>
      <c r="C619" s="4" t="n">
        <v>119</v>
      </c>
      <c r="D619" s="10">
        <f>J618</f>
        <v/>
      </c>
      <c r="E619" s="4">
        <f>SUMIFS('01_異動主檔'!$F:$F,'01_異動主檔'!$B:$B,119,'01_異動主檔'!$D:$D,B619,'01_異動主檔'!$E:$E,"移入")</f>
        <v/>
      </c>
      <c r="F619" s="4">
        <f>-SUMIFS('01_異動主檔'!$F:$F,'01_異動主檔'!$B:$B,119,'01_異動主檔'!$D:$D,B619,'01_異動主檔'!$E:$E,"移出")</f>
        <v/>
      </c>
      <c r="G619" s="4">
        <f>SUMIFS('01_異動主檔'!$F:$F,'01_異動主檔'!$B:$B,119,'01_異動主檔'!$D:$D,B619,'01_異動主檔'!$E:$E,"新增")</f>
        <v/>
      </c>
      <c r="H619" s="4">
        <f>-SUMIFS('01_異動主檔'!$F:$F,'01_異動主檔'!$B:$B,119,'01_異動主檔'!$D:$D,B619,'01_異動主檔'!$E:$E,"減列")</f>
        <v/>
      </c>
      <c r="I619" s="4">
        <f>-SUMIFS('01_異動主檔'!$F:$F,'01_異動主檔'!$B:$B,119,'01_異動主檔'!$D:$D,B619,'01_異動主檔'!$E:$E,"精簡")</f>
        <v/>
      </c>
      <c r="J619" s="10">
        <f>D619+E619+F619+G619+H619+I619</f>
        <v/>
      </c>
    </row>
    <row r="620" ht="18" customHeight="1">
      <c r="A620" s="6" t="inlineStr">
        <is>
          <t>C007</t>
        </is>
      </c>
      <c r="B620" s="5" t="inlineStr">
        <is>
          <t>基隆分局</t>
        </is>
      </c>
      <c r="C620" s="6" t="n">
        <v>120</v>
      </c>
      <c r="D620" s="10">
        <f>J619</f>
        <v/>
      </c>
      <c r="E620" s="4">
        <f>SUMIFS('01_異動主檔'!$F:$F,'01_異動主檔'!$B:$B,120,'01_異動主檔'!$D:$D,B620,'01_異動主檔'!$E:$E,"移入")</f>
        <v/>
      </c>
      <c r="F620" s="4">
        <f>-SUMIFS('01_異動主檔'!$F:$F,'01_異動主檔'!$B:$B,120,'01_異動主檔'!$D:$D,B620,'01_異動主檔'!$E:$E,"移出")</f>
        <v/>
      </c>
      <c r="G620" s="4">
        <f>SUMIFS('01_異動主檔'!$F:$F,'01_異動主檔'!$B:$B,120,'01_異動主檔'!$D:$D,B620,'01_異動主檔'!$E:$E,"新增")</f>
        <v/>
      </c>
      <c r="H620" s="4">
        <f>-SUMIFS('01_異動主檔'!$F:$F,'01_異動主檔'!$B:$B,120,'01_異動主檔'!$D:$D,B620,'01_異動主檔'!$E:$E,"減列")</f>
        <v/>
      </c>
      <c r="I620" s="4">
        <f>-SUMIFS('01_異動主檔'!$F:$F,'01_異動主檔'!$B:$B,120,'01_異動主檔'!$D:$D,B620,'01_異動主檔'!$E:$E,"精簡")</f>
        <v/>
      </c>
      <c r="J620" s="10">
        <f>D620+E620+F620+G620+H620+I620</f>
        <v/>
      </c>
    </row>
    <row r="621" ht="18" customHeight="1">
      <c r="A621" s="4" t="inlineStr">
        <is>
          <t>C007</t>
        </is>
      </c>
      <c r="B621" s="3" t="inlineStr">
        <is>
          <t>基隆分局</t>
        </is>
      </c>
      <c r="C621" s="4" t="n">
        <v>121</v>
      </c>
      <c r="D621" s="10">
        <f>J620</f>
        <v/>
      </c>
      <c r="E621" s="4">
        <f>SUMIFS('01_異動主檔'!$F:$F,'01_異動主檔'!$B:$B,121,'01_異動主檔'!$D:$D,B621,'01_異動主檔'!$E:$E,"移入")</f>
        <v/>
      </c>
      <c r="F621" s="4">
        <f>-SUMIFS('01_異動主檔'!$F:$F,'01_異動主檔'!$B:$B,121,'01_異動主檔'!$D:$D,B621,'01_異動主檔'!$E:$E,"移出")</f>
        <v/>
      </c>
      <c r="G621" s="4">
        <f>SUMIFS('01_異動主檔'!$F:$F,'01_異動主檔'!$B:$B,121,'01_異動主檔'!$D:$D,B621,'01_異動主檔'!$E:$E,"新增")</f>
        <v/>
      </c>
      <c r="H621" s="4">
        <f>-SUMIFS('01_異動主檔'!$F:$F,'01_異動主檔'!$B:$B,121,'01_異動主檔'!$D:$D,B621,'01_異動主檔'!$E:$E,"減列")</f>
        <v/>
      </c>
      <c r="I621" s="4">
        <f>-SUMIFS('01_異動主檔'!$F:$F,'01_異動主檔'!$B:$B,121,'01_異動主檔'!$D:$D,B621,'01_異動主檔'!$E:$E,"精簡")</f>
        <v/>
      </c>
      <c r="J621" s="10">
        <f>D621+E621+F621+G621+H621+I621</f>
        <v/>
      </c>
    </row>
    <row r="622" ht="18" customHeight="1">
      <c r="A622" s="6" t="inlineStr">
        <is>
          <t>C007</t>
        </is>
      </c>
      <c r="B622" s="5" t="inlineStr">
        <is>
          <t>基隆分局</t>
        </is>
      </c>
      <c r="C622" s="6" t="n">
        <v>122</v>
      </c>
      <c r="D622" s="10">
        <f>J621</f>
        <v/>
      </c>
      <c r="E622" s="4">
        <f>SUMIFS('01_異動主檔'!$F:$F,'01_異動主檔'!$B:$B,122,'01_異動主檔'!$D:$D,B622,'01_異動主檔'!$E:$E,"移入")</f>
        <v/>
      </c>
      <c r="F622" s="4">
        <f>-SUMIFS('01_異動主檔'!$F:$F,'01_異動主檔'!$B:$B,122,'01_異動主檔'!$D:$D,B622,'01_異動主檔'!$E:$E,"移出")</f>
        <v/>
      </c>
      <c r="G622" s="4">
        <f>SUMIFS('01_異動主檔'!$F:$F,'01_異動主檔'!$B:$B,122,'01_異動主檔'!$D:$D,B622,'01_異動主檔'!$E:$E,"新增")</f>
        <v/>
      </c>
      <c r="H622" s="4">
        <f>-SUMIFS('01_異動主檔'!$F:$F,'01_異動主檔'!$B:$B,122,'01_異動主檔'!$D:$D,B622,'01_異動主檔'!$E:$E,"減列")</f>
        <v/>
      </c>
      <c r="I622" s="4">
        <f>-SUMIFS('01_異動主檔'!$F:$F,'01_異動主檔'!$B:$B,122,'01_異動主檔'!$D:$D,B622,'01_異動主檔'!$E:$E,"精簡")</f>
        <v/>
      </c>
      <c r="J622" s="10">
        <f>D622+E622+F622+G622+H622+I622</f>
        <v/>
      </c>
    </row>
    <row r="623" ht="18" customHeight="1">
      <c r="A623" s="4" t="inlineStr">
        <is>
          <t>C007</t>
        </is>
      </c>
      <c r="B623" s="3" t="inlineStr">
        <is>
          <t>基隆分局</t>
        </is>
      </c>
      <c r="C623" s="4" t="n">
        <v>123</v>
      </c>
      <c r="D623" s="10">
        <f>J622</f>
        <v/>
      </c>
      <c r="E623" s="4">
        <f>SUMIFS('01_異動主檔'!$F:$F,'01_異動主檔'!$B:$B,123,'01_異動主檔'!$D:$D,B623,'01_異動主檔'!$E:$E,"移入")</f>
        <v/>
      </c>
      <c r="F623" s="4">
        <f>-SUMIFS('01_異動主檔'!$F:$F,'01_異動主檔'!$B:$B,123,'01_異動主檔'!$D:$D,B623,'01_異動主檔'!$E:$E,"移出")</f>
        <v/>
      </c>
      <c r="G623" s="4">
        <f>SUMIFS('01_異動主檔'!$F:$F,'01_異動主檔'!$B:$B,123,'01_異動主檔'!$D:$D,B623,'01_異動主檔'!$E:$E,"新增")</f>
        <v/>
      </c>
      <c r="H623" s="4">
        <f>-SUMIFS('01_異動主檔'!$F:$F,'01_異動主檔'!$B:$B,123,'01_異動主檔'!$D:$D,B623,'01_異動主檔'!$E:$E,"減列")</f>
        <v/>
      </c>
      <c r="I623" s="4">
        <f>-SUMIFS('01_異動主檔'!$F:$F,'01_異動主檔'!$B:$B,123,'01_異動主檔'!$D:$D,B623,'01_異動主檔'!$E:$E,"精簡")</f>
        <v/>
      </c>
      <c r="J623" s="10">
        <f>D623+E623+F623+G623+H623+I623</f>
        <v/>
      </c>
    </row>
    <row r="624" ht="18" customHeight="1">
      <c r="A624" s="6" t="inlineStr">
        <is>
          <t>C007</t>
        </is>
      </c>
      <c r="B624" s="5" t="inlineStr">
        <is>
          <t>基隆分局</t>
        </is>
      </c>
      <c r="C624" s="6" t="n">
        <v>124</v>
      </c>
      <c r="D624" s="10">
        <f>J623</f>
        <v/>
      </c>
      <c r="E624" s="4">
        <f>SUMIFS('01_異動主檔'!$F:$F,'01_異動主檔'!$B:$B,124,'01_異動主檔'!$D:$D,B624,'01_異動主檔'!$E:$E,"移入")</f>
        <v/>
      </c>
      <c r="F624" s="4">
        <f>-SUMIFS('01_異動主檔'!$F:$F,'01_異動主檔'!$B:$B,124,'01_異動主檔'!$D:$D,B624,'01_異動主檔'!$E:$E,"移出")</f>
        <v/>
      </c>
      <c r="G624" s="4">
        <f>SUMIFS('01_異動主檔'!$F:$F,'01_異動主檔'!$B:$B,124,'01_異動主檔'!$D:$D,B624,'01_異動主檔'!$E:$E,"新增")</f>
        <v/>
      </c>
      <c r="H624" s="4">
        <f>-SUMIFS('01_異動主檔'!$F:$F,'01_異動主檔'!$B:$B,124,'01_異動主檔'!$D:$D,B624,'01_異動主檔'!$E:$E,"減列")</f>
        <v/>
      </c>
      <c r="I624" s="4">
        <f>-SUMIFS('01_異動主檔'!$F:$F,'01_異動主檔'!$B:$B,124,'01_異動主檔'!$D:$D,B624,'01_異動主檔'!$E:$E,"精簡")</f>
        <v/>
      </c>
      <c r="J624" s="10">
        <f>D624+E624+F624+G624+H624+I624</f>
        <v/>
      </c>
    </row>
    <row r="625" ht="18" customHeight="1">
      <c r="A625" s="4" t="inlineStr">
        <is>
          <t>C007</t>
        </is>
      </c>
      <c r="B625" s="3" t="inlineStr">
        <is>
          <t>基隆分局</t>
        </is>
      </c>
      <c r="C625" s="4" t="n">
        <v>125</v>
      </c>
      <c r="D625" s="10">
        <f>J624</f>
        <v/>
      </c>
      <c r="E625" s="4">
        <f>SUMIFS('01_異動主檔'!$F:$F,'01_異動主檔'!$B:$B,125,'01_異動主檔'!$D:$D,B625,'01_異動主檔'!$E:$E,"移入")</f>
        <v/>
      </c>
      <c r="F625" s="4">
        <f>-SUMIFS('01_異動主檔'!$F:$F,'01_異動主檔'!$B:$B,125,'01_異動主檔'!$D:$D,B625,'01_異動主檔'!$E:$E,"移出")</f>
        <v/>
      </c>
      <c r="G625" s="4">
        <f>SUMIFS('01_異動主檔'!$F:$F,'01_異動主檔'!$B:$B,125,'01_異動主檔'!$D:$D,B625,'01_異動主檔'!$E:$E,"新增")</f>
        <v/>
      </c>
      <c r="H625" s="4">
        <f>-SUMIFS('01_異動主檔'!$F:$F,'01_異動主檔'!$B:$B,125,'01_異動主檔'!$D:$D,B625,'01_異動主檔'!$E:$E,"減列")</f>
        <v/>
      </c>
      <c r="I625" s="4">
        <f>-SUMIFS('01_異動主檔'!$F:$F,'01_異動主檔'!$B:$B,125,'01_異動主檔'!$D:$D,B625,'01_異動主檔'!$E:$E,"精簡")</f>
        <v/>
      </c>
      <c r="J625" s="10">
        <f>D625+E625+F625+G625+H625+I625</f>
        <v/>
      </c>
    </row>
    <row r="626" ht="18" customHeight="1">
      <c r="A626" s="6" t="inlineStr">
        <is>
          <t>C008</t>
        </is>
      </c>
      <c r="B626" s="5" t="inlineStr">
        <is>
          <t>花蓮分局</t>
        </is>
      </c>
      <c r="C626" s="6" t="n">
        <v>99</v>
      </c>
      <c r="D626" s="10">
        <f>'02_年初員額設定'!C28</f>
        <v/>
      </c>
      <c r="E626" s="4">
        <f>SUMIFS('01_異動主檔'!$F:$F,'01_異動主檔'!$B:$B,99,'01_異動主檔'!$D:$D,B626,'01_異動主檔'!$E:$E,"移入")</f>
        <v/>
      </c>
      <c r="F626" s="4">
        <f>-SUMIFS('01_異動主檔'!$F:$F,'01_異動主檔'!$B:$B,99,'01_異動主檔'!$D:$D,B626,'01_異動主檔'!$E:$E,"移出")</f>
        <v/>
      </c>
      <c r="G626" s="4">
        <f>SUMIFS('01_異動主檔'!$F:$F,'01_異動主檔'!$B:$B,99,'01_異動主檔'!$D:$D,B626,'01_異動主檔'!$E:$E,"新增")</f>
        <v/>
      </c>
      <c r="H626" s="4">
        <f>-SUMIFS('01_異動主檔'!$F:$F,'01_異動主檔'!$B:$B,99,'01_異動主檔'!$D:$D,B626,'01_異動主檔'!$E:$E,"減列")</f>
        <v/>
      </c>
      <c r="I626" s="4">
        <f>-SUMIFS('01_異動主檔'!$F:$F,'01_異動主檔'!$B:$B,99,'01_異動主檔'!$D:$D,B626,'01_異動主檔'!$E:$E,"精簡")</f>
        <v/>
      </c>
      <c r="J626" s="10">
        <f>D626+E626+F626+G626+H626+I626</f>
        <v/>
      </c>
    </row>
    <row r="627" ht="18" customHeight="1">
      <c r="A627" s="4" t="inlineStr">
        <is>
          <t>C008</t>
        </is>
      </c>
      <c r="B627" s="3" t="inlineStr">
        <is>
          <t>花蓮分局</t>
        </is>
      </c>
      <c r="C627" s="4" t="n">
        <v>100</v>
      </c>
      <c r="D627" s="10">
        <f>J626</f>
        <v/>
      </c>
      <c r="E627" s="4">
        <f>SUMIFS('01_異動主檔'!$F:$F,'01_異動主檔'!$B:$B,100,'01_異動主檔'!$D:$D,B627,'01_異動主檔'!$E:$E,"移入")</f>
        <v/>
      </c>
      <c r="F627" s="4">
        <f>-SUMIFS('01_異動主檔'!$F:$F,'01_異動主檔'!$B:$B,100,'01_異動主檔'!$D:$D,B627,'01_異動主檔'!$E:$E,"移出")</f>
        <v/>
      </c>
      <c r="G627" s="4">
        <f>SUMIFS('01_異動主檔'!$F:$F,'01_異動主檔'!$B:$B,100,'01_異動主檔'!$D:$D,B627,'01_異動主檔'!$E:$E,"新增")</f>
        <v/>
      </c>
      <c r="H627" s="4">
        <f>-SUMIFS('01_異動主檔'!$F:$F,'01_異動主檔'!$B:$B,100,'01_異動主檔'!$D:$D,B627,'01_異動主檔'!$E:$E,"減列")</f>
        <v/>
      </c>
      <c r="I627" s="4">
        <f>-SUMIFS('01_異動主檔'!$F:$F,'01_異動主檔'!$B:$B,100,'01_異動主檔'!$D:$D,B627,'01_異動主檔'!$E:$E,"精簡")</f>
        <v/>
      </c>
      <c r="J627" s="10">
        <f>D627+E627+F627+G627+H627+I627</f>
        <v/>
      </c>
    </row>
    <row r="628" ht="18" customHeight="1">
      <c r="A628" s="6" t="inlineStr">
        <is>
          <t>C008</t>
        </is>
      </c>
      <c r="B628" s="5" t="inlineStr">
        <is>
          <t>花蓮分局</t>
        </is>
      </c>
      <c r="C628" s="6" t="n">
        <v>101</v>
      </c>
      <c r="D628" s="10">
        <f>J627</f>
        <v/>
      </c>
      <c r="E628" s="4">
        <f>SUMIFS('01_異動主檔'!$F:$F,'01_異動主檔'!$B:$B,101,'01_異動主檔'!$D:$D,B628,'01_異動主檔'!$E:$E,"移入")</f>
        <v/>
      </c>
      <c r="F628" s="4">
        <f>-SUMIFS('01_異動主檔'!$F:$F,'01_異動主檔'!$B:$B,101,'01_異動主檔'!$D:$D,B628,'01_異動主檔'!$E:$E,"移出")</f>
        <v/>
      </c>
      <c r="G628" s="4">
        <f>SUMIFS('01_異動主檔'!$F:$F,'01_異動主檔'!$B:$B,101,'01_異動主檔'!$D:$D,B628,'01_異動主檔'!$E:$E,"新增")</f>
        <v/>
      </c>
      <c r="H628" s="4">
        <f>-SUMIFS('01_異動主檔'!$F:$F,'01_異動主檔'!$B:$B,101,'01_異動主檔'!$D:$D,B628,'01_異動主檔'!$E:$E,"減列")</f>
        <v/>
      </c>
      <c r="I628" s="4">
        <f>-SUMIFS('01_異動主檔'!$F:$F,'01_異動主檔'!$B:$B,101,'01_異動主檔'!$D:$D,B628,'01_異動主檔'!$E:$E,"精簡")</f>
        <v/>
      </c>
      <c r="J628" s="10">
        <f>D628+E628+F628+G628+H628+I628</f>
        <v/>
      </c>
    </row>
    <row r="629" ht="18" customHeight="1">
      <c r="A629" s="4" t="inlineStr">
        <is>
          <t>C008</t>
        </is>
      </c>
      <c r="B629" s="3" t="inlineStr">
        <is>
          <t>花蓮分局</t>
        </is>
      </c>
      <c r="C629" s="4" t="n">
        <v>102</v>
      </c>
      <c r="D629" s="10">
        <f>J628</f>
        <v/>
      </c>
      <c r="E629" s="4">
        <f>SUMIFS('01_異動主檔'!$F:$F,'01_異動主檔'!$B:$B,102,'01_異動主檔'!$D:$D,B629,'01_異動主檔'!$E:$E,"移入")</f>
        <v/>
      </c>
      <c r="F629" s="4">
        <f>-SUMIFS('01_異動主檔'!$F:$F,'01_異動主檔'!$B:$B,102,'01_異動主檔'!$D:$D,B629,'01_異動主檔'!$E:$E,"移出")</f>
        <v/>
      </c>
      <c r="G629" s="4">
        <f>SUMIFS('01_異動主檔'!$F:$F,'01_異動主檔'!$B:$B,102,'01_異動主檔'!$D:$D,B629,'01_異動主檔'!$E:$E,"新增")</f>
        <v/>
      </c>
      <c r="H629" s="4">
        <f>-SUMIFS('01_異動主檔'!$F:$F,'01_異動主檔'!$B:$B,102,'01_異動主檔'!$D:$D,B629,'01_異動主檔'!$E:$E,"減列")</f>
        <v/>
      </c>
      <c r="I629" s="4">
        <f>-SUMIFS('01_異動主檔'!$F:$F,'01_異動主檔'!$B:$B,102,'01_異動主檔'!$D:$D,B629,'01_異動主檔'!$E:$E,"精簡")</f>
        <v/>
      </c>
      <c r="J629" s="10">
        <f>D629+E629+F629+G629+H629+I629</f>
        <v/>
      </c>
    </row>
    <row r="630" ht="18" customHeight="1">
      <c r="A630" s="6" t="inlineStr">
        <is>
          <t>C008</t>
        </is>
      </c>
      <c r="B630" s="5" t="inlineStr">
        <is>
          <t>花蓮分局</t>
        </is>
      </c>
      <c r="C630" s="6" t="n">
        <v>103</v>
      </c>
      <c r="D630" s="10">
        <f>J629</f>
        <v/>
      </c>
      <c r="E630" s="4">
        <f>SUMIFS('01_異動主檔'!$F:$F,'01_異動主檔'!$B:$B,103,'01_異動主檔'!$D:$D,B630,'01_異動主檔'!$E:$E,"移入")</f>
        <v/>
      </c>
      <c r="F630" s="4">
        <f>-SUMIFS('01_異動主檔'!$F:$F,'01_異動主檔'!$B:$B,103,'01_異動主檔'!$D:$D,B630,'01_異動主檔'!$E:$E,"移出")</f>
        <v/>
      </c>
      <c r="G630" s="4">
        <f>SUMIFS('01_異動主檔'!$F:$F,'01_異動主檔'!$B:$B,103,'01_異動主檔'!$D:$D,B630,'01_異動主檔'!$E:$E,"新增")</f>
        <v/>
      </c>
      <c r="H630" s="4">
        <f>-SUMIFS('01_異動主檔'!$F:$F,'01_異動主檔'!$B:$B,103,'01_異動主檔'!$D:$D,B630,'01_異動主檔'!$E:$E,"減列")</f>
        <v/>
      </c>
      <c r="I630" s="4">
        <f>-SUMIFS('01_異動主檔'!$F:$F,'01_異動主檔'!$B:$B,103,'01_異動主檔'!$D:$D,B630,'01_異動主檔'!$E:$E,"精簡")</f>
        <v/>
      </c>
      <c r="J630" s="10">
        <f>D630+E630+F630+G630+H630+I630</f>
        <v/>
      </c>
    </row>
    <row r="631" ht="18" customHeight="1">
      <c r="A631" s="4" t="inlineStr">
        <is>
          <t>C008</t>
        </is>
      </c>
      <c r="B631" s="3" t="inlineStr">
        <is>
          <t>花蓮分局</t>
        </is>
      </c>
      <c r="C631" s="4" t="n">
        <v>104</v>
      </c>
      <c r="D631" s="10">
        <f>J630</f>
        <v/>
      </c>
      <c r="E631" s="4">
        <f>SUMIFS('01_異動主檔'!$F:$F,'01_異動主檔'!$B:$B,104,'01_異動主檔'!$D:$D,B631,'01_異動主檔'!$E:$E,"移入")</f>
        <v/>
      </c>
      <c r="F631" s="4">
        <f>-SUMIFS('01_異動主檔'!$F:$F,'01_異動主檔'!$B:$B,104,'01_異動主檔'!$D:$D,B631,'01_異動主檔'!$E:$E,"移出")</f>
        <v/>
      </c>
      <c r="G631" s="4">
        <f>SUMIFS('01_異動主檔'!$F:$F,'01_異動主檔'!$B:$B,104,'01_異動主檔'!$D:$D,B631,'01_異動主檔'!$E:$E,"新增")</f>
        <v/>
      </c>
      <c r="H631" s="4">
        <f>-SUMIFS('01_異動主檔'!$F:$F,'01_異動主檔'!$B:$B,104,'01_異動主檔'!$D:$D,B631,'01_異動主檔'!$E:$E,"減列")</f>
        <v/>
      </c>
      <c r="I631" s="4">
        <f>-SUMIFS('01_異動主檔'!$F:$F,'01_異動主檔'!$B:$B,104,'01_異動主檔'!$D:$D,B631,'01_異動主檔'!$E:$E,"精簡")</f>
        <v/>
      </c>
      <c r="J631" s="10">
        <f>D631+E631+F631+G631+H631+I631</f>
        <v/>
      </c>
    </row>
    <row r="632" ht="18" customHeight="1">
      <c r="A632" s="6" t="inlineStr">
        <is>
          <t>C008</t>
        </is>
      </c>
      <c r="B632" s="5" t="inlineStr">
        <is>
          <t>花蓮分局</t>
        </is>
      </c>
      <c r="C632" s="6" t="n">
        <v>105</v>
      </c>
      <c r="D632" s="10">
        <f>J631</f>
        <v/>
      </c>
      <c r="E632" s="4">
        <f>SUMIFS('01_異動主檔'!$F:$F,'01_異動主檔'!$B:$B,105,'01_異動主檔'!$D:$D,B632,'01_異動主檔'!$E:$E,"移入")</f>
        <v/>
      </c>
      <c r="F632" s="4">
        <f>-SUMIFS('01_異動主檔'!$F:$F,'01_異動主檔'!$B:$B,105,'01_異動主檔'!$D:$D,B632,'01_異動主檔'!$E:$E,"移出")</f>
        <v/>
      </c>
      <c r="G632" s="4">
        <f>SUMIFS('01_異動主檔'!$F:$F,'01_異動主檔'!$B:$B,105,'01_異動主檔'!$D:$D,B632,'01_異動主檔'!$E:$E,"新增")</f>
        <v/>
      </c>
      <c r="H632" s="4">
        <f>-SUMIFS('01_異動主檔'!$F:$F,'01_異動主檔'!$B:$B,105,'01_異動主檔'!$D:$D,B632,'01_異動主檔'!$E:$E,"減列")</f>
        <v/>
      </c>
      <c r="I632" s="4">
        <f>-SUMIFS('01_異動主檔'!$F:$F,'01_異動主檔'!$B:$B,105,'01_異動主檔'!$D:$D,B632,'01_異動主檔'!$E:$E,"精簡")</f>
        <v/>
      </c>
      <c r="J632" s="10">
        <f>D632+E632+F632+G632+H632+I632</f>
        <v/>
      </c>
    </row>
    <row r="633" ht="18" customHeight="1">
      <c r="A633" s="4" t="inlineStr">
        <is>
          <t>C008</t>
        </is>
      </c>
      <c r="B633" s="3" t="inlineStr">
        <is>
          <t>花蓮分局</t>
        </is>
      </c>
      <c r="C633" s="4" t="n">
        <v>106</v>
      </c>
      <c r="D633" s="10">
        <f>J632</f>
        <v/>
      </c>
      <c r="E633" s="4">
        <f>SUMIFS('01_異動主檔'!$F:$F,'01_異動主檔'!$B:$B,106,'01_異動主檔'!$D:$D,B633,'01_異動主檔'!$E:$E,"移入")</f>
        <v/>
      </c>
      <c r="F633" s="4">
        <f>-SUMIFS('01_異動主檔'!$F:$F,'01_異動主檔'!$B:$B,106,'01_異動主檔'!$D:$D,B633,'01_異動主檔'!$E:$E,"移出")</f>
        <v/>
      </c>
      <c r="G633" s="4">
        <f>SUMIFS('01_異動主檔'!$F:$F,'01_異動主檔'!$B:$B,106,'01_異動主檔'!$D:$D,B633,'01_異動主檔'!$E:$E,"新增")</f>
        <v/>
      </c>
      <c r="H633" s="4">
        <f>-SUMIFS('01_異動主檔'!$F:$F,'01_異動主檔'!$B:$B,106,'01_異動主檔'!$D:$D,B633,'01_異動主檔'!$E:$E,"減列")</f>
        <v/>
      </c>
      <c r="I633" s="4">
        <f>-SUMIFS('01_異動主檔'!$F:$F,'01_異動主檔'!$B:$B,106,'01_異動主檔'!$D:$D,B633,'01_異動主檔'!$E:$E,"精簡")</f>
        <v/>
      </c>
      <c r="J633" s="10">
        <f>D633+E633+F633+G633+H633+I633</f>
        <v/>
      </c>
    </row>
    <row r="634" ht="18" customHeight="1">
      <c r="A634" s="6" t="inlineStr">
        <is>
          <t>C008</t>
        </is>
      </c>
      <c r="B634" s="5" t="inlineStr">
        <is>
          <t>花蓮分局</t>
        </is>
      </c>
      <c r="C634" s="6" t="n">
        <v>107</v>
      </c>
      <c r="D634" s="10">
        <f>J633</f>
        <v/>
      </c>
      <c r="E634" s="4">
        <f>SUMIFS('01_異動主檔'!$F:$F,'01_異動主檔'!$B:$B,107,'01_異動主檔'!$D:$D,B634,'01_異動主檔'!$E:$E,"移入")</f>
        <v/>
      </c>
      <c r="F634" s="4">
        <f>-SUMIFS('01_異動主檔'!$F:$F,'01_異動主檔'!$B:$B,107,'01_異動主檔'!$D:$D,B634,'01_異動主檔'!$E:$E,"移出")</f>
        <v/>
      </c>
      <c r="G634" s="4">
        <f>SUMIFS('01_異動主檔'!$F:$F,'01_異動主檔'!$B:$B,107,'01_異動主檔'!$D:$D,B634,'01_異動主檔'!$E:$E,"新增")</f>
        <v/>
      </c>
      <c r="H634" s="4">
        <f>-SUMIFS('01_異動主檔'!$F:$F,'01_異動主檔'!$B:$B,107,'01_異動主檔'!$D:$D,B634,'01_異動主檔'!$E:$E,"減列")</f>
        <v/>
      </c>
      <c r="I634" s="4">
        <f>-SUMIFS('01_異動主檔'!$F:$F,'01_異動主檔'!$B:$B,107,'01_異動主檔'!$D:$D,B634,'01_異動主檔'!$E:$E,"精簡")</f>
        <v/>
      </c>
      <c r="J634" s="10">
        <f>D634+E634+F634+G634+H634+I634</f>
        <v/>
      </c>
    </row>
    <row r="635" ht="18" customHeight="1">
      <c r="A635" s="4" t="inlineStr">
        <is>
          <t>C008</t>
        </is>
      </c>
      <c r="B635" s="3" t="inlineStr">
        <is>
          <t>花蓮分局</t>
        </is>
      </c>
      <c r="C635" s="4" t="n">
        <v>108</v>
      </c>
      <c r="D635" s="10">
        <f>J634</f>
        <v/>
      </c>
      <c r="E635" s="4">
        <f>SUMIFS('01_異動主檔'!$F:$F,'01_異動主檔'!$B:$B,108,'01_異動主檔'!$D:$D,B635,'01_異動主檔'!$E:$E,"移入")</f>
        <v/>
      </c>
      <c r="F635" s="4">
        <f>-SUMIFS('01_異動主檔'!$F:$F,'01_異動主檔'!$B:$B,108,'01_異動主檔'!$D:$D,B635,'01_異動主檔'!$E:$E,"移出")</f>
        <v/>
      </c>
      <c r="G635" s="4">
        <f>SUMIFS('01_異動主檔'!$F:$F,'01_異動主檔'!$B:$B,108,'01_異動主檔'!$D:$D,B635,'01_異動主檔'!$E:$E,"新增")</f>
        <v/>
      </c>
      <c r="H635" s="4">
        <f>-SUMIFS('01_異動主檔'!$F:$F,'01_異動主檔'!$B:$B,108,'01_異動主檔'!$D:$D,B635,'01_異動主檔'!$E:$E,"減列")</f>
        <v/>
      </c>
      <c r="I635" s="4">
        <f>-SUMIFS('01_異動主檔'!$F:$F,'01_異動主檔'!$B:$B,108,'01_異動主檔'!$D:$D,B635,'01_異動主檔'!$E:$E,"精簡")</f>
        <v/>
      </c>
      <c r="J635" s="10">
        <f>D635+E635+F635+G635+H635+I635</f>
        <v/>
      </c>
    </row>
    <row r="636" ht="18" customHeight="1">
      <c r="A636" s="6" t="inlineStr">
        <is>
          <t>C008</t>
        </is>
      </c>
      <c r="B636" s="5" t="inlineStr">
        <is>
          <t>花蓮分局</t>
        </is>
      </c>
      <c r="C636" s="6" t="n">
        <v>109</v>
      </c>
      <c r="D636" s="10">
        <f>J635</f>
        <v/>
      </c>
      <c r="E636" s="4">
        <f>SUMIFS('01_異動主檔'!$F:$F,'01_異動主檔'!$B:$B,109,'01_異動主檔'!$D:$D,B636,'01_異動主檔'!$E:$E,"移入")</f>
        <v/>
      </c>
      <c r="F636" s="4">
        <f>-SUMIFS('01_異動主檔'!$F:$F,'01_異動主檔'!$B:$B,109,'01_異動主檔'!$D:$D,B636,'01_異動主檔'!$E:$E,"移出")</f>
        <v/>
      </c>
      <c r="G636" s="4">
        <f>SUMIFS('01_異動主檔'!$F:$F,'01_異動主檔'!$B:$B,109,'01_異動主檔'!$D:$D,B636,'01_異動主檔'!$E:$E,"新增")</f>
        <v/>
      </c>
      <c r="H636" s="4">
        <f>-SUMIFS('01_異動主檔'!$F:$F,'01_異動主檔'!$B:$B,109,'01_異動主檔'!$D:$D,B636,'01_異動主檔'!$E:$E,"減列")</f>
        <v/>
      </c>
      <c r="I636" s="4">
        <f>-SUMIFS('01_異動主檔'!$F:$F,'01_異動主檔'!$B:$B,109,'01_異動主檔'!$D:$D,B636,'01_異動主檔'!$E:$E,"精簡")</f>
        <v/>
      </c>
      <c r="J636" s="10">
        <f>D636+E636+F636+G636+H636+I636</f>
        <v/>
      </c>
    </row>
    <row r="637" ht="18" customHeight="1">
      <c r="A637" s="4" t="inlineStr">
        <is>
          <t>C008</t>
        </is>
      </c>
      <c r="B637" s="3" t="inlineStr">
        <is>
          <t>花蓮分局</t>
        </is>
      </c>
      <c r="C637" s="4" t="n">
        <v>110</v>
      </c>
      <c r="D637" s="10">
        <f>J636</f>
        <v/>
      </c>
      <c r="E637" s="4">
        <f>SUMIFS('01_異動主檔'!$F:$F,'01_異動主檔'!$B:$B,110,'01_異動主檔'!$D:$D,B637,'01_異動主檔'!$E:$E,"移入")</f>
        <v/>
      </c>
      <c r="F637" s="4">
        <f>-SUMIFS('01_異動主檔'!$F:$F,'01_異動主檔'!$B:$B,110,'01_異動主檔'!$D:$D,B637,'01_異動主檔'!$E:$E,"移出")</f>
        <v/>
      </c>
      <c r="G637" s="4">
        <f>SUMIFS('01_異動主檔'!$F:$F,'01_異動主檔'!$B:$B,110,'01_異動主檔'!$D:$D,B637,'01_異動主檔'!$E:$E,"新增")</f>
        <v/>
      </c>
      <c r="H637" s="4">
        <f>-SUMIFS('01_異動主檔'!$F:$F,'01_異動主檔'!$B:$B,110,'01_異動主檔'!$D:$D,B637,'01_異動主檔'!$E:$E,"減列")</f>
        <v/>
      </c>
      <c r="I637" s="4">
        <f>-SUMIFS('01_異動主檔'!$F:$F,'01_異動主檔'!$B:$B,110,'01_異動主檔'!$D:$D,B637,'01_異動主檔'!$E:$E,"精簡")</f>
        <v/>
      </c>
      <c r="J637" s="10">
        <f>D637+E637+F637+G637+H637+I637</f>
        <v/>
      </c>
    </row>
    <row r="638" ht="18" customHeight="1">
      <c r="A638" s="6" t="inlineStr">
        <is>
          <t>C008</t>
        </is>
      </c>
      <c r="B638" s="5" t="inlineStr">
        <is>
          <t>花蓮分局</t>
        </is>
      </c>
      <c r="C638" s="6" t="n">
        <v>111</v>
      </c>
      <c r="D638" s="10">
        <f>J637</f>
        <v/>
      </c>
      <c r="E638" s="4">
        <f>SUMIFS('01_異動主檔'!$F:$F,'01_異動主檔'!$B:$B,111,'01_異動主檔'!$D:$D,B638,'01_異動主檔'!$E:$E,"移入")</f>
        <v/>
      </c>
      <c r="F638" s="4">
        <f>-SUMIFS('01_異動主檔'!$F:$F,'01_異動主檔'!$B:$B,111,'01_異動主檔'!$D:$D,B638,'01_異動主檔'!$E:$E,"移出")</f>
        <v/>
      </c>
      <c r="G638" s="4">
        <f>SUMIFS('01_異動主檔'!$F:$F,'01_異動主檔'!$B:$B,111,'01_異動主檔'!$D:$D,B638,'01_異動主檔'!$E:$E,"新增")</f>
        <v/>
      </c>
      <c r="H638" s="4">
        <f>-SUMIFS('01_異動主檔'!$F:$F,'01_異動主檔'!$B:$B,111,'01_異動主檔'!$D:$D,B638,'01_異動主檔'!$E:$E,"減列")</f>
        <v/>
      </c>
      <c r="I638" s="4">
        <f>-SUMIFS('01_異動主檔'!$F:$F,'01_異動主檔'!$B:$B,111,'01_異動主檔'!$D:$D,B638,'01_異動主檔'!$E:$E,"精簡")</f>
        <v/>
      </c>
      <c r="J638" s="10">
        <f>D638+E638+F638+G638+H638+I638</f>
        <v/>
      </c>
    </row>
    <row r="639" ht="18" customHeight="1">
      <c r="A639" s="4" t="inlineStr">
        <is>
          <t>C008</t>
        </is>
      </c>
      <c r="B639" s="3" t="inlineStr">
        <is>
          <t>花蓮分局</t>
        </is>
      </c>
      <c r="C639" s="4" t="n">
        <v>112</v>
      </c>
      <c r="D639" s="10">
        <f>J638</f>
        <v/>
      </c>
      <c r="E639" s="4">
        <f>SUMIFS('01_異動主檔'!$F:$F,'01_異動主檔'!$B:$B,112,'01_異動主檔'!$D:$D,B639,'01_異動主檔'!$E:$E,"移入")</f>
        <v/>
      </c>
      <c r="F639" s="4">
        <f>-SUMIFS('01_異動主檔'!$F:$F,'01_異動主檔'!$B:$B,112,'01_異動主檔'!$D:$D,B639,'01_異動主檔'!$E:$E,"移出")</f>
        <v/>
      </c>
      <c r="G639" s="4">
        <f>SUMIFS('01_異動主檔'!$F:$F,'01_異動主檔'!$B:$B,112,'01_異動主檔'!$D:$D,B639,'01_異動主檔'!$E:$E,"新增")</f>
        <v/>
      </c>
      <c r="H639" s="4">
        <f>-SUMIFS('01_異動主檔'!$F:$F,'01_異動主檔'!$B:$B,112,'01_異動主檔'!$D:$D,B639,'01_異動主檔'!$E:$E,"減列")</f>
        <v/>
      </c>
      <c r="I639" s="4">
        <f>-SUMIFS('01_異動主檔'!$F:$F,'01_異動主檔'!$B:$B,112,'01_異動主檔'!$D:$D,B639,'01_異動主檔'!$E:$E,"精簡")</f>
        <v/>
      </c>
      <c r="J639" s="10">
        <f>D639+E639+F639+G639+H639+I639</f>
        <v/>
      </c>
    </row>
    <row r="640" ht="18" customHeight="1">
      <c r="A640" s="6" t="inlineStr">
        <is>
          <t>C008</t>
        </is>
      </c>
      <c r="B640" s="5" t="inlineStr">
        <is>
          <t>花蓮分局</t>
        </is>
      </c>
      <c r="C640" s="6" t="n">
        <v>113</v>
      </c>
      <c r="D640" s="10">
        <f>J639</f>
        <v/>
      </c>
      <c r="E640" s="4">
        <f>SUMIFS('01_異動主檔'!$F:$F,'01_異動主檔'!$B:$B,113,'01_異動主檔'!$D:$D,B640,'01_異動主檔'!$E:$E,"移入")</f>
        <v/>
      </c>
      <c r="F640" s="4">
        <f>-SUMIFS('01_異動主檔'!$F:$F,'01_異動主檔'!$B:$B,113,'01_異動主檔'!$D:$D,B640,'01_異動主檔'!$E:$E,"移出")</f>
        <v/>
      </c>
      <c r="G640" s="4">
        <f>SUMIFS('01_異動主檔'!$F:$F,'01_異動主檔'!$B:$B,113,'01_異動主檔'!$D:$D,B640,'01_異動主檔'!$E:$E,"新增")</f>
        <v/>
      </c>
      <c r="H640" s="4">
        <f>-SUMIFS('01_異動主檔'!$F:$F,'01_異動主檔'!$B:$B,113,'01_異動主檔'!$D:$D,B640,'01_異動主檔'!$E:$E,"減列")</f>
        <v/>
      </c>
      <c r="I640" s="4">
        <f>-SUMIFS('01_異動主檔'!$F:$F,'01_異動主檔'!$B:$B,113,'01_異動主檔'!$D:$D,B640,'01_異動主檔'!$E:$E,"精簡")</f>
        <v/>
      </c>
      <c r="J640" s="10">
        <f>D640+E640+F640+G640+H640+I640</f>
        <v/>
      </c>
    </row>
    <row r="641" ht="18" customHeight="1">
      <c r="A641" s="4" t="inlineStr">
        <is>
          <t>C008</t>
        </is>
      </c>
      <c r="B641" s="3" t="inlineStr">
        <is>
          <t>花蓮分局</t>
        </is>
      </c>
      <c r="C641" s="4" t="n">
        <v>114</v>
      </c>
      <c r="D641" s="10">
        <f>J640</f>
        <v/>
      </c>
      <c r="E641" s="4">
        <f>SUMIFS('01_異動主檔'!$F:$F,'01_異動主檔'!$B:$B,114,'01_異動主檔'!$D:$D,B641,'01_異動主檔'!$E:$E,"移入")</f>
        <v/>
      </c>
      <c r="F641" s="4">
        <f>-SUMIFS('01_異動主檔'!$F:$F,'01_異動主檔'!$B:$B,114,'01_異動主檔'!$D:$D,B641,'01_異動主檔'!$E:$E,"移出")</f>
        <v/>
      </c>
      <c r="G641" s="4">
        <f>SUMIFS('01_異動主檔'!$F:$F,'01_異動主檔'!$B:$B,114,'01_異動主檔'!$D:$D,B641,'01_異動主檔'!$E:$E,"新增")</f>
        <v/>
      </c>
      <c r="H641" s="4">
        <f>-SUMIFS('01_異動主檔'!$F:$F,'01_異動主檔'!$B:$B,114,'01_異動主檔'!$D:$D,B641,'01_異動主檔'!$E:$E,"減列")</f>
        <v/>
      </c>
      <c r="I641" s="4">
        <f>-SUMIFS('01_異動主檔'!$F:$F,'01_異動主檔'!$B:$B,114,'01_異動主檔'!$D:$D,B641,'01_異動主檔'!$E:$E,"精簡")</f>
        <v/>
      </c>
      <c r="J641" s="10">
        <f>D641+E641+F641+G641+H641+I641</f>
        <v/>
      </c>
    </row>
    <row r="642" ht="18" customHeight="1">
      <c r="A642" s="6" t="inlineStr">
        <is>
          <t>C008</t>
        </is>
      </c>
      <c r="B642" s="5" t="inlineStr">
        <is>
          <t>花蓮分局</t>
        </is>
      </c>
      <c r="C642" s="6" t="n">
        <v>115</v>
      </c>
      <c r="D642" s="10">
        <f>J641</f>
        <v/>
      </c>
      <c r="E642" s="4">
        <f>SUMIFS('01_異動主檔'!$F:$F,'01_異動主檔'!$B:$B,115,'01_異動主檔'!$D:$D,B642,'01_異動主檔'!$E:$E,"移入")</f>
        <v/>
      </c>
      <c r="F642" s="4">
        <f>-SUMIFS('01_異動主檔'!$F:$F,'01_異動主檔'!$B:$B,115,'01_異動主檔'!$D:$D,B642,'01_異動主檔'!$E:$E,"移出")</f>
        <v/>
      </c>
      <c r="G642" s="4">
        <f>SUMIFS('01_異動主檔'!$F:$F,'01_異動主檔'!$B:$B,115,'01_異動主檔'!$D:$D,B642,'01_異動主檔'!$E:$E,"新增")</f>
        <v/>
      </c>
      <c r="H642" s="4">
        <f>-SUMIFS('01_異動主檔'!$F:$F,'01_異動主檔'!$B:$B,115,'01_異動主檔'!$D:$D,B642,'01_異動主檔'!$E:$E,"減列")</f>
        <v/>
      </c>
      <c r="I642" s="4">
        <f>-SUMIFS('01_異動主檔'!$F:$F,'01_異動主檔'!$B:$B,115,'01_異動主檔'!$D:$D,B642,'01_異動主檔'!$E:$E,"精簡")</f>
        <v/>
      </c>
      <c r="J642" s="10">
        <f>D642+E642+F642+G642+H642+I642</f>
        <v/>
      </c>
    </row>
    <row r="643" ht="18" customHeight="1">
      <c r="A643" s="4" t="inlineStr">
        <is>
          <t>C008</t>
        </is>
      </c>
      <c r="B643" s="3" t="inlineStr">
        <is>
          <t>花蓮分局</t>
        </is>
      </c>
      <c r="C643" s="4" t="n">
        <v>116</v>
      </c>
      <c r="D643" s="10">
        <f>J642</f>
        <v/>
      </c>
      <c r="E643" s="4">
        <f>SUMIFS('01_異動主檔'!$F:$F,'01_異動主檔'!$B:$B,116,'01_異動主檔'!$D:$D,B643,'01_異動主檔'!$E:$E,"移入")</f>
        <v/>
      </c>
      <c r="F643" s="4">
        <f>-SUMIFS('01_異動主檔'!$F:$F,'01_異動主檔'!$B:$B,116,'01_異動主檔'!$D:$D,B643,'01_異動主檔'!$E:$E,"移出")</f>
        <v/>
      </c>
      <c r="G643" s="4">
        <f>SUMIFS('01_異動主檔'!$F:$F,'01_異動主檔'!$B:$B,116,'01_異動主檔'!$D:$D,B643,'01_異動主檔'!$E:$E,"新增")</f>
        <v/>
      </c>
      <c r="H643" s="4">
        <f>-SUMIFS('01_異動主檔'!$F:$F,'01_異動主檔'!$B:$B,116,'01_異動主檔'!$D:$D,B643,'01_異動主檔'!$E:$E,"減列")</f>
        <v/>
      </c>
      <c r="I643" s="4">
        <f>-SUMIFS('01_異動主檔'!$F:$F,'01_異動主檔'!$B:$B,116,'01_異動主檔'!$D:$D,B643,'01_異動主檔'!$E:$E,"精簡")</f>
        <v/>
      </c>
      <c r="J643" s="10">
        <f>D643+E643+F643+G643+H643+I643</f>
        <v/>
      </c>
    </row>
    <row r="644" ht="18" customHeight="1">
      <c r="A644" s="6" t="inlineStr">
        <is>
          <t>C008</t>
        </is>
      </c>
      <c r="B644" s="5" t="inlineStr">
        <is>
          <t>花蓮分局</t>
        </is>
      </c>
      <c r="C644" s="6" t="n">
        <v>117</v>
      </c>
      <c r="D644" s="10">
        <f>J643</f>
        <v/>
      </c>
      <c r="E644" s="4">
        <f>SUMIFS('01_異動主檔'!$F:$F,'01_異動主檔'!$B:$B,117,'01_異動主檔'!$D:$D,B644,'01_異動主檔'!$E:$E,"移入")</f>
        <v/>
      </c>
      <c r="F644" s="4">
        <f>-SUMIFS('01_異動主檔'!$F:$F,'01_異動主檔'!$B:$B,117,'01_異動主檔'!$D:$D,B644,'01_異動主檔'!$E:$E,"移出")</f>
        <v/>
      </c>
      <c r="G644" s="4">
        <f>SUMIFS('01_異動主檔'!$F:$F,'01_異動主檔'!$B:$B,117,'01_異動主檔'!$D:$D,B644,'01_異動主檔'!$E:$E,"新增")</f>
        <v/>
      </c>
      <c r="H644" s="4">
        <f>-SUMIFS('01_異動主檔'!$F:$F,'01_異動主檔'!$B:$B,117,'01_異動主檔'!$D:$D,B644,'01_異動主檔'!$E:$E,"減列")</f>
        <v/>
      </c>
      <c r="I644" s="4">
        <f>-SUMIFS('01_異動主檔'!$F:$F,'01_異動主檔'!$B:$B,117,'01_異動主檔'!$D:$D,B644,'01_異動主檔'!$E:$E,"精簡")</f>
        <v/>
      </c>
      <c r="J644" s="10">
        <f>D644+E644+F644+G644+H644+I644</f>
        <v/>
      </c>
    </row>
    <row r="645" ht="18" customHeight="1">
      <c r="A645" s="4" t="inlineStr">
        <is>
          <t>C008</t>
        </is>
      </c>
      <c r="B645" s="3" t="inlineStr">
        <is>
          <t>花蓮分局</t>
        </is>
      </c>
      <c r="C645" s="4" t="n">
        <v>118</v>
      </c>
      <c r="D645" s="10">
        <f>J644</f>
        <v/>
      </c>
      <c r="E645" s="4">
        <f>SUMIFS('01_異動主檔'!$F:$F,'01_異動主檔'!$B:$B,118,'01_異動主檔'!$D:$D,B645,'01_異動主檔'!$E:$E,"移入")</f>
        <v/>
      </c>
      <c r="F645" s="4">
        <f>-SUMIFS('01_異動主檔'!$F:$F,'01_異動主檔'!$B:$B,118,'01_異動主檔'!$D:$D,B645,'01_異動主檔'!$E:$E,"移出")</f>
        <v/>
      </c>
      <c r="G645" s="4">
        <f>SUMIFS('01_異動主檔'!$F:$F,'01_異動主檔'!$B:$B,118,'01_異動主檔'!$D:$D,B645,'01_異動主檔'!$E:$E,"新增")</f>
        <v/>
      </c>
      <c r="H645" s="4">
        <f>-SUMIFS('01_異動主檔'!$F:$F,'01_異動主檔'!$B:$B,118,'01_異動主檔'!$D:$D,B645,'01_異動主檔'!$E:$E,"減列")</f>
        <v/>
      </c>
      <c r="I645" s="4">
        <f>-SUMIFS('01_異動主檔'!$F:$F,'01_異動主檔'!$B:$B,118,'01_異動主檔'!$D:$D,B645,'01_異動主檔'!$E:$E,"精簡")</f>
        <v/>
      </c>
      <c r="J645" s="10">
        <f>D645+E645+F645+G645+H645+I645</f>
        <v/>
      </c>
    </row>
    <row r="646" ht="18" customHeight="1">
      <c r="A646" s="6" t="inlineStr">
        <is>
          <t>C008</t>
        </is>
      </c>
      <c r="B646" s="5" t="inlineStr">
        <is>
          <t>花蓮分局</t>
        </is>
      </c>
      <c r="C646" s="6" t="n">
        <v>119</v>
      </c>
      <c r="D646" s="10">
        <f>J645</f>
        <v/>
      </c>
      <c r="E646" s="4">
        <f>SUMIFS('01_異動主檔'!$F:$F,'01_異動主檔'!$B:$B,119,'01_異動主檔'!$D:$D,B646,'01_異動主檔'!$E:$E,"移入")</f>
        <v/>
      </c>
      <c r="F646" s="4">
        <f>-SUMIFS('01_異動主檔'!$F:$F,'01_異動主檔'!$B:$B,119,'01_異動主檔'!$D:$D,B646,'01_異動主檔'!$E:$E,"移出")</f>
        <v/>
      </c>
      <c r="G646" s="4">
        <f>SUMIFS('01_異動主檔'!$F:$F,'01_異動主檔'!$B:$B,119,'01_異動主檔'!$D:$D,B646,'01_異動主檔'!$E:$E,"新增")</f>
        <v/>
      </c>
      <c r="H646" s="4">
        <f>-SUMIFS('01_異動主檔'!$F:$F,'01_異動主檔'!$B:$B,119,'01_異動主檔'!$D:$D,B646,'01_異動主檔'!$E:$E,"減列")</f>
        <v/>
      </c>
      <c r="I646" s="4">
        <f>-SUMIFS('01_異動主檔'!$F:$F,'01_異動主檔'!$B:$B,119,'01_異動主檔'!$D:$D,B646,'01_異動主檔'!$E:$E,"精簡")</f>
        <v/>
      </c>
      <c r="J646" s="10">
        <f>D646+E646+F646+G646+H646+I646</f>
        <v/>
      </c>
    </row>
    <row r="647" ht="18" customHeight="1">
      <c r="A647" s="4" t="inlineStr">
        <is>
          <t>C008</t>
        </is>
      </c>
      <c r="B647" s="3" t="inlineStr">
        <is>
          <t>花蓮分局</t>
        </is>
      </c>
      <c r="C647" s="4" t="n">
        <v>120</v>
      </c>
      <c r="D647" s="10">
        <f>J646</f>
        <v/>
      </c>
      <c r="E647" s="4">
        <f>SUMIFS('01_異動主檔'!$F:$F,'01_異動主檔'!$B:$B,120,'01_異動主檔'!$D:$D,B647,'01_異動主檔'!$E:$E,"移入")</f>
        <v/>
      </c>
      <c r="F647" s="4">
        <f>-SUMIFS('01_異動主檔'!$F:$F,'01_異動主檔'!$B:$B,120,'01_異動主檔'!$D:$D,B647,'01_異動主檔'!$E:$E,"移出")</f>
        <v/>
      </c>
      <c r="G647" s="4">
        <f>SUMIFS('01_異動主檔'!$F:$F,'01_異動主檔'!$B:$B,120,'01_異動主檔'!$D:$D,B647,'01_異動主檔'!$E:$E,"新增")</f>
        <v/>
      </c>
      <c r="H647" s="4">
        <f>-SUMIFS('01_異動主檔'!$F:$F,'01_異動主檔'!$B:$B,120,'01_異動主檔'!$D:$D,B647,'01_異動主檔'!$E:$E,"減列")</f>
        <v/>
      </c>
      <c r="I647" s="4">
        <f>-SUMIFS('01_異動主檔'!$F:$F,'01_異動主檔'!$B:$B,120,'01_異動主檔'!$D:$D,B647,'01_異動主檔'!$E:$E,"精簡")</f>
        <v/>
      </c>
      <c r="J647" s="10">
        <f>D647+E647+F647+G647+H647+I647</f>
        <v/>
      </c>
    </row>
    <row r="648" ht="18" customHeight="1">
      <c r="A648" s="6" t="inlineStr">
        <is>
          <t>C008</t>
        </is>
      </c>
      <c r="B648" s="5" t="inlineStr">
        <is>
          <t>花蓮分局</t>
        </is>
      </c>
      <c r="C648" s="6" t="n">
        <v>121</v>
      </c>
      <c r="D648" s="10">
        <f>J647</f>
        <v/>
      </c>
      <c r="E648" s="4">
        <f>SUMIFS('01_異動主檔'!$F:$F,'01_異動主檔'!$B:$B,121,'01_異動主檔'!$D:$D,B648,'01_異動主檔'!$E:$E,"移入")</f>
        <v/>
      </c>
      <c r="F648" s="4">
        <f>-SUMIFS('01_異動主檔'!$F:$F,'01_異動主檔'!$B:$B,121,'01_異動主檔'!$D:$D,B648,'01_異動主檔'!$E:$E,"移出")</f>
        <v/>
      </c>
      <c r="G648" s="4">
        <f>SUMIFS('01_異動主檔'!$F:$F,'01_異動主檔'!$B:$B,121,'01_異動主檔'!$D:$D,B648,'01_異動主檔'!$E:$E,"新增")</f>
        <v/>
      </c>
      <c r="H648" s="4">
        <f>-SUMIFS('01_異動主檔'!$F:$F,'01_異動主檔'!$B:$B,121,'01_異動主檔'!$D:$D,B648,'01_異動主檔'!$E:$E,"減列")</f>
        <v/>
      </c>
      <c r="I648" s="4">
        <f>-SUMIFS('01_異動主檔'!$F:$F,'01_異動主檔'!$B:$B,121,'01_異動主檔'!$D:$D,B648,'01_異動主檔'!$E:$E,"精簡")</f>
        <v/>
      </c>
      <c r="J648" s="10">
        <f>D648+E648+F648+G648+H648+I648</f>
        <v/>
      </c>
    </row>
    <row r="649" ht="18" customHeight="1">
      <c r="A649" s="4" t="inlineStr">
        <is>
          <t>C008</t>
        </is>
      </c>
      <c r="B649" s="3" t="inlineStr">
        <is>
          <t>花蓮分局</t>
        </is>
      </c>
      <c r="C649" s="4" t="n">
        <v>122</v>
      </c>
      <c r="D649" s="10">
        <f>J648</f>
        <v/>
      </c>
      <c r="E649" s="4">
        <f>SUMIFS('01_異動主檔'!$F:$F,'01_異動主檔'!$B:$B,122,'01_異動主檔'!$D:$D,B649,'01_異動主檔'!$E:$E,"移入")</f>
        <v/>
      </c>
      <c r="F649" s="4">
        <f>-SUMIFS('01_異動主檔'!$F:$F,'01_異動主檔'!$B:$B,122,'01_異動主檔'!$D:$D,B649,'01_異動主檔'!$E:$E,"移出")</f>
        <v/>
      </c>
      <c r="G649" s="4">
        <f>SUMIFS('01_異動主檔'!$F:$F,'01_異動主檔'!$B:$B,122,'01_異動主檔'!$D:$D,B649,'01_異動主檔'!$E:$E,"新增")</f>
        <v/>
      </c>
      <c r="H649" s="4">
        <f>-SUMIFS('01_異動主檔'!$F:$F,'01_異動主檔'!$B:$B,122,'01_異動主檔'!$D:$D,B649,'01_異動主檔'!$E:$E,"減列")</f>
        <v/>
      </c>
      <c r="I649" s="4">
        <f>-SUMIFS('01_異動主檔'!$F:$F,'01_異動主檔'!$B:$B,122,'01_異動主檔'!$D:$D,B649,'01_異動主檔'!$E:$E,"精簡")</f>
        <v/>
      </c>
      <c r="J649" s="10">
        <f>D649+E649+F649+G649+H649+I649</f>
        <v/>
      </c>
    </row>
    <row r="650" ht="18" customHeight="1">
      <c r="A650" s="6" t="inlineStr">
        <is>
          <t>C008</t>
        </is>
      </c>
      <c r="B650" s="5" t="inlineStr">
        <is>
          <t>花蓮分局</t>
        </is>
      </c>
      <c r="C650" s="6" t="n">
        <v>123</v>
      </c>
      <c r="D650" s="10">
        <f>J649</f>
        <v/>
      </c>
      <c r="E650" s="4">
        <f>SUMIFS('01_異動主檔'!$F:$F,'01_異動主檔'!$B:$B,123,'01_異動主檔'!$D:$D,B650,'01_異動主檔'!$E:$E,"移入")</f>
        <v/>
      </c>
      <c r="F650" s="4">
        <f>-SUMIFS('01_異動主檔'!$F:$F,'01_異動主檔'!$B:$B,123,'01_異動主檔'!$D:$D,B650,'01_異動主檔'!$E:$E,"移出")</f>
        <v/>
      </c>
      <c r="G650" s="4">
        <f>SUMIFS('01_異動主檔'!$F:$F,'01_異動主檔'!$B:$B,123,'01_異動主檔'!$D:$D,B650,'01_異動主檔'!$E:$E,"新增")</f>
        <v/>
      </c>
      <c r="H650" s="4">
        <f>-SUMIFS('01_異動主檔'!$F:$F,'01_異動主檔'!$B:$B,123,'01_異動主檔'!$D:$D,B650,'01_異動主檔'!$E:$E,"減列")</f>
        <v/>
      </c>
      <c r="I650" s="4">
        <f>-SUMIFS('01_異動主檔'!$F:$F,'01_異動主檔'!$B:$B,123,'01_異動主檔'!$D:$D,B650,'01_異動主檔'!$E:$E,"精簡")</f>
        <v/>
      </c>
      <c r="J650" s="10">
        <f>D650+E650+F650+G650+H650+I650</f>
        <v/>
      </c>
    </row>
    <row r="651" ht="18" customHeight="1">
      <c r="A651" s="4" t="inlineStr">
        <is>
          <t>C008</t>
        </is>
      </c>
      <c r="B651" s="3" t="inlineStr">
        <is>
          <t>花蓮分局</t>
        </is>
      </c>
      <c r="C651" s="4" t="n">
        <v>124</v>
      </c>
      <c r="D651" s="10">
        <f>J650</f>
        <v/>
      </c>
      <c r="E651" s="4">
        <f>SUMIFS('01_異動主檔'!$F:$F,'01_異動主檔'!$B:$B,124,'01_異動主檔'!$D:$D,B651,'01_異動主檔'!$E:$E,"移入")</f>
        <v/>
      </c>
      <c r="F651" s="4">
        <f>-SUMIFS('01_異動主檔'!$F:$F,'01_異動主檔'!$B:$B,124,'01_異動主檔'!$D:$D,B651,'01_異動主檔'!$E:$E,"移出")</f>
        <v/>
      </c>
      <c r="G651" s="4">
        <f>SUMIFS('01_異動主檔'!$F:$F,'01_異動主檔'!$B:$B,124,'01_異動主檔'!$D:$D,B651,'01_異動主檔'!$E:$E,"新增")</f>
        <v/>
      </c>
      <c r="H651" s="4">
        <f>-SUMIFS('01_異動主檔'!$F:$F,'01_異動主檔'!$B:$B,124,'01_異動主檔'!$D:$D,B651,'01_異動主檔'!$E:$E,"減列")</f>
        <v/>
      </c>
      <c r="I651" s="4">
        <f>-SUMIFS('01_異動主檔'!$F:$F,'01_異動主檔'!$B:$B,124,'01_異動主檔'!$D:$D,B651,'01_異動主檔'!$E:$E,"精簡")</f>
        <v/>
      </c>
      <c r="J651" s="10">
        <f>D651+E651+F651+G651+H651+I651</f>
        <v/>
      </c>
    </row>
    <row r="652" ht="18" customHeight="1">
      <c r="A652" s="6" t="inlineStr">
        <is>
          <t>C008</t>
        </is>
      </c>
      <c r="B652" s="5" t="inlineStr">
        <is>
          <t>花蓮分局</t>
        </is>
      </c>
      <c r="C652" s="6" t="n">
        <v>125</v>
      </c>
      <c r="D652" s="10">
        <f>J651</f>
        <v/>
      </c>
      <c r="E652" s="4">
        <f>SUMIFS('01_異動主檔'!$F:$F,'01_異動主檔'!$B:$B,125,'01_異動主檔'!$D:$D,B652,'01_異動主檔'!$E:$E,"移入")</f>
        <v/>
      </c>
      <c r="F652" s="4">
        <f>-SUMIFS('01_異動主檔'!$F:$F,'01_異動主檔'!$B:$B,125,'01_異動主檔'!$D:$D,B652,'01_異動主檔'!$E:$E,"移出")</f>
        <v/>
      </c>
      <c r="G652" s="4">
        <f>SUMIFS('01_異動主檔'!$F:$F,'01_異動主檔'!$B:$B,125,'01_異動主檔'!$D:$D,B652,'01_異動主檔'!$E:$E,"新增")</f>
        <v/>
      </c>
      <c r="H652" s="4">
        <f>-SUMIFS('01_異動主檔'!$F:$F,'01_異動主檔'!$B:$B,125,'01_異動主檔'!$D:$D,B652,'01_異動主檔'!$E:$E,"減列")</f>
        <v/>
      </c>
      <c r="I652" s="4">
        <f>-SUMIFS('01_異動主檔'!$F:$F,'01_異動主檔'!$B:$B,125,'01_異動主檔'!$D:$D,B652,'01_異動主檔'!$E:$E,"精簡")</f>
        <v/>
      </c>
      <c r="J652" s="10">
        <f>D652+E652+F652+G652+H652+I652</f>
        <v/>
      </c>
    </row>
    <row r="653" ht="18" customHeight="1">
      <c r="A653" s="4" t="inlineStr">
        <is>
          <t>D001</t>
        </is>
      </c>
      <c r="B653" s="3" t="inlineStr">
        <is>
          <t>綜合規劃科</t>
        </is>
      </c>
      <c r="C653" s="4" t="n">
        <v>99</v>
      </c>
      <c r="D653" s="10">
        <f>'02_年初員額設定'!C29</f>
        <v/>
      </c>
      <c r="E653" s="4">
        <f>SUMIFS('01_異動主檔'!$F:$F,'01_異動主檔'!$B:$B,99,'01_異動主檔'!$D:$D,B653,'01_異動主檔'!$E:$E,"移入")</f>
        <v/>
      </c>
      <c r="F653" s="4">
        <f>-SUMIFS('01_異動主檔'!$F:$F,'01_異動主檔'!$B:$B,99,'01_異動主檔'!$D:$D,B653,'01_異動主檔'!$E:$E,"移出")</f>
        <v/>
      </c>
      <c r="G653" s="4">
        <f>SUMIFS('01_異動主檔'!$F:$F,'01_異動主檔'!$B:$B,99,'01_異動主檔'!$D:$D,B653,'01_異動主檔'!$E:$E,"新增")</f>
        <v/>
      </c>
      <c r="H653" s="4">
        <f>-SUMIFS('01_異動主檔'!$F:$F,'01_異動主檔'!$B:$B,99,'01_異動主檔'!$D:$D,B653,'01_異動主檔'!$E:$E,"減列")</f>
        <v/>
      </c>
      <c r="I653" s="4">
        <f>-SUMIFS('01_異動主檔'!$F:$F,'01_異動主檔'!$B:$B,99,'01_異動主檔'!$D:$D,B653,'01_異動主檔'!$E:$E,"精簡")</f>
        <v/>
      </c>
      <c r="J653" s="10">
        <f>D653+E653+F653+G653+H653+I653</f>
        <v/>
      </c>
    </row>
    <row r="654" ht="18" customHeight="1">
      <c r="A654" s="6" t="inlineStr">
        <is>
          <t>D001</t>
        </is>
      </c>
      <c r="B654" s="5" t="inlineStr">
        <is>
          <t>綜合規劃科</t>
        </is>
      </c>
      <c r="C654" s="6" t="n">
        <v>100</v>
      </c>
      <c r="D654" s="10">
        <f>J653</f>
        <v/>
      </c>
      <c r="E654" s="4">
        <f>SUMIFS('01_異動主檔'!$F:$F,'01_異動主檔'!$B:$B,100,'01_異動主檔'!$D:$D,B654,'01_異動主檔'!$E:$E,"移入")</f>
        <v/>
      </c>
      <c r="F654" s="4">
        <f>-SUMIFS('01_異動主檔'!$F:$F,'01_異動主檔'!$B:$B,100,'01_異動主檔'!$D:$D,B654,'01_異動主檔'!$E:$E,"移出")</f>
        <v/>
      </c>
      <c r="G654" s="4">
        <f>SUMIFS('01_異動主檔'!$F:$F,'01_異動主檔'!$B:$B,100,'01_異動主檔'!$D:$D,B654,'01_異動主檔'!$E:$E,"新增")</f>
        <v/>
      </c>
      <c r="H654" s="4">
        <f>-SUMIFS('01_異動主檔'!$F:$F,'01_異動主檔'!$B:$B,100,'01_異動主檔'!$D:$D,B654,'01_異動主檔'!$E:$E,"減列")</f>
        <v/>
      </c>
      <c r="I654" s="4">
        <f>-SUMIFS('01_異動主檔'!$F:$F,'01_異動主檔'!$B:$B,100,'01_異動主檔'!$D:$D,B654,'01_異動主檔'!$E:$E,"精簡")</f>
        <v/>
      </c>
      <c r="J654" s="10">
        <f>D654+E654+F654+G654+H654+I654</f>
        <v/>
      </c>
    </row>
    <row r="655" ht="18" customHeight="1">
      <c r="A655" s="4" t="inlineStr">
        <is>
          <t>D001</t>
        </is>
      </c>
      <c r="B655" s="3" t="inlineStr">
        <is>
          <t>綜合規劃科</t>
        </is>
      </c>
      <c r="C655" s="4" t="n">
        <v>101</v>
      </c>
      <c r="D655" s="10">
        <f>J654</f>
        <v/>
      </c>
      <c r="E655" s="4">
        <f>SUMIFS('01_異動主檔'!$F:$F,'01_異動主檔'!$B:$B,101,'01_異動主檔'!$D:$D,B655,'01_異動主檔'!$E:$E,"移入")</f>
        <v/>
      </c>
      <c r="F655" s="4">
        <f>-SUMIFS('01_異動主檔'!$F:$F,'01_異動主檔'!$B:$B,101,'01_異動主檔'!$D:$D,B655,'01_異動主檔'!$E:$E,"移出")</f>
        <v/>
      </c>
      <c r="G655" s="4">
        <f>SUMIFS('01_異動主檔'!$F:$F,'01_異動主檔'!$B:$B,101,'01_異動主檔'!$D:$D,B655,'01_異動主檔'!$E:$E,"新增")</f>
        <v/>
      </c>
      <c r="H655" s="4">
        <f>-SUMIFS('01_異動主檔'!$F:$F,'01_異動主檔'!$B:$B,101,'01_異動主檔'!$D:$D,B655,'01_異動主檔'!$E:$E,"減列")</f>
        <v/>
      </c>
      <c r="I655" s="4">
        <f>-SUMIFS('01_異動主檔'!$F:$F,'01_異動主檔'!$B:$B,101,'01_異動主檔'!$D:$D,B655,'01_異動主檔'!$E:$E,"精簡")</f>
        <v/>
      </c>
      <c r="J655" s="10">
        <f>D655+E655+F655+G655+H655+I655</f>
        <v/>
      </c>
    </row>
    <row r="656" ht="18" customHeight="1">
      <c r="A656" s="6" t="inlineStr">
        <is>
          <t>D001</t>
        </is>
      </c>
      <c r="B656" s="5" t="inlineStr">
        <is>
          <t>綜合規劃科</t>
        </is>
      </c>
      <c r="C656" s="6" t="n">
        <v>102</v>
      </c>
      <c r="D656" s="10">
        <f>J655</f>
        <v/>
      </c>
      <c r="E656" s="4">
        <f>SUMIFS('01_異動主檔'!$F:$F,'01_異動主檔'!$B:$B,102,'01_異動主檔'!$D:$D,B656,'01_異動主檔'!$E:$E,"移入")</f>
        <v/>
      </c>
      <c r="F656" s="4">
        <f>-SUMIFS('01_異動主檔'!$F:$F,'01_異動主檔'!$B:$B,102,'01_異動主檔'!$D:$D,B656,'01_異動主檔'!$E:$E,"移出")</f>
        <v/>
      </c>
      <c r="G656" s="4">
        <f>SUMIFS('01_異動主檔'!$F:$F,'01_異動主檔'!$B:$B,102,'01_異動主檔'!$D:$D,B656,'01_異動主檔'!$E:$E,"新增")</f>
        <v/>
      </c>
      <c r="H656" s="4">
        <f>-SUMIFS('01_異動主檔'!$F:$F,'01_異動主檔'!$B:$B,102,'01_異動主檔'!$D:$D,B656,'01_異動主檔'!$E:$E,"減列")</f>
        <v/>
      </c>
      <c r="I656" s="4">
        <f>-SUMIFS('01_異動主檔'!$F:$F,'01_異動主檔'!$B:$B,102,'01_異動主檔'!$D:$D,B656,'01_異動主檔'!$E:$E,"精簡")</f>
        <v/>
      </c>
      <c r="J656" s="10">
        <f>D656+E656+F656+G656+H656+I656</f>
        <v/>
      </c>
    </row>
    <row r="657" ht="18" customHeight="1">
      <c r="A657" s="4" t="inlineStr">
        <is>
          <t>D001</t>
        </is>
      </c>
      <c r="B657" s="3" t="inlineStr">
        <is>
          <t>綜合規劃科</t>
        </is>
      </c>
      <c r="C657" s="4" t="n">
        <v>103</v>
      </c>
      <c r="D657" s="10">
        <f>J656</f>
        <v/>
      </c>
      <c r="E657" s="4">
        <f>SUMIFS('01_異動主檔'!$F:$F,'01_異動主檔'!$B:$B,103,'01_異動主檔'!$D:$D,B657,'01_異動主檔'!$E:$E,"移入")</f>
        <v/>
      </c>
      <c r="F657" s="4">
        <f>-SUMIFS('01_異動主檔'!$F:$F,'01_異動主檔'!$B:$B,103,'01_異動主檔'!$D:$D,B657,'01_異動主檔'!$E:$E,"移出")</f>
        <v/>
      </c>
      <c r="G657" s="4">
        <f>SUMIFS('01_異動主檔'!$F:$F,'01_異動主檔'!$B:$B,103,'01_異動主檔'!$D:$D,B657,'01_異動主檔'!$E:$E,"新增")</f>
        <v/>
      </c>
      <c r="H657" s="4">
        <f>-SUMIFS('01_異動主檔'!$F:$F,'01_異動主檔'!$B:$B,103,'01_異動主檔'!$D:$D,B657,'01_異動主檔'!$E:$E,"減列")</f>
        <v/>
      </c>
      <c r="I657" s="4">
        <f>-SUMIFS('01_異動主檔'!$F:$F,'01_異動主檔'!$B:$B,103,'01_異動主檔'!$D:$D,B657,'01_異動主檔'!$E:$E,"精簡")</f>
        <v/>
      </c>
      <c r="J657" s="10">
        <f>D657+E657+F657+G657+H657+I657</f>
        <v/>
      </c>
    </row>
    <row r="658" ht="18" customHeight="1">
      <c r="A658" s="6" t="inlineStr">
        <is>
          <t>D001</t>
        </is>
      </c>
      <c r="B658" s="5" t="inlineStr">
        <is>
          <t>綜合規劃科</t>
        </is>
      </c>
      <c r="C658" s="6" t="n">
        <v>104</v>
      </c>
      <c r="D658" s="10">
        <f>J657</f>
        <v/>
      </c>
      <c r="E658" s="4">
        <f>SUMIFS('01_異動主檔'!$F:$F,'01_異動主檔'!$B:$B,104,'01_異動主檔'!$D:$D,B658,'01_異動主檔'!$E:$E,"移入")</f>
        <v/>
      </c>
      <c r="F658" s="4">
        <f>-SUMIFS('01_異動主檔'!$F:$F,'01_異動主檔'!$B:$B,104,'01_異動主檔'!$D:$D,B658,'01_異動主檔'!$E:$E,"移出")</f>
        <v/>
      </c>
      <c r="G658" s="4">
        <f>SUMIFS('01_異動主檔'!$F:$F,'01_異動主檔'!$B:$B,104,'01_異動主檔'!$D:$D,B658,'01_異動主檔'!$E:$E,"新增")</f>
        <v/>
      </c>
      <c r="H658" s="4">
        <f>-SUMIFS('01_異動主檔'!$F:$F,'01_異動主檔'!$B:$B,104,'01_異動主檔'!$D:$D,B658,'01_異動主檔'!$E:$E,"減列")</f>
        <v/>
      </c>
      <c r="I658" s="4">
        <f>-SUMIFS('01_異動主檔'!$F:$F,'01_異動主檔'!$B:$B,104,'01_異動主檔'!$D:$D,B658,'01_異動主檔'!$E:$E,"精簡")</f>
        <v/>
      </c>
      <c r="J658" s="10">
        <f>D658+E658+F658+G658+H658+I658</f>
        <v/>
      </c>
    </row>
    <row r="659" ht="18" customHeight="1">
      <c r="A659" s="4" t="inlineStr">
        <is>
          <t>D001</t>
        </is>
      </c>
      <c r="B659" s="3" t="inlineStr">
        <is>
          <t>綜合規劃科</t>
        </is>
      </c>
      <c r="C659" s="4" t="n">
        <v>105</v>
      </c>
      <c r="D659" s="10">
        <f>J658</f>
        <v/>
      </c>
      <c r="E659" s="4">
        <f>SUMIFS('01_異動主檔'!$F:$F,'01_異動主檔'!$B:$B,105,'01_異動主檔'!$D:$D,B659,'01_異動主檔'!$E:$E,"移入")</f>
        <v/>
      </c>
      <c r="F659" s="4">
        <f>-SUMIFS('01_異動主檔'!$F:$F,'01_異動主檔'!$B:$B,105,'01_異動主檔'!$D:$D,B659,'01_異動主檔'!$E:$E,"移出")</f>
        <v/>
      </c>
      <c r="G659" s="4">
        <f>SUMIFS('01_異動主檔'!$F:$F,'01_異動主檔'!$B:$B,105,'01_異動主檔'!$D:$D,B659,'01_異動主檔'!$E:$E,"新增")</f>
        <v/>
      </c>
      <c r="H659" s="4">
        <f>-SUMIFS('01_異動主檔'!$F:$F,'01_異動主檔'!$B:$B,105,'01_異動主檔'!$D:$D,B659,'01_異動主檔'!$E:$E,"減列")</f>
        <v/>
      </c>
      <c r="I659" s="4">
        <f>-SUMIFS('01_異動主檔'!$F:$F,'01_異動主檔'!$B:$B,105,'01_異動主檔'!$D:$D,B659,'01_異動主檔'!$E:$E,"精簡")</f>
        <v/>
      </c>
      <c r="J659" s="10">
        <f>D659+E659+F659+G659+H659+I659</f>
        <v/>
      </c>
    </row>
    <row r="660" ht="18" customHeight="1">
      <c r="A660" s="6" t="inlineStr">
        <is>
          <t>D001</t>
        </is>
      </c>
      <c r="B660" s="5" t="inlineStr">
        <is>
          <t>綜合規劃科</t>
        </is>
      </c>
      <c r="C660" s="6" t="n">
        <v>106</v>
      </c>
      <c r="D660" s="10">
        <f>J659</f>
        <v/>
      </c>
      <c r="E660" s="4">
        <f>SUMIFS('01_異動主檔'!$F:$F,'01_異動主檔'!$B:$B,106,'01_異動主檔'!$D:$D,B660,'01_異動主檔'!$E:$E,"移入")</f>
        <v/>
      </c>
      <c r="F660" s="4">
        <f>-SUMIFS('01_異動主檔'!$F:$F,'01_異動主檔'!$B:$B,106,'01_異動主檔'!$D:$D,B660,'01_異動主檔'!$E:$E,"移出")</f>
        <v/>
      </c>
      <c r="G660" s="4">
        <f>SUMIFS('01_異動主檔'!$F:$F,'01_異動主檔'!$B:$B,106,'01_異動主檔'!$D:$D,B660,'01_異動主檔'!$E:$E,"新增")</f>
        <v/>
      </c>
      <c r="H660" s="4">
        <f>-SUMIFS('01_異動主檔'!$F:$F,'01_異動主檔'!$B:$B,106,'01_異動主檔'!$D:$D,B660,'01_異動主檔'!$E:$E,"減列")</f>
        <v/>
      </c>
      <c r="I660" s="4">
        <f>-SUMIFS('01_異動主檔'!$F:$F,'01_異動主檔'!$B:$B,106,'01_異動主檔'!$D:$D,B660,'01_異動主檔'!$E:$E,"精簡")</f>
        <v/>
      </c>
      <c r="J660" s="10">
        <f>D660+E660+F660+G660+H660+I660</f>
        <v/>
      </c>
    </row>
    <row r="661" ht="18" customHeight="1">
      <c r="A661" s="4" t="inlineStr">
        <is>
          <t>D001</t>
        </is>
      </c>
      <c r="B661" s="3" t="inlineStr">
        <is>
          <t>綜合規劃科</t>
        </is>
      </c>
      <c r="C661" s="4" t="n">
        <v>107</v>
      </c>
      <c r="D661" s="10">
        <f>J660</f>
        <v/>
      </c>
      <c r="E661" s="4">
        <f>SUMIFS('01_異動主檔'!$F:$F,'01_異動主檔'!$B:$B,107,'01_異動主檔'!$D:$D,B661,'01_異動主檔'!$E:$E,"移入")</f>
        <v/>
      </c>
      <c r="F661" s="4">
        <f>-SUMIFS('01_異動主檔'!$F:$F,'01_異動主檔'!$B:$B,107,'01_異動主檔'!$D:$D,B661,'01_異動主檔'!$E:$E,"移出")</f>
        <v/>
      </c>
      <c r="G661" s="4">
        <f>SUMIFS('01_異動主檔'!$F:$F,'01_異動主檔'!$B:$B,107,'01_異動主檔'!$D:$D,B661,'01_異動主檔'!$E:$E,"新增")</f>
        <v/>
      </c>
      <c r="H661" s="4">
        <f>-SUMIFS('01_異動主檔'!$F:$F,'01_異動主檔'!$B:$B,107,'01_異動主檔'!$D:$D,B661,'01_異動主檔'!$E:$E,"減列")</f>
        <v/>
      </c>
      <c r="I661" s="4">
        <f>-SUMIFS('01_異動主檔'!$F:$F,'01_異動主檔'!$B:$B,107,'01_異動主檔'!$D:$D,B661,'01_異動主檔'!$E:$E,"精簡")</f>
        <v/>
      </c>
      <c r="J661" s="10">
        <f>D661+E661+F661+G661+H661+I661</f>
        <v/>
      </c>
    </row>
    <row r="662" ht="18" customHeight="1">
      <c r="A662" s="6" t="inlineStr">
        <is>
          <t>D001</t>
        </is>
      </c>
      <c r="B662" s="5" t="inlineStr">
        <is>
          <t>綜合規劃科</t>
        </is>
      </c>
      <c r="C662" s="6" t="n">
        <v>108</v>
      </c>
      <c r="D662" s="10">
        <f>J661</f>
        <v/>
      </c>
      <c r="E662" s="4">
        <f>SUMIFS('01_異動主檔'!$F:$F,'01_異動主檔'!$B:$B,108,'01_異動主檔'!$D:$D,B662,'01_異動主檔'!$E:$E,"移入")</f>
        <v/>
      </c>
      <c r="F662" s="4">
        <f>-SUMIFS('01_異動主檔'!$F:$F,'01_異動主檔'!$B:$B,108,'01_異動主檔'!$D:$D,B662,'01_異動主檔'!$E:$E,"移出")</f>
        <v/>
      </c>
      <c r="G662" s="4">
        <f>SUMIFS('01_異動主檔'!$F:$F,'01_異動主檔'!$B:$B,108,'01_異動主檔'!$D:$D,B662,'01_異動主檔'!$E:$E,"新增")</f>
        <v/>
      </c>
      <c r="H662" s="4">
        <f>-SUMIFS('01_異動主檔'!$F:$F,'01_異動主檔'!$B:$B,108,'01_異動主檔'!$D:$D,B662,'01_異動主檔'!$E:$E,"減列")</f>
        <v/>
      </c>
      <c r="I662" s="4">
        <f>-SUMIFS('01_異動主檔'!$F:$F,'01_異動主檔'!$B:$B,108,'01_異動主檔'!$D:$D,B662,'01_異動主檔'!$E:$E,"精簡")</f>
        <v/>
      </c>
      <c r="J662" s="10">
        <f>D662+E662+F662+G662+H662+I662</f>
        <v/>
      </c>
    </row>
    <row r="663" ht="18" customHeight="1">
      <c r="A663" s="4" t="inlineStr">
        <is>
          <t>D001</t>
        </is>
      </c>
      <c r="B663" s="3" t="inlineStr">
        <is>
          <t>綜合規劃科</t>
        </is>
      </c>
      <c r="C663" s="4" t="n">
        <v>109</v>
      </c>
      <c r="D663" s="10">
        <f>J662</f>
        <v/>
      </c>
      <c r="E663" s="4">
        <f>SUMIFS('01_異動主檔'!$F:$F,'01_異動主檔'!$B:$B,109,'01_異動主檔'!$D:$D,B663,'01_異動主檔'!$E:$E,"移入")</f>
        <v/>
      </c>
      <c r="F663" s="4">
        <f>-SUMIFS('01_異動主檔'!$F:$F,'01_異動主檔'!$B:$B,109,'01_異動主檔'!$D:$D,B663,'01_異動主檔'!$E:$E,"移出")</f>
        <v/>
      </c>
      <c r="G663" s="4">
        <f>SUMIFS('01_異動主檔'!$F:$F,'01_異動主檔'!$B:$B,109,'01_異動主檔'!$D:$D,B663,'01_異動主檔'!$E:$E,"新增")</f>
        <v/>
      </c>
      <c r="H663" s="4">
        <f>-SUMIFS('01_異動主檔'!$F:$F,'01_異動主檔'!$B:$B,109,'01_異動主檔'!$D:$D,B663,'01_異動主檔'!$E:$E,"減列")</f>
        <v/>
      </c>
      <c r="I663" s="4">
        <f>-SUMIFS('01_異動主檔'!$F:$F,'01_異動主檔'!$B:$B,109,'01_異動主檔'!$D:$D,B663,'01_異動主檔'!$E:$E,"精簡")</f>
        <v/>
      </c>
      <c r="J663" s="10">
        <f>D663+E663+F663+G663+H663+I663</f>
        <v/>
      </c>
    </row>
    <row r="664" ht="18" customHeight="1">
      <c r="A664" s="6" t="inlineStr">
        <is>
          <t>D001</t>
        </is>
      </c>
      <c r="B664" s="5" t="inlineStr">
        <is>
          <t>綜合規劃科</t>
        </is>
      </c>
      <c r="C664" s="6" t="n">
        <v>110</v>
      </c>
      <c r="D664" s="10">
        <f>J663</f>
        <v/>
      </c>
      <c r="E664" s="4">
        <f>SUMIFS('01_異動主檔'!$F:$F,'01_異動主檔'!$B:$B,110,'01_異動主檔'!$D:$D,B664,'01_異動主檔'!$E:$E,"移入")</f>
        <v/>
      </c>
      <c r="F664" s="4">
        <f>-SUMIFS('01_異動主檔'!$F:$F,'01_異動主檔'!$B:$B,110,'01_異動主檔'!$D:$D,B664,'01_異動主檔'!$E:$E,"移出")</f>
        <v/>
      </c>
      <c r="G664" s="4">
        <f>SUMIFS('01_異動主檔'!$F:$F,'01_異動主檔'!$B:$B,110,'01_異動主檔'!$D:$D,B664,'01_異動主檔'!$E:$E,"新增")</f>
        <v/>
      </c>
      <c r="H664" s="4">
        <f>-SUMIFS('01_異動主檔'!$F:$F,'01_異動主檔'!$B:$B,110,'01_異動主檔'!$D:$D,B664,'01_異動主檔'!$E:$E,"減列")</f>
        <v/>
      </c>
      <c r="I664" s="4">
        <f>-SUMIFS('01_異動主檔'!$F:$F,'01_異動主檔'!$B:$B,110,'01_異動主檔'!$D:$D,B664,'01_異動主檔'!$E:$E,"精簡")</f>
        <v/>
      </c>
      <c r="J664" s="10">
        <f>D664+E664+F664+G664+H664+I664</f>
        <v/>
      </c>
    </row>
    <row r="665" ht="18" customHeight="1">
      <c r="A665" s="4" t="inlineStr">
        <is>
          <t>D001</t>
        </is>
      </c>
      <c r="B665" s="3" t="inlineStr">
        <is>
          <t>綜合規劃科</t>
        </is>
      </c>
      <c r="C665" s="4" t="n">
        <v>111</v>
      </c>
      <c r="D665" s="10">
        <f>J664</f>
        <v/>
      </c>
      <c r="E665" s="4">
        <f>SUMIFS('01_異動主檔'!$F:$F,'01_異動主檔'!$B:$B,111,'01_異動主檔'!$D:$D,B665,'01_異動主檔'!$E:$E,"移入")</f>
        <v/>
      </c>
      <c r="F665" s="4">
        <f>-SUMIFS('01_異動主檔'!$F:$F,'01_異動主檔'!$B:$B,111,'01_異動主檔'!$D:$D,B665,'01_異動主檔'!$E:$E,"移出")</f>
        <v/>
      </c>
      <c r="G665" s="4">
        <f>SUMIFS('01_異動主檔'!$F:$F,'01_異動主檔'!$B:$B,111,'01_異動主檔'!$D:$D,B665,'01_異動主檔'!$E:$E,"新增")</f>
        <v/>
      </c>
      <c r="H665" s="4">
        <f>-SUMIFS('01_異動主檔'!$F:$F,'01_異動主檔'!$B:$B,111,'01_異動主檔'!$D:$D,B665,'01_異動主檔'!$E:$E,"減列")</f>
        <v/>
      </c>
      <c r="I665" s="4">
        <f>-SUMIFS('01_異動主檔'!$F:$F,'01_異動主檔'!$B:$B,111,'01_異動主檔'!$D:$D,B665,'01_異動主檔'!$E:$E,"精簡")</f>
        <v/>
      </c>
      <c r="J665" s="10">
        <f>D665+E665+F665+G665+H665+I665</f>
        <v/>
      </c>
    </row>
    <row r="666" ht="18" customHeight="1">
      <c r="A666" s="6" t="inlineStr">
        <is>
          <t>D001</t>
        </is>
      </c>
      <c r="B666" s="5" t="inlineStr">
        <is>
          <t>綜合規劃科</t>
        </is>
      </c>
      <c r="C666" s="6" t="n">
        <v>112</v>
      </c>
      <c r="D666" s="10">
        <f>J665</f>
        <v/>
      </c>
      <c r="E666" s="4">
        <f>SUMIFS('01_異動主檔'!$F:$F,'01_異動主檔'!$B:$B,112,'01_異動主檔'!$D:$D,B666,'01_異動主檔'!$E:$E,"移入")</f>
        <v/>
      </c>
      <c r="F666" s="4">
        <f>-SUMIFS('01_異動主檔'!$F:$F,'01_異動主檔'!$B:$B,112,'01_異動主檔'!$D:$D,B666,'01_異動主檔'!$E:$E,"移出")</f>
        <v/>
      </c>
      <c r="G666" s="4">
        <f>SUMIFS('01_異動主檔'!$F:$F,'01_異動主檔'!$B:$B,112,'01_異動主檔'!$D:$D,B666,'01_異動主檔'!$E:$E,"新增")</f>
        <v/>
      </c>
      <c r="H666" s="4">
        <f>-SUMIFS('01_異動主檔'!$F:$F,'01_異動主檔'!$B:$B,112,'01_異動主檔'!$D:$D,B666,'01_異動主檔'!$E:$E,"減列")</f>
        <v/>
      </c>
      <c r="I666" s="4">
        <f>-SUMIFS('01_異動主檔'!$F:$F,'01_異動主檔'!$B:$B,112,'01_異動主檔'!$D:$D,B666,'01_異動主檔'!$E:$E,"精簡")</f>
        <v/>
      </c>
      <c r="J666" s="10">
        <f>D666+E666+F666+G666+H666+I666</f>
        <v/>
      </c>
    </row>
    <row r="667" ht="18" customHeight="1">
      <c r="A667" s="4" t="inlineStr">
        <is>
          <t>D001</t>
        </is>
      </c>
      <c r="B667" s="3" t="inlineStr">
        <is>
          <t>綜合規劃科</t>
        </is>
      </c>
      <c r="C667" s="4" t="n">
        <v>113</v>
      </c>
      <c r="D667" s="10">
        <f>J666</f>
        <v/>
      </c>
      <c r="E667" s="4">
        <f>SUMIFS('01_異動主檔'!$F:$F,'01_異動主檔'!$B:$B,113,'01_異動主檔'!$D:$D,B667,'01_異動主檔'!$E:$E,"移入")</f>
        <v/>
      </c>
      <c r="F667" s="4">
        <f>-SUMIFS('01_異動主檔'!$F:$F,'01_異動主檔'!$B:$B,113,'01_異動主檔'!$D:$D,B667,'01_異動主檔'!$E:$E,"移出")</f>
        <v/>
      </c>
      <c r="G667" s="4">
        <f>SUMIFS('01_異動主檔'!$F:$F,'01_異動主檔'!$B:$B,113,'01_異動主檔'!$D:$D,B667,'01_異動主檔'!$E:$E,"新增")</f>
        <v/>
      </c>
      <c r="H667" s="4">
        <f>-SUMIFS('01_異動主檔'!$F:$F,'01_異動主檔'!$B:$B,113,'01_異動主檔'!$D:$D,B667,'01_異動主檔'!$E:$E,"減列")</f>
        <v/>
      </c>
      <c r="I667" s="4">
        <f>-SUMIFS('01_異動主檔'!$F:$F,'01_異動主檔'!$B:$B,113,'01_異動主檔'!$D:$D,B667,'01_異動主檔'!$E:$E,"精簡")</f>
        <v/>
      </c>
      <c r="J667" s="10">
        <f>D667+E667+F667+G667+H667+I667</f>
        <v/>
      </c>
    </row>
    <row r="668" ht="18" customHeight="1">
      <c r="A668" s="6" t="inlineStr">
        <is>
          <t>D001</t>
        </is>
      </c>
      <c r="B668" s="5" t="inlineStr">
        <is>
          <t>綜合規劃科</t>
        </is>
      </c>
      <c r="C668" s="6" t="n">
        <v>114</v>
      </c>
      <c r="D668" s="10">
        <f>J667</f>
        <v/>
      </c>
      <c r="E668" s="4">
        <f>SUMIFS('01_異動主檔'!$F:$F,'01_異動主檔'!$B:$B,114,'01_異動主檔'!$D:$D,B668,'01_異動主檔'!$E:$E,"移入")</f>
        <v/>
      </c>
      <c r="F668" s="4">
        <f>-SUMIFS('01_異動主檔'!$F:$F,'01_異動主檔'!$B:$B,114,'01_異動主檔'!$D:$D,B668,'01_異動主檔'!$E:$E,"移出")</f>
        <v/>
      </c>
      <c r="G668" s="4">
        <f>SUMIFS('01_異動主檔'!$F:$F,'01_異動主檔'!$B:$B,114,'01_異動主檔'!$D:$D,B668,'01_異動主檔'!$E:$E,"新增")</f>
        <v/>
      </c>
      <c r="H668" s="4">
        <f>-SUMIFS('01_異動主檔'!$F:$F,'01_異動主檔'!$B:$B,114,'01_異動主檔'!$D:$D,B668,'01_異動主檔'!$E:$E,"減列")</f>
        <v/>
      </c>
      <c r="I668" s="4">
        <f>-SUMIFS('01_異動主檔'!$F:$F,'01_異動主檔'!$B:$B,114,'01_異動主檔'!$D:$D,B668,'01_異動主檔'!$E:$E,"精簡")</f>
        <v/>
      </c>
      <c r="J668" s="10">
        <f>D668+E668+F668+G668+H668+I668</f>
        <v/>
      </c>
    </row>
    <row r="669" ht="18" customHeight="1">
      <c r="A669" s="4" t="inlineStr">
        <is>
          <t>D001</t>
        </is>
      </c>
      <c r="B669" s="3" t="inlineStr">
        <is>
          <t>綜合規劃科</t>
        </is>
      </c>
      <c r="C669" s="4" t="n">
        <v>115</v>
      </c>
      <c r="D669" s="10">
        <f>J668</f>
        <v/>
      </c>
      <c r="E669" s="4">
        <f>SUMIFS('01_異動主檔'!$F:$F,'01_異動主檔'!$B:$B,115,'01_異動主檔'!$D:$D,B669,'01_異動主檔'!$E:$E,"移入")</f>
        <v/>
      </c>
      <c r="F669" s="4">
        <f>-SUMIFS('01_異動主檔'!$F:$F,'01_異動主檔'!$B:$B,115,'01_異動主檔'!$D:$D,B669,'01_異動主檔'!$E:$E,"移出")</f>
        <v/>
      </c>
      <c r="G669" s="4">
        <f>SUMIFS('01_異動主檔'!$F:$F,'01_異動主檔'!$B:$B,115,'01_異動主檔'!$D:$D,B669,'01_異動主檔'!$E:$E,"新增")</f>
        <v/>
      </c>
      <c r="H669" s="4">
        <f>-SUMIFS('01_異動主檔'!$F:$F,'01_異動主檔'!$B:$B,115,'01_異動主檔'!$D:$D,B669,'01_異動主檔'!$E:$E,"減列")</f>
        <v/>
      </c>
      <c r="I669" s="4">
        <f>-SUMIFS('01_異動主檔'!$F:$F,'01_異動主檔'!$B:$B,115,'01_異動主檔'!$D:$D,B669,'01_異動主檔'!$E:$E,"精簡")</f>
        <v/>
      </c>
      <c r="J669" s="10">
        <f>D669+E669+F669+G669+H669+I669</f>
        <v/>
      </c>
    </row>
    <row r="670" ht="18" customHeight="1">
      <c r="A670" s="6" t="inlineStr">
        <is>
          <t>D001</t>
        </is>
      </c>
      <c r="B670" s="5" t="inlineStr">
        <is>
          <t>綜合規劃科</t>
        </is>
      </c>
      <c r="C670" s="6" t="n">
        <v>116</v>
      </c>
      <c r="D670" s="10">
        <f>J669</f>
        <v/>
      </c>
      <c r="E670" s="4">
        <f>SUMIFS('01_異動主檔'!$F:$F,'01_異動主檔'!$B:$B,116,'01_異動主檔'!$D:$D,B670,'01_異動主檔'!$E:$E,"移入")</f>
        <v/>
      </c>
      <c r="F670" s="4">
        <f>-SUMIFS('01_異動主檔'!$F:$F,'01_異動主檔'!$B:$B,116,'01_異動主檔'!$D:$D,B670,'01_異動主檔'!$E:$E,"移出")</f>
        <v/>
      </c>
      <c r="G670" s="4">
        <f>SUMIFS('01_異動主檔'!$F:$F,'01_異動主檔'!$B:$B,116,'01_異動主檔'!$D:$D,B670,'01_異動主檔'!$E:$E,"新增")</f>
        <v/>
      </c>
      <c r="H670" s="4">
        <f>-SUMIFS('01_異動主檔'!$F:$F,'01_異動主檔'!$B:$B,116,'01_異動主檔'!$D:$D,B670,'01_異動主檔'!$E:$E,"減列")</f>
        <v/>
      </c>
      <c r="I670" s="4">
        <f>-SUMIFS('01_異動主檔'!$F:$F,'01_異動主檔'!$B:$B,116,'01_異動主檔'!$D:$D,B670,'01_異動主檔'!$E:$E,"精簡")</f>
        <v/>
      </c>
      <c r="J670" s="10">
        <f>D670+E670+F670+G670+H670+I670</f>
        <v/>
      </c>
    </row>
    <row r="671" ht="18" customHeight="1">
      <c r="A671" s="4" t="inlineStr">
        <is>
          <t>D001</t>
        </is>
      </c>
      <c r="B671" s="3" t="inlineStr">
        <is>
          <t>綜合規劃科</t>
        </is>
      </c>
      <c r="C671" s="4" t="n">
        <v>117</v>
      </c>
      <c r="D671" s="10">
        <f>J670</f>
        <v/>
      </c>
      <c r="E671" s="4">
        <f>SUMIFS('01_異動主檔'!$F:$F,'01_異動主檔'!$B:$B,117,'01_異動主檔'!$D:$D,B671,'01_異動主檔'!$E:$E,"移入")</f>
        <v/>
      </c>
      <c r="F671" s="4">
        <f>-SUMIFS('01_異動主檔'!$F:$F,'01_異動主檔'!$B:$B,117,'01_異動主檔'!$D:$D,B671,'01_異動主檔'!$E:$E,"移出")</f>
        <v/>
      </c>
      <c r="G671" s="4">
        <f>SUMIFS('01_異動主檔'!$F:$F,'01_異動主檔'!$B:$B,117,'01_異動主檔'!$D:$D,B671,'01_異動主檔'!$E:$E,"新增")</f>
        <v/>
      </c>
      <c r="H671" s="4">
        <f>-SUMIFS('01_異動主檔'!$F:$F,'01_異動主檔'!$B:$B,117,'01_異動主檔'!$D:$D,B671,'01_異動主檔'!$E:$E,"減列")</f>
        <v/>
      </c>
      <c r="I671" s="4">
        <f>-SUMIFS('01_異動主檔'!$F:$F,'01_異動主檔'!$B:$B,117,'01_異動主檔'!$D:$D,B671,'01_異動主檔'!$E:$E,"精簡")</f>
        <v/>
      </c>
      <c r="J671" s="10">
        <f>D671+E671+F671+G671+H671+I671</f>
        <v/>
      </c>
    </row>
    <row r="672" ht="18" customHeight="1">
      <c r="A672" s="6" t="inlineStr">
        <is>
          <t>D001</t>
        </is>
      </c>
      <c r="B672" s="5" t="inlineStr">
        <is>
          <t>綜合規劃科</t>
        </is>
      </c>
      <c r="C672" s="6" t="n">
        <v>118</v>
      </c>
      <c r="D672" s="10">
        <f>J671</f>
        <v/>
      </c>
      <c r="E672" s="4">
        <f>SUMIFS('01_異動主檔'!$F:$F,'01_異動主檔'!$B:$B,118,'01_異動主檔'!$D:$D,B672,'01_異動主檔'!$E:$E,"移入")</f>
        <v/>
      </c>
      <c r="F672" s="4">
        <f>-SUMIFS('01_異動主檔'!$F:$F,'01_異動主檔'!$B:$B,118,'01_異動主檔'!$D:$D,B672,'01_異動主檔'!$E:$E,"移出")</f>
        <v/>
      </c>
      <c r="G672" s="4">
        <f>SUMIFS('01_異動主檔'!$F:$F,'01_異動主檔'!$B:$B,118,'01_異動主檔'!$D:$D,B672,'01_異動主檔'!$E:$E,"新增")</f>
        <v/>
      </c>
      <c r="H672" s="4">
        <f>-SUMIFS('01_異動主檔'!$F:$F,'01_異動主檔'!$B:$B,118,'01_異動主檔'!$D:$D,B672,'01_異動主檔'!$E:$E,"減列")</f>
        <v/>
      </c>
      <c r="I672" s="4">
        <f>-SUMIFS('01_異動主檔'!$F:$F,'01_異動主檔'!$B:$B,118,'01_異動主檔'!$D:$D,B672,'01_異動主檔'!$E:$E,"精簡")</f>
        <v/>
      </c>
      <c r="J672" s="10">
        <f>D672+E672+F672+G672+H672+I672</f>
        <v/>
      </c>
    </row>
    <row r="673" ht="18" customHeight="1">
      <c r="A673" s="4" t="inlineStr">
        <is>
          <t>D001</t>
        </is>
      </c>
      <c r="B673" s="3" t="inlineStr">
        <is>
          <t>綜合規劃科</t>
        </is>
      </c>
      <c r="C673" s="4" t="n">
        <v>119</v>
      </c>
      <c r="D673" s="10">
        <f>J672</f>
        <v/>
      </c>
      <c r="E673" s="4">
        <f>SUMIFS('01_異動主檔'!$F:$F,'01_異動主檔'!$B:$B,119,'01_異動主檔'!$D:$D,B673,'01_異動主檔'!$E:$E,"移入")</f>
        <v/>
      </c>
      <c r="F673" s="4">
        <f>-SUMIFS('01_異動主檔'!$F:$F,'01_異動主檔'!$B:$B,119,'01_異動主檔'!$D:$D,B673,'01_異動主檔'!$E:$E,"移出")</f>
        <v/>
      </c>
      <c r="G673" s="4">
        <f>SUMIFS('01_異動主檔'!$F:$F,'01_異動主檔'!$B:$B,119,'01_異動主檔'!$D:$D,B673,'01_異動主檔'!$E:$E,"新增")</f>
        <v/>
      </c>
      <c r="H673" s="4">
        <f>-SUMIFS('01_異動主檔'!$F:$F,'01_異動主檔'!$B:$B,119,'01_異動主檔'!$D:$D,B673,'01_異動主檔'!$E:$E,"減列")</f>
        <v/>
      </c>
      <c r="I673" s="4">
        <f>-SUMIFS('01_異動主檔'!$F:$F,'01_異動主檔'!$B:$B,119,'01_異動主檔'!$D:$D,B673,'01_異動主檔'!$E:$E,"精簡")</f>
        <v/>
      </c>
      <c r="J673" s="10">
        <f>D673+E673+F673+G673+H673+I673</f>
        <v/>
      </c>
    </row>
    <row r="674" ht="18" customHeight="1">
      <c r="A674" s="6" t="inlineStr">
        <is>
          <t>D001</t>
        </is>
      </c>
      <c r="B674" s="5" t="inlineStr">
        <is>
          <t>綜合規劃科</t>
        </is>
      </c>
      <c r="C674" s="6" t="n">
        <v>120</v>
      </c>
      <c r="D674" s="10">
        <f>J673</f>
        <v/>
      </c>
      <c r="E674" s="4">
        <f>SUMIFS('01_異動主檔'!$F:$F,'01_異動主檔'!$B:$B,120,'01_異動主檔'!$D:$D,B674,'01_異動主檔'!$E:$E,"移入")</f>
        <v/>
      </c>
      <c r="F674" s="4">
        <f>-SUMIFS('01_異動主檔'!$F:$F,'01_異動主檔'!$B:$B,120,'01_異動主檔'!$D:$D,B674,'01_異動主檔'!$E:$E,"移出")</f>
        <v/>
      </c>
      <c r="G674" s="4">
        <f>SUMIFS('01_異動主檔'!$F:$F,'01_異動主檔'!$B:$B,120,'01_異動主檔'!$D:$D,B674,'01_異動主檔'!$E:$E,"新增")</f>
        <v/>
      </c>
      <c r="H674" s="4">
        <f>-SUMIFS('01_異動主檔'!$F:$F,'01_異動主檔'!$B:$B,120,'01_異動主檔'!$D:$D,B674,'01_異動主檔'!$E:$E,"減列")</f>
        <v/>
      </c>
      <c r="I674" s="4">
        <f>-SUMIFS('01_異動主檔'!$F:$F,'01_異動主檔'!$B:$B,120,'01_異動主檔'!$D:$D,B674,'01_異動主檔'!$E:$E,"精簡")</f>
        <v/>
      </c>
      <c r="J674" s="10">
        <f>D674+E674+F674+G674+H674+I674</f>
        <v/>
      </c>
    </row>
    <row r="675" ht="18" customHeight="1">
      <c r="A675" s="4" t="inlineStr">
        <is>
          <t>D001</t>
        </is>
      </c>
      <c r="B675" s="3" t="inlineStr">
        <is>
          <t>綜合規劃科</t>
        </is>
      </c>
      <c r="C675" s="4" t="n">
        <v>121</v>
      </c>
      <c r="D675" s="10">
        <f>J674</f>
        <v/>
      </c>
      <c r="E675" s="4">
        <f>SUMIFS('01_異動主檔'!$F:$F,'01_異動主檔'!$B:$B,121,'01_異動主檔'!$D:$D,B675,'01_異動主檔'!$E:$E,"移入")</f>
        <v/>
      </c>
      <c r="F675" s="4">
        <f>-SUMIFS('01_異動主檔'!$F:$F,'01_異動主檔'!$B:$B,121,'01_異動主檔'!$D:$D,B675,'01_異動主檔'!$E:$E,"移出")</f>
        <v/>
      </c>
      <c r="G675" s="4">
        <f>SUMIFS('01_異動主檔'!$F:$F,'01_異動主檔'!$B:$B,121,'01_異動主檔'!$D:$D,B675,'01_異動主檔'!$E:$E,"新增")</f>
        <v/>
      </c>
      <c r="H675" s="4">
        <f>-SUMIFS('01_異動主檔'!$F:$F,'01_異動主檔'!$B:$B,121,'01_異動主檔'!$D:$D,B675,'01_異動主檔'!$E:$E,"減列")</f>
        <v/>
      </c>
      <c r="I675" s="4">
        <f>-SUMIFS('01_異動主檔'!$F:$F,'01_異動主檔'!$B:$B,121,'01_異動主檔'!$D:$D,B675,'01_異動主檔'!$E:$E,"精簡")</f>
        <v/>
      </c>
      <c r="J675" s="10">
        <f>D675+E675+F675+G675+H675+I675</f>
        <v/>
      </c>
    </row>
    <row r="676" ht="18" customHeight="1">
      <c r="A676" s="6" t="inlineStr">
        <is>
          <t>D001</t>
        </is>
      </c>
      <c r="B676" s="5" t="inlineStr">
        <is>
          <t>綜合規劃科</t>
        </is>
      </c>
      <c r="C676" s="6" t="n">
        <v>122</v>
      </c>
      <c r="D676" s="10">
        <f>J675</f>
        <v/>
      </c>
      <c r="E676" s="4">
        <f>SUMIFS('01_異動主檔'!$F:$F,'01_異動主檔'!$B:$B,122,'01_異動主檔'!$D:$D,B676,'01_異動主檔'!$E:$E,"移入")</f>
        <v/>
      </c>
      <c r="F676" s="4">
        <f>-SUMIFS('01_異動主檔'!$F:$F,'01_異動主檔'!$B:$B,122,'01_異動主檔'!$D:$D,B676,'01_異動主檔'!$E:$E,"移出")</f>
        <v/>
      </c>
      <c r="G676" s="4">
        <f>SUMIFS('01_異動主檔'!$F:$F,'01_異動主檔'!$B:$B,122,'01_異動主檔'!$D:$D,B676,'01_異動主檔'!$E:$E,"新增")</f>
        <v/>
      </c>
      <c r="H676" s="4">
        <f>-SUMIFS('01_異動主檔'!$F:$F,'01_異動主檔'!$B:$B,122,'01_異動主檔'!$D:$D,B676,'01_異動主檔'!$E:$E,"減列")</f>
        <v/>
      </c>
      <c r="I676" s="4">
        <f>-SUMIFS('01_異動主檔'!$F:$F,'01_異動主檔'!$B:$B,122,'01_異動主檔'!$D:$D,B676,'01_異動主檔'!$E:$E,"精簡")</f>
        <v/>
      </c>
      <c r="J676" s="10">
        <f>D676+E676+F676+G676+H676+I676</f>
        <v/>
      </c>
    </row>
    <row r="677" ht="18" customHeight="1">
      <c r="A677" s="4" t="inlineStr">
        <is>
          <t>D001</t>
        </is>
      </c>
      <c r="B677" s="3" t="inlineStr">
        <is>
          <t>綜合規劃科</t>
        </is>
      </c>
      <c r="C677" s="4" t="n">
        <v>123</v>
      </c>
      <c r="D677" s="10">
        <f>J676</f>
        <v/>
      </c>
      <c r="E677" s="4">
        <f>SUMIFS('01_異動主檔'!$F:$F,'01_異動主檔'!$B:$B,123,'01_異動主檔'!$D:$D,B677,'01_異動主檔'!$E:$E,"移入")</f>
        <v/>
      </c>
      <c r="F677" s="4">
        <f>-SUMIFS('01_異動主檔'!$F:$F,'01_異動主檔'!$B:$B,123,'01_異動主檔'!$D:$D,B677,'01_異動主檔'!$E:$E,"移出")</f>
        <v/>
      </c>
      <c r="G677" s="4">
        <f>SUMIFS('01_異動主檔'!$F:$F,'01_異動主檔'!$B:$B,123,'01_異動主檔'!$D:$D,B677,'01_異動主檔'!$E:$E,"新增")</f>
        <v/>
      </c>
      <c r="H677" s="4">
        <f>-SUMIFS('01_異動主檔'!$F:$F,'01_異動主檔'!$B:$B,123,'01_異動主檔'!$D:$D,B677,'01_異動主檔'!$E:$E,"減列")</f>
        <v/>
      </c>
      <c r="I677" s="4">
        <f>-SUMIFS('01_異動主檔'!$F:$F,'01_異動主檔'!$B:$B,123,'01_異動主檔'!$D:$D,B677,'01_異動主檔'!$E:$E,"精簡")</f>
        <v/>
      </c>
      <c r="J677" s="10">
        <f>D677+E677+F677+G677+H677+I677</f>
        <v/>
      </c>
    </row>
    <row r="678" ht="18" customHeight="1">
      <c r="A678" s="6" t="inlineStr">
        <is>
          <t>D001</t>
        </is>
      </c>
      <c r="B678" s="5" t="inlineStr">
        <is>
          <t>綜合規劃科</t>
        </is>
      </c>
      <c r="C678" s="6" t="n">
        <v>124</v>
      </c>
      <c r="D678" s="10">
        <f>J677</f>
        <v/>
      </c>
      <c r="E678" s="4">
        <f>SUMIFS('01_異動主檔'!$F:$F,'01_異動主檔'!$B:$B,124,'01_異動主檔'!$D:$D,B678,'01_異動主檔'!$E:$E,"移入")</f>
        <v/>
      </c>
      <c r="F678" s="4">
        <f>-SUMIFS('01_異動主檔'!$F:$F,'01_異動主檔'!$B:$B,124,'01_異動主檔'!$D:$D,B678,'01_異動主檔'!$E:$E,"移出")</f>
        <v/>
      </c>
      <c r="G678" s="4">
        <f>SUMIFS('01_異動主檔'!$F:$F,'01_異動主檔'!$B:$B,124,'01_異動主檔'!$D:$D,B678,'01_異動主檔'!$E:$E,"新增")</f>
        <v/>
      </c>
      <c r="H678" s="4">
        <f>-SUMIFS('01_異動主檔'!$F:$F,'01_異動主檔'!$B:$B,124,'01_異動主檔'!$D:$D,B678,'01_異動主檔'!$E:$E,"減列")</f>
        <v/>
      </c>
      <c r="I678" s="4">
        <f>-SUMIFS('01_異動主檔'!$F:$F,'01_異動主檔'!$B:$B,124,'01_異動主檔'!$D:$D,B678,'01_異動主檔'!$E:$E,"精簡")</f>
        <v/>
      </c>
      <c r="J678" s="10">
        <f>D678+E678+F678+G678+H678+I678</f>
        <v/>
      </c>
    </row>
    <row r="679" ht="18" customHeight="1">
      <c r="A679" s="4" t="inlineStr">
        <is>
          <t>D001</t>
        </is>
      </c>
      <c r="B679" s="3" t="inlineStr">
        <is>
          <t>綜合規劃科</t>
        </is>
      </c>
      <c r="C679" s="4" t="n">
        <v>125</v>
      </c>
      <c r="D679" s="10">
        <f>J678</f>
        <v/>
      </c>
      <c r="E679" s="4">
        <f>SUMIFS('01_異動主檔'!$F:$F,'01_異動主檔'!$B:$B,125,'01_異動主檔'!$D:$D,B679,'01_異動主檔'!$E:$E,"移入")</f>
        <v/>
      </c>
      <c r="F679" s="4">
        <f>-SUMIFS('01_異動主檔'!$F:$F,'01_異動主檔'!$B:$B,125,'01_異動主檔'!$D:$D,B679,'01_異動主檔'!$E:$E,"移出")</f>
        <v/>
      </c>
      <c r="G679" s="4">
        <f>SUMIFS('01_異動主檔'!$F:$F,'01_異動主檔'!$B:$B,125,'01_異動主檔'!$D:$D,B679,'01_異動主檔'!$E:$E,"新增")</f>
        <v/>
      </c>
      <c r="H679" s="4">
        <f>-SUMIFS('01_異動主檔'!$F:$F,'01_異動主檔'!$B:$B,125,'01_異動主檔'!$D:$D,B679,'01_異動主檔'!$E:$E,"減列")</f>
        <v/>
      </c>
      <c r="I679" s="4">
        <f>-SUMIFS('01_異動主檔'!$F:$F,'01_異動主檔'!$B:$B,125,'01_異動主檔'!$D:$D,B679,'01_異動主檔'!$E:$E,"精簡")</f>
        <v/>
      </c>
      <c r="J679" s="10">
        <f>D679+E679+F679+G679+H679+I679</f>
        <v/>
      </c>
    </row>
    <row r="680" ht="18" customHeight="1">
      <c r="A680" s="6" t="inlineStr">
        <is>
          <t>D002</t>
        </is>
      </c>
      <c r="B680" s="5" t="inlineStr">
        <is>
          <t>歲計科</t>
        </is>
      </c>
      <c r="C680" s="6" t="n">
        <v>99</v>
      </c>
      <c r="D680" s="10">
        <f>'02_年初員額設定'!C30</f>
        <v/>
      </c>
      <c r="E680" s="4">
        <f>SUMIFS('01_異動主檔'!$F:$F,'01_異動主檔'!$B:$B,99,'01_異動主檔'!$D:$D,B680,'01_異動主檔'!$E:$E,"移入")</f>
        <v/>
      </c>
      <c r="F680" s="4">
        <f>-SUMIFS('01_異動主檔'!$F:$F,'01_異動主檔'!$B:$B,99,'01_異動主檔'!$D:$D,B680,'01_異動主檔'!$E:$E,"移出")</f>
        <v/>
      </c>
      <c r="G680" s="4">
        <f>SUMIFS('01_異動主檔'!$F:$F,'01_異動主檔'!$B:$B,99,'01_異動主檔'!$D:$D,B680,'01_異動主檔'!$E:$E,"新增")</f>
        <v/>
      </c>
      <c r="H680" s="4">
        <f>-SUMIFS('01_異動主檔'!$F:$F,'01_異動主檔'!$B:$B,99,'01_異動主檔'!$D:$D,B680,'01_異動主檔'!$E:$E,"減列")</f>
        <v/>
      </c>
      <c r="I680" s="4">
        <f>-SUMIFS('01_異動主檔'!$F:$F,'01_異動主檔'!$B:$B,99,'01_異動主檔'!$D:$D,B680,'01_異動主檔'!$E:$E,"精簡")</f>
        <v/>
      </c>
      <c r="J680" s="10">
        <f>D680+E680+F680+G680+H680+I680</f>
        <v/>
      </c>
    </row>
    <row r="681" ht="18" customHeight="1">
      <c r="A681" s="4" t="inlineStr">
        <is>
          <t>D002</t>
        </is>
      </c>
      <c r="B681" s="3" t="inlineStr">
        <is>
          <t>歲計科</t>
        </is>
      </c>
      <c r="C681" s="4" t="n">
        <v>100</v>
      </c>
      <c r="D681" s="10">
        <f>J680</f>
        <v/>
      </c>
      <c r="E681" s="4">
        <f>SUMIFS('01_異動主檔'!$F:$F,'01_異動主檔'!$B:$B,100,'01_異動主檔'!$D:$D,B681,'01_異動主檔'!$E:$E,"移入")</f>
        <v/>
      </c>
      <c r="F681" s="4">
        <f>-SUMIFS('01_異動主檔'!$F:$F,'01_異動主檔'!$B:$B,100,'01_異動主檔'!$D:$D,B681,'01_異動主檔'!$E:$E,"移出")</f>
        <v/>
      </c>
      <c r="G681" s="4">
        <f>SUMIFS('01_異動主檔'!$F:$F,'01_異動主檔'!$B:$B,100,'01_異動主檔'!$D:$D,B681,'01_異動主檔'!$E:$E,"新增")</f>
        <v/>
      </c>
      <c r="H681" s="4">
        <f>-SUMIFS('01_異動主檔'!$F:$F,'01_異動主檔'!$B:$B,100,'01_異動主檔'!$D:$D,B681,'01_異動主檔'!$E:$E,"減列")</f>
        <v/>
      </c>
      <c r="I681" s="4">
        <f>-SUMIFS('01_異動主檔'!$F:$F,'01_異動主檔'!$B:$B,100,'01_異動主檔'!$D:$D,B681,'01_異動主檔'!$E:$E,"精簡")</f>
        <v/>
      </c>
      <c r="J681" s="10">
        <f>D681+E681+F681+G681+H681+I681</f>
        <v/>
      </c>
    </row>
    <row r="682" ht="18" customHeight="1">
      <c r="A682" s="6" t="inlineStr">
        <is>
          <t>D002</t>
        </is>
      </c>
      <c r="B682" s="5" t="inlineStr">
        <is>
          <t>歲計科</t>
        </is>
      </c>
      <c r="C682" s="6" t="n">
        <v>101</v>
      </c>
      <c r="D682" s="10">
        <f>J681</f>
        <v/>
      </c>
      <c r="E682" s="4">
        <f>SUMIFS('01_異動主檔'!$F:$F,'01_異動主檔'!$B:$B,101,'01_異動主檔'!$D:$D,B682,'01_異動主檔'!$E:$E,"移入")</f>
        <v/>
      </c>
      <c r="F682" s="4">
        <f>-SUMIFS('01_異動主檔'!$F:$F,'01_異動主檔'!$B:$B,101,'01_異動主檔'!$D:$D,B682,'01_異動主檔'!$E:$E,"移出")</f>
        <v/>
      </c>
      <c r="G682" s="4">
        <f>SUMIFS('01_異動主檔'!$F:$F,'01_異動主檔'!$B:$B,101,'01_異動主檔'!$D:$D,B682,'01_異動主檔'!$E:$E,"新增")</f>
        <v/>
      </c>
      <c r="H682" s="4">
        <f>-SUMIFS('01_異動主檔'!$F:$F,'01_異動主檔'!$B:$B,101,'01_異動主檔'!$D:$D,B682,'01_異動主檔'!$E:$E,"減列")</f>
        <v/>
      </c>
      <c r="I682" s="4">
        <f>-SUMIFS('01_異動主檔'!$F:$F,'01_異動主檔'!$B:$B,101,'01_異動主檔'!$D:$D,B682,'01_異動主檔'!$E:$E,"精簡")</f>
        <v/>
      </c>
      <c r="J682" s="10">
        <f>D682+E682+F682+G682+H682+I682</f>
        <v/>
      </c>
    </row>
    <row r="683" ht="18" customHeight="1">
      <c r="A683" s="4" t="inlineStr">
        <is>
          <t>D002</t>
        </is>
      </c>
      <c r="B683" s="3" t="inlineStr">
        <is>
          <t>歲計科</t>
        </is>
      </c>
      <c r="C683" s="4" t="n">
        <v>102</v>
      </c>
      <c r="D683" s="10">
        <f>J682</f>
        <v/>
      </c>
      <c r="E683" s="4">
        <f>SUMIFS('01_異動主檔'!$F:$F,'01_異動主檔'!$B:$B,102,'01_異動主檔'!$D:$D,B683,'01_異動主檔'!$E:$E,"移入")</f>
        <v/>
      </c>
      <c r="F683" s="4">
        <f>-SUMIFS('01_異動主檔'!$F:$F,'01_異動主檔'!$B:$B,102,'01_異動主檔'!$D:$D,B683,'01_異動主檔'!$E:$E,"移出")</f>
        <v/>
      </c>
      <c r="G683" s="4">
        <f>SUMIFS('01_異動主檔'!$F:$F,'01_異動主檔'!$B:$B,102,'01_異動主檔'!$D:$D,B683,'01_異動主檔'!$E:$E,"新增")</f>
        <v/>
      </c>
      <c r="H683" s="4">
        <f>-SUMIFS('01_異動主檔'!$F:$F,'01_異動主檔'!$B:$B,102,'01_異動主檔'!$D:$D,B683,'01_異動主檔'!$E:$E,"減列")</f>
        <v/>
      </c>
      <c r="I683" s="4">
        <f>-SUMIFS('01_異動主檔'!$F:$F,'01_異動主檔'!$B:$B,102,'01_異動主檔'!$D:$D,B683,'01_異動主檔'!$E:$E,"精簡")</f>
        <v/>
      </c>
      <c r="J683" s="10">
        <f>D683+E683+F683+G683+H683+I683</f>
        <v/>
      </c>
    </row>
    <row r="684" ht="18" customHeight="1">
      <c r="A684" s="6" t="inlineStr">
        <is>
          <t>D002</t>
        </is>
      </c>
      <c r="B684" s="5" t="inlineStr">
        <is>
          <t>歲計科</t>
        </is>
      </c>
      <c r="C684" s="6" t="n">
        <v>103</v>
      </c>
      <c r="D684" s="10">
        <f>J683</f>
        <v/>
      </c>
      <c r="E684" s="4">
        <f>SUMIFS('01_異動主檔'!$F:$F,'01_異動主檔'!$B:$B,103,'01_異動主檔'!$D:$D,B684,'01_異動主檔'!$E:$E,"移入")</f>
        <v/>
      </c>
      <c r="F684" s="4">
        <f>-SUMIFS('01_異動主檔'!$F:$F,'01_異動主檔'!$B:$B,103,'01_異動主檔'!$D:$D,B684,'01_異動主檔'!$E:$E,"移出")</f>
        <v/>
      </c>
      <c r="G684" s="4">
        <f>SUMIFS('01_異動主檔'!$F:$F,'01_異動主檔'!$B:$B,103,'01_異動主檔'!$D:$D,B684,'01_異動主檔'!$E:$E,"新增")</f>
        <v/>
      </c>
      <c r="H684" s="4">
        <f>-SUMIFS('01_異動主檔'!$F:$F,'01_異動主檔'!$B:$B,103,'01_異動主檔'!$D:$D,B684,'01_異動主檔'!$E:$E,"減列")</f>
        <v/>
      </c>
      <c r="I684" s="4">
        <f>-SUMIFS('01_異動主檔'!$F:$F,'01_異動主檔'!$B:$B,103,'01_異動主檔'!$D:$D,B684,'01_異動主檔'!$E:$E,"精簡")</f>
        <v/>
      </c>
      <c r="J684" s="10">
        <f>D684+E684+F684+G684+H684+I684</f>
        <v/>
      </c>
    </row>
    <row r="685" ht="18" customHeight="1">
      <c r="A685" s="4" t="inlineStr">
        <is>
          <t>D002</t>
        </is>
      </c>
      <c r="B685" s="3" t="inlineStr">
        <is>
          <t>歲計科</t>
        </is>
      </c>
      <c r="C685" s="4" t="n">
        <v>104</v>
      </c>
      <c r="D685" s="10">
        <f>J684</f>
        <v/>
      </c>
      <c r="E685" s="4">
        <f>SUMIFS('01_異動主檔'!$F:$F,'01_異動主檔'!$B:$B,104,'01_異動主檔'!$D:$D,B685,'01_異動主檔'!$E:$E,"移入")</f>
        <v/>
      </c>
      <c r="F685" s="4">
        <f>-SUMIFS('01_異動主檔'!$F:$F,'01_異動主檔'!$B:$B,104,'01_異動主檔'!$D:$D,B685,'01_異動主檔'!$E:$E,"移出")</f>
        <v/>
      </c>
      <c r="G685" s="4">
        <f>SUMIFS('01_異動主檔'!$F:$F,'01_異動主檔'!$B:$B,104,'01_異動主檔'!$D:$D,B685,'01_異動主檔'!$E:$E,"新增")</f>
        <v/>
      </c>
      <c r="H685" s="4">
        <f>-SUMIFS('01_異動主檔'!$F:$F,'01_異動主檔'!$B:$B,104,'01_異動主檔'!$D:$D,B685,'01_異動主檔'!$E:$E,"減列")</f>
        <v/>
      </c>
      <c r="I685" s="4">
        <f>-SUMIFS('01_異動主檔'!$F:$F,'01_異動主檔'!$B:$B,104,'01_異動主檔'!$D:$D,B685,'01_異動主檔'!$E:$E,"精簡")</f>
        <v/>
      </c>
      <c r="J685" s="10">
        <f>D685+E685+F685+G685+H685+I685</f>
        <v/>
      </c>
    </row>
    <row r="686" ht="18" customHeight="1">
      <c r="A686" s="6" t="inlineStr">
        <is>
          <t>D002</t>
        </is>
      </c>
      <c r="B686" s="5" t="inlineStr">
        <is>
          <t>歲計科</t>
        </is>
      </c>
      <c r="C686" s="6" t="n">
        <v>105</v>
      </c>
      <c r="D686" s="10">
        <f>J685</f>
        <v/>
      </c>
      <c r="E686" s="4">
        <f>SUMIFS('01_異動主檔'!$F:$F,'01_異動主檔'!$B:$B,105,'01_異動主檔'!$D:$D,B686,'01_異動主檔'!$E:$E,"移入")</f>
        <v/>
      </c>
      <c r="F686" s="4">
        <f>-SUMIFS('01_異動主檔'!$F:$F,'01_異動主檔'!$B:$B,105,'01_異動主檔'!$D:$D,B686,'01_異動主檔'!$E:$E,"移出")</f>
        <v/>
      </c>
      <c r="G686" s="4">
        <f>SUMIFS('01_異動主檔'!$F:$F,'01_異動主檔'!$B:$B,105,'01_異動主檔'!$D:$D,B686,'01_異動主檔'!$E:$E,"新增")</f>
        <v/>
      </c>
      <c r="H686" s="4">
        <f>-SUMIFS('01_異動主檔'!$F:$F,'01_異動主檔'!$B:$B,105,'01_異動主檔'!$D:$D,B686,'01_異動主檔'!$E:$E,"減列")</f>
        <v/>
      </c>
      <c r="I686" s="4">
        <f>-SUMIFS('01_異動主檔'!$F:$F,'01_異動主檔'!$B:$B,105,'01_異動主檔'!$D:$D,B686,'01_異動主檔'!$E:$E,"精簡")</f>
        <v/>
      </c>
      <c r="J686" s="10">
        <f>D686+E686+F686+G686+H686+I686</f>
        <v/>
      </c>
    </row>
    <row r="687" ht="18" customHeight="1">
      <c r="A687" s="4" t="inlineStr">
        <is>
          <t>D002</t>
        </is>
      </c>
      <c r="B687" s="3" t="inlineStr">
        <is>
          <t>歲計科</t>
        </is>
      </c>
      <c r="C687" s="4" t="n">
        <v>106</v>
      </c>
      <c r="D687" s="10">
        <f>J686</f>
        <v/>
      </c>
      <c r="E687" s="4">
        <f>SUMIFS('01_異動主檔'!$F:$F,'01_異動主檔'!$B:$B,106,'01_異動主檔'!$D:$D,B687,'01_異動主檔'!$E:$E,"移入")</f>
        <v/>
      </c>
      <c r="F687" s="4">
        <f>-SUMIFS('01_異動主檔'!$F:$F,'01_異動主檔'!$B:$B,106,'01_異動主檔'!$D:$D,B687,'01_異動主檔'!$E:$E,"移出")</f>
        <v/>
      </c>
      <c r="G687" s="4">
        <f>SUMIFS('01_異動主檔'!$F:$F,'01_異動主檔'!$B:$B,106,'01_異動主檔'!$D:$D,B687,'01_異動主檔'!$E:$E,"新增")</f>
        <v/>
      </c>
      <c r="H687" s="4">
        <f>-SUMIFS('01_異動主檔'!$F:$F,'01_異動主檔'!$B:$B,106,'01_異動主檔'!$D:$D,B687,'01_異動主檔'!$E:$E,"減列")</f>
        <v/>
      </c>
      <c r="I687" s="4">
        <f>-SUMIFS('01_異動主檔'!$F:$F,'01_異動主檔'!$B:$B,106,'01_異動主檔'!$D:$D,B687,'01_異動主檔'!$E:$E,"精簡")</f>
        <v/>
      </c>
      <c r="J687" s="10">
        <f>D687+E687+F687+G687+H687+I687</f>
        <v/>
      </c>
    </row>
    <row r="688" ht="18" customHeight="1">
      <c r="A688" s="6" t="inlineStr">
        <is>
          <t>D002</t>
        </is>
      </c>
      <c r="B688" s="5" t="inlineStr">
        <is>
          <t>歲計科</t>
        </is>
      </c>
      <c r="C688" s="6" t="n">
        <v>107</v>
      </c>
      <c r="D688" s="10">
        <f>J687</f>
        <v/>
      </c>
      <c r="E688" s="4">
        <f>SUMIFS('01_異動主檔'!$F:$F,'01_異動主檔'!$B:$B,107,'01_異動主檔'!$D:$D,B688,'01_異動主檔'!$E:$E,"移入")</f>
        <v/>
      </c>
      <c r="F688" s="4">
        <f>-SUMIFS('01_異動主檔'!$F:$F,'01_異動主檔'!$B:$B,107,'01_異動主檔'!$D:$D,B688,'01_異動主檔'!$E:$E,"移出")</f>
        <v/>
      </c>
      <c r="G688" s="4">
        <f>SUMIFS('01_異動主檔'!$F:$F,'01_異動主檔'!$B:$B,107,'01_異動主檔'!$D:$D,B688,'01_異動主檔'!$E:$E,"新增")</f>
        <v/>
      </c>
      <c r="H688" s="4">
        <f>-SUMIFS('01_異動主檔'!$F:$F,'01_異動主檔'!$B:$B,107,'01_異動主檔'!$D:$D,B688,'01_異動主檔'!$E:$E,"減列")</f>
        <v/>
      </c>
      <c r="I688" s="4">
        <f>-SUMIFS('01_異動主檔'!$F:$F,'01_異動主檔'!$B:$B,107,'01_異動主檔'!$D:$D,B688,'01_異動主檔'!$E:$E,"精簡")</f>
        <v/>
      </c>
      <c r="J688" s="10">
        <f>D688+E688+F688+G688+H688+I688</f>
        <v/>
      </c>
    </row>
    <row r="689" ht="18" customHeight="1">
      <c r="A689" s="4" t="inlineStr">
        <is>
          <t>D002</t>
        </is>
      </c>
      <c r="B689" s="3" t="inlineStr">
        <is>
          <t>歲計科</t>
        </is>
      </c>
      <c r="C689" s="4" t="n">
        <v>108</v>
      </c>
      <c r="D689" s="10">
        <f>J688</f>
        <v/>
      </c>
      <c r="E689" s="4">
        <f>SUMIFS('01_異動主檔'!$F:$F,'01_異動主檔'!$B:$B,108,'01_異動主檔'!$D:$D,B689,'01_異動主檔'!$E:$E,"移入")</f>
        <v/>
      </c>
      <c r="F689" s="4">
        <f>-SUMIFS('01_異動主檔'!$F:$F,'01_異動主檔'!$B:$B,108,'01_異動主檔'!$D:$D,B689,'01_異動主檔'!$E:$E,"移出")</f>
        <v/>
      </c>
      <c r="G689" s="4">
        <f>SUMIFS('01_異動主檔'!$F:$F,'01_異動主檔'!$B:$B,108,'01_異動主檔'!$D:$D,B689,'01_異動主檔'!$E:$E,"新增")</f>
        <v/>
      </c>
      <c r="H689" s="4">
        <f>-SUMIFS('01_異動主檔'!$F:$F,'01_異動主檔'!$B:$B,108,'01_異動主檔'!$D:$D,B689,'01_異動主檔'!$E:$E,"減列")</f>
        <v/>
      </c>
      <c r="I689" s="4">
        <f>-SUMIFS('01_異動主檔'!$F:$F,'01_異動主檔'!$B:$B,108,'01_異動主檔'!$D:$D,B689,'01_異動主檔'!$E:$E,"精簡")</f>
        <v/>
      </c>
      <c r="J689" s="10">
        <f>D689+E689+F689+G689+H689+I689</f>
        <v/>
      </c>
    </row>
    <row r="690" ht="18" customHeight="1">
      <c r="A690" s="6" t="inlineStr">
        <is>
          <t>D002</t>
        </is>
      </c>
      <c r="B690" s="5" t="inlineStr">
        <is>
          <t>歲計科</t>
        </is>
      </c>
      <c r="C690" s="6" t="n">
        <v>109</v>
      </c>
      <c r="D690" s="10">
        <f>J689</f>
        <v/>
      </c>
      <c r="E690" s="4">
        <f>SUMIFS('01_異動主檔'!$F:$F,'01_異動主檔'!$B:$B,109,'01_異動主檔'!$D:$D,B690,'01_異動主檔'!$E:$E,"移入")</f>
        <v/>
      </c>
      <c r="F690" s="4">
        <f>-SUMIFS('01_異動主檔'!$F:$F,'01_異動主檔'!$B:$B,109,'01_異動主檔'!$D:$D,B690,'01_異動主檔'!$E:$E,"移出")</f>
        <v/>
      </c>
      <c r="G690" s="4">
        <f>SUMIFS('01_異動主檔'!$F:$F,'01_異動主檔'!$B:$B,109,'01_異動主檔'!$D:$D,B690,'01_異動主檔'!$E:$E,"新增")</f>
        <v/>
      </c>
      <c r="H690" s="4">
        <f>-SUMIFS('01_異動主檔'!$F:$F,'01_異動主檔'!$B:$B,109,'01_異動主檔'!$D:$D,B690,'01_異動主檔'!$E:$E,"減列")</f>
        <v/>
      </c>
      <c r="I690" s="4">
        <f>-SUMIFS('01_異動主檔'!$F:$F,'01_異動主檔'!$B:$B,109,'01_異動主檔'!$D:$D,B690,'01_異動主檔'!$E:$E,"精簡")</f>
        <v/>
      </c>
      <c r="J690" s="10">
        <f>D690+E690+F690+G690+H690+I690</f>
        <v/>
      </c>
    </row>
    <row r="691" ht="18" customHeight="1">
      <c r="A691" s="4" t="inlineStr">
        <is>
          <t>D002</t>
        </is>
      </c>
      <c r="B691" s="3" t="inlineStr">
        <is>
          <t>歲計科</t>
        </is>
      </c>
      <c r="C691" s="4" t="n">
        <v>110</v>
      </c>
      <c r="D691" s="10">
        <f>J690</f>
        <v/>
      </c>
      <c r="E691" s="4">
        <f>SUMIFS('01_異動主檔'!$F:$F,'01_異動主檔'!$B:$B,110,'01_異動主檔'!$D:$D,B691,'01_異動主檔'!$E:$E,"移入")</f>
        <v/>
      </c>
      <c r="F691" s="4">
        <f>-SUMIFS('01_異動主檔'!$F:$F,'01_異動主檔'!$B:$B,110,'01_異動主檔'!$D:$D,B691,'01_異動主檔'!$E:$E,"移出")</f>
        <v/>
      </c>
      <c r="G691" s="4">
        <f>SUMIFS('01_異動主檔'!$F:$F,'01_異動主檔'!$B:$B,110,'01_異動主檔'!$D:$D,B691,'01_異動主檔'!$E:$E,"新增")</f>
        <v/>
      </c>
      <c r="H691" s="4">
        <f>-SUMIFS('01_異動主檔'!$F:$F,'01_異動主檔'!$B:$B,110,'01_異動主檔'!$D:$D,B691,'01_異動主檔'!$E:$E,"減列")</f>
        <v/>
      </c>
      <c r="I691" s="4">
        <f>-SUMIFS('01_異動主檔'!$F:$F,'01_異動主檔'!$B:$B,110,'01_異動主檔'!$D:$D,B691,'01_異動主檔'!$E:$E,"精簡")</f>
        <v/>
      </c>
      <c r="J691" s="10">
        <f>D691+E691+F691+G691+H691+I691</f>
        <v/>
      </c>
    </row>
    <row r="692" ht="18" customHeight="1">
      <c r="A692" s="6" t="inlineStr">
        <is>
          <t>D002</t>
        </is>
      </c>
      <c r="B692" s="5" t="inlineStr">
        <is>
          <t>歲計科</t>
        </is>
      </c>
      <c r="C692" s="6" t="n">
        <v>111</v>
      </c>
      <c r="D692" s="10">
        <f>J691</f>
        <v/>
      </c>
      <c r="E692" s="4">
        <f>SUMIFS('01_異動主檔'!$F:$F,'01_異動主檔'!$B:$B,111,'01_異動主檔'!$D:$D,B692,'01_異動主檔'!$E:$E,"移入")</f>
        <v/>
      </c>
      <c r="F692" s="4">
        <f>-SUMIFS('01_異動主檔'!$F:$F,'01_異動主檔'!$B:$B,111,'01_異動主檔'!$D:$D,B692,'01_異動主檔'!$E:$E,"移出")</f>
        <v/>
      </c>
      <c r="G692" s="4">
        <f>SUMIFS('01_異動主檔'!$F:$F,'01_異動主檔'!$B:$B,111,'01_異動主檔'!$D:$D,B692,'01_異動主檔'!$E:$E,"新增")</f>
        <v/>
      </c>
      <c r="H692" s="4">
        <f>-SUMIFS('01_異動主檔'!$F:$F,'01_異動主檔'!$B:$B,111,'01_異動主檔'!$D:$D,B692,'01_異動主檔'!$E:$E,"減列")</f>
        <v/>
      </c>
      <c r="I692" s="4">
        <f>-SUMIFS('01_異動主檔'!$F:$F,'01_異動主檔'!$B:$B,111,'01_異動主檔'!$D:$D,B692,'01_異動主檔'!$E:$E,"精簡")</f>
        <v/>
      </c>
      <c r="J692" s="10">
        <f>D692+E692+F692+G692+H692+I692</f>
        <v/>
      </c>
    </row>
    <row r="693" ht="18" customHeight="1">
      <c r="A693" s="4" t="inlineStr">
        <is>
          <t>D002</t>
        </is>
      </c>
      <c r="B693" s="3" t="inlineStr">
        <is>
          <t>歲計科</t>
        </is>
      </c>
      <c r="C693" s="4" t="n">
        <v>112</v>
      </c>
      <c r="D693" s="10">
        <f>J692</f>
        <v/>
      </c>
      <c r="E693" s="4">
        <f>SUMIFS('01_異動主檔'!$F:$F,'01_異動主檔'!$B:$B,112,'01_異動主檔'!$D:$D,B693,'01_異動主檔'!$E:$E,"移入")</f>
        <v/>
      </c>
      <c r="F693" s="4">
        <f>-SUMIFS('01_異動主檔'!$F:$F,'01_異動主檔'!$B:$B,112,'01_異動主檔'!$D:$D,B693,'01_異動主檔'!$E:$E,"移出")</f>
        <v/>
      </c>
      <c r="G693" s="4">
        <f>SUMIFS('01_異動主檔'!$F:$F,'01_異動主檔'!$B:$B,112,'01_異動主檔'!$D:$D,B693,'01_異動主檔'!$E:$E,"新增")</f>
        <v/>
      </c>
      <c r="H693" s="4">
        <f>-SUMIFS('01_異動主檔'!$F:$F,'01_異動主檔'!$B:$B,112,'01_異動主檔'!$D:$D,B693,'01_異動主檔'!$E:$E,"減列")</f>
        <v/>
      </c>
      <c r="I693" s="4">
        <f>-SUMIFS('01_異動主檔'!$F:$F,'01_異動主檔'!$B:$B,112,'01_異動主檔'!$D:$D,B693,'01_異動主檔'!$E:$E,"精簡")</f>
        <v/>
      </c>
      <c r="J693" s="10">
        <f>D693+E693+F693+G693+H693+I693</f>
        <v/>
      </c>
    </row>
    <row r="694" ht="18" customHeight="1">
      <c r="A694" s="6" t="inlineStr">
        <is>
          <t>D002</t>
        </is>
      </c>
      <c r="B694" s="5" t="inlineStr">
        <is>
          <t>歲計科</t>
        </is>
      </c>
      <c r="C694" s="6" t="n">
        <v>113</v>
      </c>
      <c r="D694" s="10">
        <f>J693</f>
        <v/>
      </c>
      <c r="E694" s="4">
        <f>SUMIFS('01_異動主檔'!$F:$F,'01_異動主檔'!$B:$B,113,'01_異動主檔'!$D:$D,B694,'01_異動主檔'!$E:$E,"移入")</f>
        <v/>
      </c>
      <c r="F694" s="4">
        <f>-SUMIFS('01_異動主檔'!$F:$F,'01_異動主檔'!$B:$B,113,'01_異動主檔'!$D:$D,B694,'01_異動主檔'!$E:$E,"移出")</f>
        <v/>
      </c>
      <c r="G694" s="4">
        <f>SUMIFS('01_異動主檔'!$F:$F,'01_異動主檔'!$B:$B,113,'01_異動主檔'!$D:$D,B694,'01_異動主檔'!$E:$E,"新增")</f>
        <v/>
      </c>
      <c r="H694" s="4">
        <f>-SUMIFS('01_異動主檔'!$F:$F,'01_異動主檔'!$B:$B,113,'01_異動主檔'!$D:$D,B694,'01_異動主檔'!$E:$E,"減列")</f>
        <v/>
      </c>
      <c r="I694" s="4">
        <f>-SUMIFS('01_異動主檔'!$F:$F,'01_異動主檔'!$B:$B,113,'01_異動主檔'!$D:$D,B694,'01_異動主檔'!$E:$E,"精簡")</f>
        <v/>
      </c>
      <c r="J694" s="10">
        <f>D694+E694+F694+G694+H694+I694</f>
        <v/>
      </c>
    </row>
    <row r="695" ht="18" customHeight="1">
      <c r="A695" s="4" t="inlineStr">
        <is>
          <t>D002</t>
        </is>
      </c>
      <c r="B695" s="3" t="inlineStr">
        <is>
          <t>歲計科</t>
        </is>
      </c>
      <c r="C695" s="4" t="n">
        <v>114</v>
      </c>
      <c r="D695" s="10">
        <f>J694</f>
        <v/>
      </c>
      <c r="E695" s="4">
        <f>SUMIFS('01_異動主檔'!$F:$F,'01_異動主檔'!$B:$B,114,'01_異動主檔'!$D:$D,B695,'01_異動主檔'!$E:$E,"移入")</f>
        <v/>
      </c>
      <c r="F695" s="4">
        <f>-SUMIFS('01_異動主檔'!$F:$F,'01_異動主檔'!$B:$B,114,'01_異動主檔'!$D:$D,B695,'01_異動主檔'!$E:$E,"移出")</f>
        <v/>
      </c>
      <c r="G695" s="4">
        <f>SUMIFS('01_異動主檔'!$F:$F,'01_異動主檔'!$B:$B,114,'01_異動主檔'!$D:$D,B695,'01_異動主檔'!$E:$E,"新增")</f>
        <v/>
      </c>
      <c r="H695" s="4">
        <f>-SUMIFS('01_異動主檔'!$F:$F,'01_異動主檔'!$B:$B,114,'01_異動主檔'!$D:$D,B695,'01_異動主檔'!$E:$E,"減列")</f>
        <v/>
      </c>
      <c r="I695" s="4">
        <f>-SUMIFS('01_異動主檔'!$F:$F,'01_異動主檔'!$B:$B,114,'01_異動主檔'!$D:$D,B695,'01_異動主檔'!$E:$E,"精簡")</f>
        <v/>
      </c>
      <c r="J695" s="10">
        <f>D695+E695+F695+G695+H695+I695</f>
        <v/>
      </c>
    </row>
    <row r="696" ht="18" customHeight="1">
      <c r="A696" s="6" t="inlineStr">
        <is>
          <t>D002</t>
        </is>
      </c>
      <c r="B696" s="5" t="inlineStr">
        <is>
          <t>歲計科</t>
        </is>
      </c>
      <c r="C696" s="6" t="n">
        <v>115</v>
      </c>
      <c r="D696" s="10">
        <f>J695</f>
        <v/>
      </c>
      <c r="E696" s="4">
        <f>SUMIFS('01_異動主檔'!$F:$F,'01_異動主檔'!$B:$B,115,'01_異動主檔'!$D:$D,B696,'01_異動主檔'!$E:$E,"移入")</f>
        <v/>
      </c>
      <c r="F696" s="4">
        <f>-SUMIFS('01_異動主檔'!$F:$F,'01_異動主檔'!$B:$B,115,'01_異動主檔'!$D:$D,B696,'01_異動主檔'!$E:$E,"移出")</f>
        <v/>
      </c>
      <c r="G696" s="4">
        <f>SUMIFS('01_異動主檔'!$F:$F,'01_異動主檔'!$B:$B,115,'01_異動主檔'!$D:$D,B696,'01_異動主檔'!$E:$E,"新增")</f>
        <v/>
      </c>
      <c r="H696" s="4">
        <f>-SUMIFS('01_異動主檔'!$F:$F,'01_異動主檔'!$B:$B,115,'01_異動主檔'!$D:$D,B696,'01_異動主檔'!$E:$E,"減列")</f>
        <v/>
      </c>
      <c r="I696" s="4">
        <f>-SUMIFS('01_異動主檔'!$F:$F,'01_異動主檔'!$B:$B,115,'01_異動主檔'!$D:$D,B696,'01_異動主檔'!$E:$E,"精簡")</f>
        <v/>
      </c>
      <c r="J696" s="10">
        <f>D696+E696+F696+G696+H696+I696</f>
        <v/>
      </c>
    </row>
    <row r="697" ht="18" customHeight="1">
      <c r="A697" s="4" t="inlineStr">
        <is>
          <t>D002</t>
        </is>
      </c>
      <c r="B697" s="3" t="inlineStr">
        <is>
          <t>歲計科</t>
        </is>
      </c>
      <c r="C697" s="4" t="n">
        <v>116</v>
      </c>
      <c r="D697" s="10">
        <f>J696</f>
        <v/>
      </c>
      <c r="E697" s="4">
        <f>SUMIFS('01_異動主檔'!$F:$F,'01_異動主檔'!$B:$B,116,'01_異動主檔'!$D:$D,B697,'01_異動主檔'!$E:$E,"移入")</f>
        <v/>
      </c>
      <c r="F697" s="4">
        <f>-SUMIFS('01_異動主檔'!$F:$F,'01_異動主檔'!$B:$B,116,'01_異動主檔'!$D:$D,B697,'01_異動主檔'!$E:$E,"移出")</f>
        <v/>
      </c>
      <c r="G697" s="4">
        <f>SUMIFS('01_異動主檔'!$F:$F,'01_異動主檔'!$B:$B,116,'01_異動主檔'!$D:$D,B697,'01_異動主檔'!$E:$E,"新增")</f>
        <v/>
      </c>
      <c r="H697" s="4">
        <f>-SUMIFS('01_異動主檔'!$F:$F,'01_異動主檔'!$B:$B,116,'01_異動主檔'!$D:$D,B697,'01_異動主檔'!$E:$E,"減列")</f>
        <v/>
      </c>
      <c r="I697" s="4">
        <f>-SUMIFS('01_異動主檔'!$F:$F,'01_異動主檔'!$B:$B,116,'01_異動主檔'!$D:$D,B697,'01_異動主檔'!$E:$E,"精簡")</f>
        <v/>
      </c>
      <c r="J697" s="10">
        <f>D697+E697+F697+G697+H697+I697</f>
        <v/>
      </c>
    </row>
    <row r="698" ht="18" customHeight="1">
      <c r="A698" s="6" t="inlineStr">
        <is>
          <t>D002</t>
        </is>
      </c>
      <c r="B698" s="5" t="inlineStr">
        <is>
          <t>歲計科</t>
        </is>
      </c>
      <c r="C698" s="6" t="n">
        <v>117</v>
      </c>
      <c r="D698" s="10">
        <f>J697</f>
        <v/>
      </c>
      <c r="E698" s="4">
        <f>SUMIFS('01_異動主檔'!$F:$F,'01_異動主檔'!$B:$B,117,'01_異動主檔'!$D:$D,B698,'01_異動主檔'!$E:$E,"移入")</f>
        <v/>
      </c>
      <c r="F698" s="4">
        <f>-SUMIFS('01_異動主檔'!$F:$F,'01_異動主檔'!$B:$B,117,'01_異動主檔'!$D:$D,B698,'01_異動主檔'!$E:$E,"移出")</f>
        <v/>
      </c>
      <c r="G698" s="4">
        <f>SUMIFS('01_異動主檔'!$F:$F,'01_異動主檔'!$B:$B,117,'01_異動主檔'!$D:$D,B698,'01_異動主檔'!$E:$E,"新增")</f>
        <v/>
      </c>
      <c r="H698" s="4">
        <f>-SUMIFS('01_異動主檔'!$F:$F,'01_異動主檔'!$B:$B,117,'01_異動主檔'!$D:$D,B698,'01_異動主檔'!$E:$E,"減列")</f>
        <v/>
      </c>
      <c r="I698" s="4">
        <f>-SUMIFS('01_異動主檔'!$F:$F,'01_異動主檔'!$B:$B,117,'01_異動主檔'!$D:$D,B698,'01_異動主檔'!$E:$E,"精簡")</f>
        <v/>
      </c>
      <c r="J698" s="10">
        <f>D698+E698+F698+G698+H698+I698</f>
        <v/>
      </c>
    </row>
    <row r="699" ht="18" customHeight="1">
      <c r="A699" s="4" t="inlineStr">
        <is>
          <t>D002</t>
        </is>
      </c>
      <c r="B699" s="3" t="inlineStr">
        <is>
          <t>歲計科</t>
        </is>
      </c>
      <c r="C699" s="4" t="n">
        <v>118</v>
      </c>
      <c r="D699" s="10">
        <f>J698</f>
        <v/>
      </c>
      <c r="E699" s="4">
        <f>SUMIFS('01_異動主檔'!$F:$F,'01_異動主檔'!$B:$B,118,'01_異動主檔'!$D:$D,B699,'01_異動主檔'!$E:$E,"移入")</f>
        <v/>
      </c>
      <c r="F699" s="4">
        <f>-SUMIFS('01_異動主檔'!$F:$F,'01_異動主檔'!$B:$B,118,'01_異動主檔'!$D:$D,B699,'01_異動主檔'!$E:$E,"移出")</f>
        <v/>
      </c>
      <c r="G699" s="4">
        <f>SUMIFS('01_異動主檔'!$F:$F,'01_異動主檔'!$B:$B,118,'01_異動主檔'!$D:$D,B699,'01_異動主檔'!$E:$E,"新增")</f>
        <v/>
      </c>
      <c r="H699" s="4">
        <f>-SUMIFS('01_異動主檔'!$F:$F,'01_異動主檔'!$B:$B,118,'01_異動主檔'!$D:$D,B699,'01_異動主檔'!$E:$E,"減列")</f>
        <v/>
      </c>
      <c r="I699" s="4">
        <f>-SUMIFS('01_異動主檔'!$F:$F,'01_異動主檔'!$B:$B,118,'01_異動主檔'!$D:$D,B699,'01_異動主檔'!$E:$E,"精簡")</f>
        <v/>
      </c>
      <c r="J699" s="10">
        <f>D699+E699+F699+G699+H699+I699</f>
        <v/>
      </c>
    </row>
    <row r="700" ht="18" customHeight="1">
      <c r="A700" s="6" t="inlineStr">
        <is>
          <t>D002</t>
        </is>
      </c>
      <c r="B700" s="5" t="inlineStr">
        <is>
          <t>歲計科</t>
        </is>
      </c>
      <c r="C700" s="6" t="n">
        <v>119</v>
      </c>
      <c r="D700" s="10">
        <f>J699</f>
        <v/>
      </c>
      <c r="E700" s="4">
        <f>SUMIFS('01_異動主檔'!$F:$F,'01_異動主檔'!$B:$B,119,'01_異動主檔'!$D:$D,B700,'01_異動主檔'!$E:$E,"移入")</f>
        <v/>
      </c>
      <c r="F700" s="4">
        <f>-SUMIFS('01_異動主檔'!$F:$F,'01_異動主檔'!$B:$B,119,'01_異動主檔'!$D:$D,B700,'01_異動主檔'!$E:$E,"移出")</f>
        <v/>
      </c>
      <c r="G700" s="4">
        <f>SUMIFS('01_異動主檔'!$F:$F,'01_異動主檔'!$B:$B,119,'01_異動主檔'!$D:$D,B700,'01_異動主檔'!$E:$E,"新增")</f>
        <v/>
      </c>
      <c r="H700" s="4">
        <f>-SUMIFS('01_異動主檔'!$F:$F,'01_異動主檔'!$B:$B,119,'01_異動主檔'!$D:$D,B700,'01_異動主檔'!$E:$E,"減列")</f>
        <v/>
      </c>
      <c r="I700" s="4">
        <f>-SUMIFS('01_異動主檔'!$F:$F,'01_異動主檔'!$B:$B,119,'01_異動主檔'!$D:$D,B700,'01_異動主檔'!$E:$E,"精簡")</f>
        <v/>
      </c>
      <c r="J700" s="10">
        <f>D700+E700+F700+G700+H700+I700</f>
        <v/>
      </c>
    </row>
    <row r="701" ht="18" customHeight="1">
      <c r="A701" s="4" t="inlineStr">
        <is>
          <t>D002</t>
        </is>
      </c>
      <c r="B701" s="3" t="inlineStr">
        <is>
          <t>歲計科</t>
        </is>
      </c>
      <c r="C701" s="4" t="n">
        <v>120</v>
      </c>
      <c r="D701" s="10">
        <f>J700</f>
        <v/>
      </c>
      <c r="E701" s="4">
        <f>SUMIFS('01_異動主檔'!$F:$F,'01_異動主檔'!$B:$B,120,'01_異動主檔'!$D:$D,B701,'01_異動主檔'!$E:$E,"移入")</f>
        <v/>
      </c>
      <c r="F701" s="4">
        <f>-SUMIFS('01_異動主檔'!$F:$F,'01_異動主檔'!$B:$B,120,'01_異動主檔'!$D:$D,B701,'01_異動主檔'!$E:$E,"移出")</f>
        <v/>
      </c>
      <c r="G701" s="4">
        <f>SUMIFS('01_異動主檔'!$F:$F,'01_異動主檔'!$B:$B,120,'01_異動主檔'!$D:$D,B701,'01_異動主檔'!$E:$E,"新增")</f>
        <v/>
      </c>
      <c r="H701" s="4">
        <f>-SUMIFS('01_異動主檔'!$F:$F,'01_異動主檔'!$B:$B,120,'01_異動主檔'!$D:$D,B701,'01_異動主檔'!$E:$E,"減列")</f>
        <v/>
      </c>
      <c r="I701" s="4">
        <f>-SUMIFS('01_異動主檔'!$F:$F,'01_異動主檔'!$B:$B,120,'01_異動主檔'!$D:$D,B701,'01_異動主檔'!$E:$E,"精簡")</f>
        <v/>
      </c>
      <c r="J701" s="10">
        <f>D701+E701+F701+G701+H701+I701</f>
        <v/>
      </c>
    </row>
    <row r="702" ht="18" customHeight="1">
      <c r="A702" s="6" t="inlineStr">
        <is>
          <t>D002</t>
        </is>
      </c>
      <c r="B702" s="5" t="inlineStr">
        <is>
          <t>歲計科</t>
        </is>
      </c>
      <c r="C702" s="6" t="n">
        <v>121</v>
      </c>
      <c r="D702" s="10">
        <f>J701</f>
        <v/>
      </c>
      <c r="E702" s="4">
        <f>SUMIFS('01_異動主檔'!$F:$F,'01_異動主檔'!$B:$B,121,'01_異動主檔'!$D:$D,B702,'01_異動主檔'!$E:$E,"移入")</f>
        <v/>
      </c>
      <c r="F702" s="4">
        <f>-SUMIFS('01_異動主檔'!$F:$F,'01_異動主檔'!$B:$B,121,'01_異動主檔'!$D:$D,B702,'01_異動主檔'!$E:$E,"移出")</f>
        <v/>
      </c>
      <c r="G702" s="4">
        <f>SUMIFS('01_異動主檔'!$F:$F,'01_異動主檔'!$B:$B,121,'01_異動主檔'!$D:$D,B702,'01_異動主檔'!$E:$E,"新增")</f>
        <v/>
      </c>
      <c r="H702" s="4">
        <f>-SUMIFS('01_異動主檔'!$F:$F,'01_異動主檔'!$B:$B,121,'01_異動主檔'!$D:$D,B702,'01_異動主檔'!$E:$E,"減列")</f>
        <v/>
      </c>
      <c r="I702" s="4">
        <f>-SUMIFS('01_異動主檔'!$F:$F,'01_異動主檔'!$B:$B,121,'01_異動主檔'!$D:$D,B702,'01_異動主檔'!$E:$E,"精簡")</f>
        <v/>
      </c>
      <c r="J702" s="10">
        <f>D702+E702+F702+G702+H702+I702</f>
        <v/>
      </c>
    </row>
    <row r="703" ht="18" customHeight="1">
      <c r="A703" s="4" t="inlineStr">
        <is>
          <t>D002</t>
        </is>
      </c>
      <c r="B703" s="3" t="inlineStr">
        <is>
          <t>歲計科</t>
        </is>
      </c>
      <c r="C703" s="4" t="n">
        <v>122</v>
      </c>
      <c r="D703" s="10">
        <f>J702</f>
        <v/>
      </c>
      <c r="E703" s="4">
        <f>SUMIFS('01_異動主檔'!$F:$F,'01_異動主檔'!$B:$B,122,'01_異動主檔'!$D:$D,B703,'01_異動主檔'!$E:$E,"移入")</f>
        <v/>
      </c>
      <c r="F703" s="4">
        <f>-SUMIFS('01_異動主檔'!$F:$F,'01_異動主檔'!$B:$B,122,'01_異動主檔'!$D:$D,B703,'01_異動主檔'!$E:$E,"移出")</f>
        <v/>
      </c>
      <c r="G703" s="4">
        <f>SUMIFS('01_異動主檔'!$F:$F,'01_異動主檔'!$B:$B,122,'01_異動主檔'!$D:$D,B703,'01_異動主檔'!$E:$E,"新增")</f>
        <v/>
      </c>
      <c r="H703" s="4">
        <f>-SUMIFS('01_異動主檔'!$F:$F,'01_異動主檔'!$B:$B,122,'01_異動主檔'!$D:$D,B703,'01_異動主檔'!$E:$E,"減列")</f>
        <v/>
      </c>
      <c r="I703" s="4">
        <f>-SUMIFS('01_異動主檔'!$F:$F,'01_異動主檔'!$B:$B,122,'01_異動主檔'!$D:$D,B703,'01_異動主檔'!$E:$E,"精簡")</f>
        <v/>
      </c>
      <c r="J703" s="10">
        <f>D703+E703+F703+G703+H703+I703</f>
        <v/>
      </c>
    </row>
    <row r="704" ht="18" customHeight="1">
      <c r="A704" s="6" t="inlineStr">
        <is>
          <t>D002</t>
        </is>
      </c>
      <c r="B704" s="5" t="inlineStr">
        <is>
          <t>歲計科</t>
        </is>
      </c>
      <c r="C704" s="6" t="n">
        <v>123</v>
      </c>
      <c r="D704" s="10">
        <f>J703</f>
        <v/>
      </c>
      <c r="E704" s="4">
        <f>SUMIFS('01_異動主檔'!$F:$F,'01_異動主檔'!$B:$B,123,'01_異動主檔'!$D:$D,B704,'01_異動主檔'!$E:$E,"移入")</f>
        <v/>
      </c>
      <c r="F704" s="4">
        <f>-SUMIFS('01_異動主檔'!$F:$F,'01_異動主檔'!$B:$B,123,'01_異動主檔'!$D:$D,B704,'01_異動主檔'!$E:$E,"移出")</f>
        <v/>
      </c>
      <c r="G704" s="4">
        <f>SUMIFS('01_異動主檔'!$F:$F,'01_異動主檔'!$B:$B,123,'01_異動主檔'!$D:$D,B704,'01_異動主檔'!$E:$E,"新增")</f>
        <v/>
      </c>
      <c r="H704" s="4">
        <f>-SUMIFS('01_異動主檔'!$F:$F,'01_異動主檔'!$B:$B,123,'01_異動主檔'!$D:$D,B704,'01_異動主檔'!$E:$E,"減列")</f>
        <v/>
      </c>
      <c r="I704" s="4">
        <f>-SUMIFS('01_異動主檔'!$F:$F,'01_異動主檔'!$B:$B,123,'01_異動主檔'!$D:$D,B704,'01_異動主檔'!$E:$E,"精簡")</f>
        <v/>
      </c>
      <c r="J704" s="10">
        <f>D704+E704+F704+G704+H704+I704</f>
        <v/>
      </c>
    </row>
    <row r="705" ht="18" customHeight="1">
      <c r="A705" s="4" t="inlineStr">
        <is>
          <t>D002</t>
        </is>
      </c>
      <c r="B705" s="3" t="inlineStr">
        <is>
          <t>歲計科</t>
        </is>
      </c>
      <c r="C705" s="4" t="n">
        <v>124</v>
      </c>
      <c r="D705" s="10">
        <f>J704</f>
        <v/>
      </c>
      <c r="E705" s="4">
        <f>SUMIFS('01_異動主檔'!$F:$F,'01_異動主檔'!$B:$B,124,'01_異動主檔'!$D:$D,B705,'01_異動主檔'!$E:$E,"移入")</f>
        <v/>
      </c>
      <c r="F705" s="4">
        <f>-SUMIFS('01_異動主檔'!$F:$F,'01_異動主檔'!$B:$B,124,'01_異動主檔'!$D:$D,B705,'01_異動主檔'!$E:$E,"移出")</f>
        <v/>
      </c>
      <c r="G705" s="4">
        <f>SUMIFS('01_異動主檔'!$F:$F,'01_異動主檔'!$B:$B,124,'01_異動主檔'!$D:$D,B705,'01_異動主檔'!$E:$E,"新增")</f>
        <v/>
      </c>
      <c r="H705" s="4">
        <f>-SUMIFS('01_異動主檔'!$F:$F,'01_異動主檔'!$B:$B,124,'01_異動主檔'!$D:$D,B705,'01_異動主檔'!$E:$E,"減列")</f>
        <v/>
      </c>
      <c r="I705" s="4">
        <f>-SUMIFS('01_異動主檔'!$F:$F,'01_異動主檔'!$B:$B,124,'01_異動主檔'!$D:$D,B705,'01_異動主檔'!$E:$E,"精簡")</f>
        <v/>
      </c>
      <c r="J705" s="10">
        <f>D705+E705+F705+G705+H705+I705</f>
        <v/>
      </c>
    </row>
    <row r="706" ht="18" customHeight="1">
      <c r="A706" s="6" t="inlineStr">
        <is>
          <t>D002</t>
        </is>
      </c>
      <c r="B706" s="5" t="inlineStr">
        <is>
          <t>歲計科</t>
        </is>
      </c>
      <c r="C706" s="6" t="n">
        <v>125</v>
      </c>
      <c r="D706" s="10">
        <f>J705</f>
        <v/>
      </c>
      <c r="E706" s="4">
        <f>SUMIFS('01_異動主檔'!$F:$F,'01_異動主檔'!$B:$B,125,'01_異動主檔'!$D:$D,B706,'01_異動主檔'!$E:$E,"移入")</f>
        <v/>
      </c>
      <c r="F706" s="4">
        <f>-SUMIFS('01_異動主檔'!$F:$F,'01_異動主檔'!$B:$B,125,'01_異動主檔'!$D:$D,B706,'01_異動主檔'!$E:$E,"移出")</f>
        <v/>
      </c>
      <c r="G706" s="4">
        <f>SUMIFS('01_異動主檔'!$F:$F,'01_異動主檔'!$B:$B,125,'01_異動主檔'!$D:$D,B706,'01_異動主檔'!$E:$E,"新增")</f>
        <v/>
      </c>
      <c r="H706" s="4">
        <f>-SUMIFS('01_異動主檔'!$F:$F,'01_異動主檔'!$B:$B,125,'01_異動主檔'!$D:$D,B706,'01_異動主檔'!$E:$E,"減列")</f>
        <v/>
      </c>
      <c r="I706" s="4">
        <f>-SUMIFS('01_異動主檔'!$F:$F,'01_異動主檔'!$B:$B,125,'01_異動主檔'!$D:$D,B706,'01_異動主檔'!$E:$E,"精簡")</f>
        <v/>
      </c>
      <c r="J706" s="10">
        <f>D706+E706+F706+G706+H706+I706</f>
        <v/>
      </c>
    </row>
    <row r="707" ht="18" customHeight="1">
      <c r="A707" s="4" t="inlineStr">
        <is>
          <t>D003</t>
        </is>
      </c>
      <c r="B707" s="3" t="inlineStr">
        <is>
          <t>統計科</t>
        </is>
      </c>
      <c r="C707" s="4" t="n">
        <v>99</v>
      </c>
      <c r="D707" s="10">
        <f>'02_年初員額設定'!C31</f>
        <v/>
      </c>
      <c r="E707" s="4">
        <f>SUMIFS('01_異動主檔'!$F:$F,'01_異動主檔'!$B:$B,99,'01_異動主檔'!$D:$D,B707,'01_異動主檔'!$E:$E,"移入")</f>
        <v/>
      </c>
      <c r="F707" s="4">
        <f>-SUMIFS('01_異動主檔'!$F:$F,'01_異動主檔'!$B:$B,99,'01_異動主檔'!$D:$D,B707,'01_異動主檔'!$E:$E,"移出")</f>
        <v/>
      </c>
      <c r="G707" s="4">
        <f>SUMIFS('01_異動主檔'!$F:$F,'01_異動主檔'!$B:$B,99,'01_異動主檔'!$D:$D,B707,'01_異動主檔'!$E:$E,"新增")</f>
        <v/>
      </c>
      <c r="H707" s="4">
        <f>-SUMIFS('01_異動主檔'!$F:$F,'01_異動主檔'!$B:$B,99,'01_異動主檔'!$D:$D,B707,'01_異動主檔'!$E:$E,"減列")</f>
        <v/>
      </c>
      <c r="I707" s="4">
        <f>-SUMIFS('01_異動主檔'!$F:$F,'01_異動主檔'!$B:$B,99,'01_異動主檔'!$D:$D,B707,'01_異動主檔'!$E:$E,"精簡")</f>
        <v/>
      </c>
      <c r="J707" s="10">
        <f>D707+E707+F707+G707+H707+I707</f>
        <v/>
      </c>
    </row>
    <row r="708" ht="18" customHeight="1">
      <c r="A708" s="6" t="inlineStr">
        <is>
          <t>D003</t>
        </is>
      </c>
      <c r="B708" s="5" t="inlineStr">
        <is>
          <t>統計科</t>
        </is>
      </c>
      <c r="C708" s="6" t="n">
        <v>100</v>
      </c>
      <c r="D708" s="10">
        <f>J707</f>
        <v/>
      </c>
      <c r="E708" s="4">
        <f>SUMIFS('01_異動主檔'!$F:$F,'01_異動主檔'!$B:$B,100,'01_異動主檔'!$D:$D,B708,'01_異動主檔'!$E:$E,"移入")</f>
        <v/>
      </c>
      <c r="F708" s="4">
        <f>-SUMIFS('01_異動主檔'!$F:$F,'01_異動主檔'!$B:$B,100,'01_異動主檔'!$D:$D,B708,'01_異動主檔'!$E:$E,"移出")</f>
        <v/>
      </c>
      <c r="G708" s="4">
        <f>SUMIFS('01_異動主檔'!$F:$F,'01_異動主檔'!$B:$B,100,'01_異動主檔'!$D:$D,B708,'01_異動主檔'!$E:$E,"新增")</f>
        <v/>
      </c>
      <c r="H708" s="4">
        <f>-SUMIFS('01_異動主檔'!$F:$F,'01_異動主檔'!$B:$B,100,'01_異動主檔'!$D:$D,B708,'01_異動主檔'!$E:$E,"減列")</f>
        <v/>
      </c>
      <c r="I708" s="4">
        <f>-SUMIFS('01_異動主檔'!$F:$F,'01_異動主檔'!$B:$B,100,'01_異動主檔'!$D:$D,B708,'01_異動主檔'!$E:$E,"精簡")</f>
        <v/>
      </c>
      <c r="J708" s="10">
        <f>D708+E708+F708+G708+H708+I708</f>
        <v/>
      </c>
    </row>
    <row r="709" ht="18" customHeight="1">
      <c r="A709" s="4" t="inlineStr">
        <is>
          <t>D003</t>
        </is>
      </c>
      <c r="B709" s="3" t="inlineStr">
        <is>
          <t>統計科</t>
        </is>
      </c>
      <c r="C709" s="4" t="n">
        <v>101</v>
      </c>
      <c r="D709" s="10">
        <f>J708</f>
        <v/>
      </c>
      <c r="E709" s="4">
        <f>SUMIFS('01_異動主檔'!$F:$F,'01_異動主檔'!$B:$B,101,'01_異動主檔'!$D:$D,B709,'01_異動主檔'!$E:$E,"移入")</f>
        <v/>
      </c>
      <c r="F709" s="4">
        <f>-SUMIFS('01_異動主檔'!$F:$F,'01_異動主檔'!$B:$B,101,'01_異動主檔'!$D:$D,B709,'01_異動主檔'!$E:$E,"移出")</f>
        <v/>
      </c>
      <c r="G709" s="4">
        <f>SUMIFS('01_異動主檔'!$F:$F,'01_異動主檔'!$B:$B,101,'01_異動主檔'!$D:$D,B709,'01_異動主檔'!$E:$E,"新增")</f>
        <v/>
      </c>
      <c r="H709" s="4">
        <f>-SUMIFS('01_異動主檔'!$F:$F,'01_異動主檔'!$B:$B,101,'01_異動主檔'!$D:$D,B709,'01_異動主檔'!$E:$E,"減列")</f>
        <v/>
      </c>
      <c r="I709" s="4">
        <f>-SUMIFS('01_異動主檔'!$F:$F,'01_異動主檔'!$B:$B,101,'01_異動主檔'!$D:$D,B709,'01_異動主檔'!$E:$E,"精簡")</f>
        <v/>
      </c>
      <c r="J709" s="10">
        <f>D709+E709+F709+G709+H709+I709</f>
        <v/>
      </c>
    </row>
    <row r="710" ht="18" customHeight="1">
      <c r="A710" s="6" t="inlineStr">
        <is>
          <t>D003</t>
        </is>
      </c>
      <c r="B710" s="5" t="inlineStr">
        <is>
          <t>統計科</t>
        </is>
      </c>
      <c r="C710" s="6" t="n">
        <v>102</v>
      </c>
      <c r="D710" s="10">
        <f>J709</f>
        <v/>
      </c>
      <c r="E710" s="4">
        <f>SUMIFS('01_異動主檔'!$F:$F,'01_異動主檔'!$B:$B,102,'01_異動主檔'!$D:$D,B710,'01_異動主檔'!$E:$E,"移入")</f>
        <v/>
      </c>
      <c r="F710" s="4">
        <f>-SUMIFS('01_異動主檔'!$F:$F,'01_異動主檔'!$B:$B,102,'01_異動主檔'!$D:$D,B710,'01_異動主檔'!$E:$E,"移出")</f>
        <v/>
      </c>
      <c r="G710" s="4">
        <f>SUMIFS('01_異動主檔'!$F:$F,'01_異動主檔'!$B:$B,102,'01_異動主檔'!$D:$D,B710,'01_異動主檔'!$E:$E,"新增")</f>
        <v/>
      </c>
      <c r="H710" s="4">
        <f>-SUMIFS('01_異動主檔'!$F:$F,'01_異動主檔'!$B:$B,102,'01_異動主檔'!$D:$D,B710,'01_異動主檔'!$E:$E,"減列")</f>
        <v/>
      </c>
      <c r="I710" s="4">
        <f>-SUMIFS('01_異動主檔'!$F:$F,'01_異動主檔'!$B:$B,102,'01_異動主檔'!$D:$D,B710,'01_異動主檔'!$E:$E,"精簡")</f>
        <v/>
      </c>
      <c r="J710" s="10">
        <f>D710+E710+F710+G710+H710+I710</f>
        <v/>
      </c>
    </row>
    <row r="711" ht="18" customHeight="1">
      <c r="A711" s="4" t="inlineStr">
        <is>
          <t>D003</t>
        </is>
      </c>
      <c r="B711" s="3" t="inlineStr">
        <is>
          <t>統計科</t>
        </is>
      </c>
      <c r="C711" s="4" t="n">
        <v>103</v>
      </c>
      <c r="D711" s="10">
        <f>J710</f>
        <v/>
      </c>
      <c r="E711" s="4">
        <f>SUMIFS('01_異動主檔'!$F:$F,'01_異動主檔'!$B:$B,103,'01_異動主檔'!$D:$D,B711,'01_異動主檔'!$E:$E,"移入")</f>
        <v/>
      </c>
      <c r="F711" s="4">
        <f>-SUMIFS('01_異動主檔'!$F:$F,'01_異動主檔'!$B:$B,103,'01_異動主檔'!$D:$D,B711,'01_異動主檔'!$E:$E,"移出")</f>
        <v/>
      </c>
      <c r="G711" s="4">
        <f>SUMIFS('01_異動主檔'!$F:$F,'01_異動主檔'!$B:$B,103,'01_異動主檔'!$D:$D,B711,'01_異動主檔'!$E:$E,"新增")</f>
        <v/>
      </c>
      <c r="H711" s="4">
        <f>-SUMIFS('01_異動主檔'!$F:$F,'01_異動主檔'!$B:$B,103,'01_異動主檔'!$D:$D,B711,'01_異動主檔'!$E:$E,"減列")</f>
        <v/>
      </c>
      <c r="I711" s="4">
        <f>-SUMIFS('01_異動主檔'!$F:$F,'01_異動主檔'!$B:$B,103,'01_異動主檔'!$D:$D,B711,'01_異動主檔'!$E:$E,"精簡")</f>
        <v/>
      </c>
      <c r="J711" s="10">
        <f>D711+E711+F711+G711+H711+I711</f>
        <v/>
      </c>
    </row>
    <row r="712" ht="18" customHeight="1">
      <c r="A712" s="6" t="inlineStr">
        <is>
          <t>D003</t>
        </is>
      </c>
      <c r="B712" s="5" t="inlineStr">
        <is>
          <t>統計科</t>
        </is>
      </c>
      <c r="C712" s="6" t="n">
        <v>104</v>
      </c>
      <c r="D712" s="10">
        <f>J711</f>
        <v/>
      </c>
      <c r="E712" s="4">
        <f>SUMIFS('01_異動主檔'!$F:$F,'01_異動主檔'!$B:$B,104,'01_異動主檔'!$D:$D,B712,'01_異動主檔'!$E:$E,"移入")</f>
        <v/>
      </c>
      <c r="F712" s="4">
        <f>-SUMIFS('01_異動主檔'!$F:$F,'01_異動主檔'!$B:$B,104,'01_異動主檔'!$D:$D,B712,'01_異動主檔'!$E:$E,"移出")</f>
        <v/>
      </c>
      <c r="G712" s="4">
        <f>SUMIFS('01_異動主檔'!$F:$F,'01_異動主檔'!$B:$B,104,'01_異動主檔'!$D:$D,B712,'01_異動主檔'!$E:$E,"新增")</f>
        <v/>
      </c>
      <c r="H712" s="4">
        <f>-SUMIFS('01_異動主檔'!$F:$F,'01_異動主檔'!$B:$B,104,'01_異動主檔'!$D:$D,B712,'01_異動主檔'!$E:$E,"減列")</f>
        <v/>
      </c>
      <c r="I712" s="4">
        <f>-SUMIFS('01_異動主檔'!$F:$F,'01_異動主檔'!$B:$B,104,'01_異動主檔'!$D:$D,B712,'01_異動主檔'!$E:$E,"精簡")</f>
        <v/>
      </c>
      <c r="J712" s="10">
        <f>D712+E712+F712+G712+H712+I712</f>
        <v/>
      </c>
    </row>
    <row r="713" ht="18" customHeight="1">
      <c r="A713" s="4" t="inlineStr">
        <is>
          <t>D003</t>
        </is>
      </c>
      <c r="B713" s="3" t="inlineStr">
        <is>
          <t>統計科</t>
        </is>
      </c>
      <c r="C713" s="4" t="n">
        <v>105</v>
      </c>
      <c r="D713" s="10">
        <f>J712</f>
        <v/>
      </c>
      <c r="E713" s="4">
        <f>SUMIFS('01_異動主檔'!$F:$F,'01_異動主檔'!$B:$B,105,'01_異動主檔'!$D:$D,B713,'01_異動主檔'!$E:$E,"移入")</f>
        <v/>
      </c>
      <c r="F713" s="4">
        <f>-SUMIFS('01_異動主檔'!$F:$F,'01_異動主檔'!$B:$B,105,'01_異動主檔'!$D:$D,B713,'01_異動主檔'!$E:$E,"移出")</f>
        <v/>
      </c>
      <c r="G713" s="4">
        <f>SUMIFS('01_異動主檔'!$F:$F,'01_異動主檔'!$B:$B,105,'01_異動主檔'!$D:$D,B713,'01_異動主檔'!$E:$E,"新增")</f>
        <v/>
      </c>
      <c r="H713" s="4">
        <f>-SUMIFS('01_異動主檔'!$F:$F,'01_異動主檔'!$B:$B,105,'01_異動主檔'!$D:$D,B713,'01_異動主檔'!$E:$E,"減列")</f>
        <v/>
      </c>
      <c r="I713" s="4">
        <f>-SUMIFS('01_異動主檔'!$F:$F,'01_異動主檔'!$B:$B,105,'01_異動主檔'!$D:$D,B713,'01_異動主檔'!$E:$E,"精簡")</f>
        <v/>
      </c>
      <c r="J713" s="10">
        <f>D713+E713+F713+G713+H713+I713</f>
        <v/>
      </c>
    </row>
    <row r="714" ht="18" customHeight="1">
      <c r="A714" s="6" t="inlineStr">
        <is>
          <t>D003</t>
        </is>
      </c>
      <c r="B714" s="5" t="inlineStr">
        <is>
          <t>統計科</t>
        </is>
      </c>
      <c r="C714" s="6" t="n">
        <v>106</v>
      </c>
      <c r="D714" s="10">
        <f>J713</f>
        <v/>
      </c>
      <c r="E714" s="4">
        <f>SUMIFS('01_異動主檔'!$F:$F,'01_異動主檔'!$B:$B,106,'01_異動主檔'!$D:$D,B714,'01_異動主檔'!$E:$E,"移入")</f>
        <v/>
      </c>
      <c r="F714" s="4">
        <f>-SUMIFS('01_異動主檔'!$F:$F,'01_異動主檔'!$B:$B,106,'01_異動主檔'!$D:$D,B714,'01_異動主檔'!$E:$E,"移出")</f>
        <v/>
      </c>
      <c r="G714" s="4">
        <f>SUMIFS('01_異動主檔'!$F:$F,'01_異動主檔'!$B:$B,106,'01_異動主檔'!$D:$D,B714,'01_異動主檔'!$E:$E,"新增")</f>
        <v/>
      </c>
      <c r="H714" s="4">
        <f>-SUMIFS('01_異動主檔'!$F:$F,'01_異動主檔'!$B:$B,106,'01_異動主檔'!$D:$D,B714,'01_異動主檔'!$E:$E,"減列")</f>
        <v/>
      </c>
      <c r="I714" s="4">
        <f>-SUMIFS('01_異動主檔'!$F:$F,'01_異動主檔'!$B:$B,106,'01_異動主檔'!$D:$D,B714,'01_異動主檔'!$E:$E,"精簡")</f>
        <v/>
      </c>
      <c r="J714" s="10">
        <f>D714+E714+F714+G714+H714+I714</f>
        <v/>
      </c>
    </row>
    <row r="715" ht="18" customHeight="1">
      <c r="A715" s="4" t="inlineStr">
        <is>
          <t>D003</t>
        </is>
      </c>
      <c r="B715" s="3" t="inlineStr">
        <is>
          <t>統計科</t>
        </is>
      </c>
      <c r="C715" s="4" t="n">
        <v>107</v>
      </c>
      <c r="D715" s="10">
        <f>J714</f>
        <v/>
      </c>
      <c r="E715" s="4">
        <f>SUMIFS('01_異動主檔'!$F:$F,'01_異動主檔'!$B:$B,107,'01_異動主檔'!$D:$D,B715,'01_異動主檔'!$E:$E,"移入")</f>
        <v/>
      </c>
      <c r="F715" s="4">
        <f>-SUMIFS('01_異動主檔'!$F:$F,'01_異動主檔'!$B:$B,107,'01_異動主檔'!$D:$D,B715,'01_異動主檔'!$E:$E,"移出")</f>
        <v/>
      </c>
      <c r="G715" s="4">
        <f>SUMIFS('01_異動主檔'!$F:$F,'01_異動主檔'!$B:$B,107,'01_異動主檔'!$D:$D,B715,'01_異動主檔'!$E:$E,"新增")</f>
        <v/>
      </c>
      <c r="H715" s="4">
        <f>-SUMIFS('01_異動主檔'!$F:$F,'01_異動主檔'!$B:$B,107,'01_異動主檔'!$D:$D,B715,'01_異動主檔'!$E:$E,"減列")</f>
        <v/>
      </c>
      <c r="I715" s="4">
        <f>-SUMIFS('01_異動主檔'!$F:$F,'01_異動主檔'!$B:$B,107,'01_異動主檔'!$D:$D,B715,'01_異動主檔'!$E:$E,"精簡")</f>
        <v/>
      </c>
      <c r="J715" s="10">
        <f>D715+E715+F715+G715+H715+I715</f>
        <v/>
      </c>
    </row>
    <row r="716" ht="18" customHeight="1">
      <c r="A716" s="6" t="inlineStr">
        <is>
          <t>D003</t>
        </is>
      </c>
      <c r="B716" s="5" t="inlineStr">
        <is>
          <t>統計科</t>
        </is>
      </c>
      <c r="C716" s="6" t="n">
        <v>108</v>
      </c>
      <c r="D716" s="10">
        <f>J715</f>
        <v/>
      </c>
      <c r="E716" s="4">
        <f>SUMIFS('01_異動主檔'!$F:$F,'01_異動主檔'!$B:$B,108,'01_異動主檔'!$D:$D,B716,'01_異動主檔'!$E:$E,"移入")</f>
        <v/>
      </c>
      <c r="F716" s="4">
        <f>-SUMIFS('01_異動主檔'!$F:$F,'01_異動主檔'!$B:$B,108,'01_異動主檔'!$D:$D,B716,'01_異動主檔'!$E:$E,"移出")</f>
        <v/>
      </c>
      <c r="G716" s="4">
        <f>SUMIFS('01_異動主檔'!$F:$F,'01_異動主檔'!$B:$B,108,'01_異動主檔'!$D:$D,B716,'01_異動主檔'!$E:$E,"新增")</f>
        <v/>
      </c>
      <c r="H716" s="4">
        <f>-SUMIFS('01_異動主檔'!$F:$F,'01_異動主檔'!$B:$B,108,'01_異動主檔'!$D:$D,B716,'01_異動主檔'!$E:$E,"減列")</f>
        <v/>
      </c>
      <c r="I716" s="4">
        <f>-SUMIFS('01_異動主檔'!$F:$F,'01_異動主檔'!$B:$B,108,'01_異動主檔'!$D:$D,B716,'01_異動主檔'!$E:$E,"精簡")</f>
        <v/>
      </c>
      <c r="J716" s="10">
        <f>D716+E716+F716+G716+H716+I716</f>
        <v/>
      </c>
    </row>
    <row r="717" ht="18" customHeight="1">
      <c r="A717" s="4" t="inlineStr">
        <is>
          <t>D003</t>
        </is>
      </c>
      <c r="B717" s="3" t="inlineStr">
        <is>
          <t>統計科</t>
        </is>
      </c>
      <c r="C717" s="4" t="n">
        <v>109</v>
      </c>
      <c r="D717" s="10">
        <f>J716</f>
        <v/>
      </c>
      <c r="E717" s="4">
        <f>SUMIFS('01_異動主檔'!$F:$F,'01_異動主檔'!$B:$B,109,'01_異動主檔'!$D:$D,B717,'01_異動主檔'!$E:$E,"移入")</f>
        <v/>
      </c>
      <c r="F717" s="4">
        <f>-SUMIFS('01_異動主檔'!$F:$F,'01_異動主檔'!$B:$B,109,'01_異動主檔'!$D:$D,B717,'01_異動主檔'!$E:$E,"移出")</f>
        <v/>
      </c>
      <c r="G717" s="4">
        <f>SUMIFS('01_異動主檔'!$F:$F,'01_異動主檔'!$B:$B,109,'01_異動主檔'!$D:$D,B717,'01_異動主檔'!$E:$E,"新增")</f>
        <v/>
      </c>
      <c r="H717" s="4">
        <f>-SUMIFS('01_異動主檔'!$F:$F,'01_異動主檔'!$B:$B,109,'01_異動主檔'!$D:$D,B717,'01_異動主檔'!$E:$E,"減列")</f>
        <v/>
      </c>
      <c r="I717" s="4">
        <f>-SUMIFS('01_異動主檔'!$F:$F,'01_異動主檔'!$B:$B,109,'01_異動主檔'!$D:$D,B717,'01_異動主檔'!$E:$E,"精簡")</f>
        <v/>
      </c>
      <c r="J717" s="10">
        <f>D717+E717+F717+G717+H717+I717</f>
        <v/>
      </c>
    </row>
    <row r="718" ht="18" customHeight="1">
      <c r="A718" s="6" t="inlineStr">
        <is>
          <t>D003</t>
        </is>
      </c>
      <c r="B718" s="5" t="inlineStr">
        <is>
          <t>統計科</t>
        </is>
      </c>
      <c r="C718" s="6" t="n">
        <v>110</v>
      </c>
      <c r="D718" s="10">
        <f>J717</f>
        <v/>
      </c>
      <c r="E718" s="4">
        <f>SUMIFS('01_異動主檔'!$F:$F,'01_異動主檔'!$B:$B,110,'01_異動主檔'!$D:$D,B718,'01_異動主檔'!$E:$E,"移入")</f>
        <v/>
      </c>
      <c r="F718" s="4">
        <f>-SUMIFS('01_異動主檔'!$F:$F,'01_異動主檔'!$B:$B,110,'01_異動主檔'!$D:$D,B718,'01_異動主檔'!$E:$E,"移出")</f>
        <v/>
      </c>
      <c r="G718" s="4">
        <f>SUMIFS('01_異動主檔'!$F:$F,'01_異動主檔'!$B:$B,110,'01_異動主檔'!$D:$D,B718,'01_異動主檔'!$E:$E,"新增")</f>
        <v/>
      </c>
      <c r="H718" s="4">
        <f>-SUMIFS('01_異動主檔'!$F:$F,'01_異動主檔'!$B:$B,110,'01_異動主檔'!$D:$D,B718,'01_異動主檔'!$E:$E,"減列")</f>
        <v/>
      </c>
      <c r="I718" s="4">
        <f>-SUMIFS('01_異動主檔'!$F:$F,'01_異動主檔'!$B:$B,110,'01_異動主檔'!$D:$D,B718,'01_異動主檔'!$E:$E,"精簡")</f>
        <v/>
      </c>
      <c r="J718" s="10">
        <f>D718+E718+F718+G718+H718+I718</f>
        <v/>
      </c>
    </row>
    <row r="719" ht="18" customHeight="1">
      <c r="A719" s="4" t="inlineStr">
        <is>
          <t>D003</t>
        </is>
      </c>
      <c r="B719" s="3" t="inlineStr">
        <is>
          <t>統計科</t>
        </is>
      </c>
      <c r="C719" s="4" t="n">
        <v>111</v>
      </c>
      <c r="D719" s="10">
        <f>J718</f>
        <v/>
      </c>
      <c r="E719" s="4">
        <f>SUMIFS('01_異動主檔'!$F:$F,'01_異動主檔'!$B:$B,111,'01_異動主檔'!$D:$D,B719,'01_異動主檔'!$E:$E,"移入")</f>
        <v/>
      </c>
      <c r="F719" s="4">
        <f>-SUMIFS('01_異動主檔'!$F:$F,'01_異動主檔'!$B:$B,111,'01_異動主檔'!$D:$D,B719,'01_異動主檔'!$E:$E,"移出")</f>
        <v/>
      </c>
      <c r="G719" s="4">
        <f>SUMIFS('01_異動主檔'!$F:$F,'01_異動主檔'!$B:$B,111,'01_異動主檔'!$D:$D,B719,'01_異動主檔'!$E:$E,"新增")</f>
        <v/>
      </c>
      <c r="H719" s="4">
        <f>-SUMIFS('01_異動主檔'!$F:$F,'01_異動主檔'!$B:$B,111,'01_異動主檔'!$D:$D,B719,'01_異動主檔'!$E:$E,"減列")</f>
        <v/>
      </c>
      <c r="I719" s="4">
        <f>-SUMIFS('01_異動主檔'!$F:$F,'01_異動主檔'!$B:$B,111,'01_異動主檔'!$D:$D,B719,'01_異動主檔'!$E:$E,"精簡")</f>
        <v/>
      </c>
      <c r="J719" s="10">
        <f>D719+E719+F719+G719+H719+I719</f>
        <v/>
      </c>
    </row>
    <row r="720" ht="18" customHeight="1">
      <c r="A720" s="6" t="inlineStr">
        <is>
          <t>D003</t>
        </is>
      </c>
      <c r="B720" s="5" t="inlineStr">
        <is>
          <t>統計科</t>
        </is>
      </c>
      <c r="C720" s="6" t="n">
        <v>112</v>
      </c>
      <c r="D720" s="10">
        <f>J719</f>
        <v/>
      </c>
      <c r="E720" s="4">
        <f>SUMIFS('01_異動主檔'!$F:$F,'01_異動主檔'!$B:$B,112,'01_異動主檔'!$D:$D,B720,'01_異動主檔'!$E:$E,"移入")</f>
        <v/>
      </c>
      <c r="F720" s="4">
        <f>-SUMIFS('01_異動主檔'!$F:$F,'01_異動主檔'!$B:$B,112,'01_異動主檔'!$D:$D,B720,'01_異動主檔'!$E:$E,"移出")</f>
        <v/>
      </c>
      <c r="G720" s="4">
        <f>SUMIFS('01_異動主檔'!$F:$F,'01_異動主檔'!$B:$B,112,'01_異動主檔'!$D:$D,B720,'01_異動主檔'!$E:$E,"新增")</f>
        <v/>
      </c>
      <c r="H720" s="4">
        <f>-SUMIFS('01_異動主檔'!$F:$F,'01_異動主檔'!$B:$B,112,'01_異動主檔'!$D:$D,B720,'01_異動主檔'!$E:$E,"減列")</f>
        <v/>
      </c>
      <c r="I720" s="4">
        <f>-SUMIFS('01_異動主檔'!$F:$F,'01_異動主檔'!$B:$B,112,'01_異動主檔'!$D:$D,B720,'01_異動主檔'!$E:$E,"精簡")</f>
        <v/>
      </c>
      <c r="J720" s="10">
        <f>D720+E720+F720+G720+H720+I720</f>
        <v/>
      </c>
    </row>
    <row r="721" ht="18" customHeight="1">
      <c r="A721" s="4" t="inlineStr">
        <is>
          <t>D003</t>
        </is>
      </c>
      <c r="B721" s="3" t="inlineStr">
        <is>
          <t>統計科</t>
        </is>
      </c>
      <c r="C721" s="4" t="n">
        <v>113</v>
      </c>
      <c r="D721" s="10">
        <f>J720</f>
        <v/>
      </c>
      <c r="E721" s="4">
        <f>SUMIFS('01_異動主檔'!$F:$F,'01_異動主檔'!$B:$B,113,'01_異動主檔'!$D:$D,B721,'01_異動主檔'!$E:$E,"移入")</f>
        <v/>
      </c>
      <c r="F721" s="4">
        <f>-SUMIFS('01_異動主檔'!$F:$F,'01_異動主檔'!$B:$B,113,'01_異動主檔'!$D:$D,B721,'01_異動主檔'!$E:$E,"移出")</f>
        <v/>
      </c>
      <c r="G721" s="4">
        <f>SUMIFS('01_異動主檔'!$F:$F,'01_異動主檔'!$B:$B,113,'01_異動主檔'!$D:$D,B721,'01_異動主檔'!$E:$E,"新增")</f>
        <v/>
      </c>
      <c r="H721" s="4">
        <f>-SUMIFS('01_異動主檔'!$F:$F,'01_異動主檔'!$B:$B,113,'01_異動主檔'!$D:$D,B721,'01_異動主檔'!$E:$E,"減列")</f>
        <v/>
      </c>
      <c r="I721" s="4">
        <f>-SUMIFS('01_異動主檔'!$F:$F,'01_異動主檔'!$B:$B,113,'01_異動主檔'!$D:$D,B721,'01_異動主檔'!$E:$E,"精簡")</f>
        <v/>
      </c>
      <c r="J721" s="10">
        <f>D721+E721+F721+G721+H721+I721</f>
        <v/>
      </c>
    </row>
    <row r="722" ht="18" customHeight="1">
      <c r="A722" s="6" t="inlineStr">
        <is>
          <t>D003</t>
        </is>
      </c>
      <c r="B722" s="5" t="inlineStr">
        <is>
          <t>統計科</t>
        </is>
      </c>
      <c r="C722" s="6" t="n">
        <v>114</v>
      </c>
      <c r="D722" s="10">
        <f>J721</f>
        <v/>
      </c>
      <c r="E722" s="4">
        <f>SUMIFS('01_異動主檔'!$F:$F,'01_異動主檔'!$B:$B,114,'01_異動主檔'!$D:$D,B722,'01_異動主檔'!$E:$E,"移入")</f>
        <v/>
      </c>
      <c r="F722" s="4">
        <f>-SUMIFS('01_異動主檔'!$F:$F,'01_異動主檔'!$B:$B,114,'01_異動主檔'!$D:$D,B722,'01_異動主檔'!$E:$E,"移出")</f>
        <v/>
      </c>
      <c r="G722" s="4">
        <f>SUMIFS('01_異動主檔'!$F:$F,'01_異動主檔'!$B:$B,114,'01_異動主檔'!$D:$D,B722,'01_異動主檔'!$E:$E,"新增")</f>
        <v/>
      </c>
      <c r="H722" s="4">
        <f>-SUMIFS('01_異動主檔'!$F:$F,'01_異動主檔'!$B:$B,114,'01_異動主檔'!$D:$D,B722,'01_異動主檔'!$E:$E,"減列")</f>
        <v/>
      </c>
      <c r="I722" s="4">
        <f>-SUMIFS('01_異動主檔'!$F:$F,'01_異動主檔'!$B:$B,114,'01_異動主檔'!$D:$D,B722,'01_異動主檔'!$E:$E,"精簡")</f>
        <v/>
      </c>
      <c r="J722" s="10">
        <f>D722+E722+F722+G722+H722+I722</f>
        <v/>
      </c>
    </row>
    <row r="723" ht="18" customHeight="1">
      <c r="A723" s="4" t="inlineStr">
        <is>
          <t>D003</t>
        </is>
      </c>
      <c r="B723" s="3" t="inlineStr">
        <is>
          <t>統計科</t>
        </is>
      </c>
      <c r="C723" s="4" t="n">
        <v>115</v>
      </c>
      <c r="D723" s="10">
        <f>J722</f>
        <v/>
      </c>
      <c r="E723" s="4">
        <f>SUMIFS('01_異動主檔'!$F:$F,'01_異動主檔'!$B:$B,115,'01_異動主檔'!$D:$D,B723,'01_異動主檔'!$E:$E,"移入")</f>
        <v/>
      </c>
      <c r="F723" s="4">
        <f>-SUMIFS('01_異動主檔'!$F:$F,'01_異動主檔'!$B:$B,115,'01_異動主檔'!$D:$D,B723,'01_異動主檔'!$E:$E,"移出")</f>
        <v/>
      </c>
      <c r="G723" s="4">
        <f>SUMIFS('01_異動主檔'!$F:$F,'01_異動主檔'!$B:$B,115,'01_異動主檔'!$D:$D,B723,'01_異動主檔'!$E:$E,"新增")</f>
        <v/>
      </c>
      <c r="H723" s="4">
        <f>-SUMIFS('01_異動主檔'!$F:$F,'01_異動主檔'!$B:$B,115,'01_異動主檔'!$D:$D,B723,'01_異動主檔'!$E:$E,"減列")</f>
        <v/>
      </c>
      <c r="I723" s="4">
        <f>-SUMIFS('01_異動主檔'!$F:$F,'01_異動主檔'!$B:$B,115,'01_異動主檔'!$D:$D,B723,'01_異動主檔'!$E:$E,"精簡")</f>
        <v/>
      </c>
      <c r="J723" s="10">
        <f>D723+E723+F723+G723+H723+I723</f>
        <v/>
      </c>
    </row>
    <row r="724" ht="18" customHeight="1">
      <c r="A724" s="6" t="inlineStr">
        <is>
          <t>D003</t>
        </is>
      </c>
      <c r="B724" s="5" t="inlineStr">
        <is>
          <t>統計科</t>
        </is>
      </c>
      <c r="C724" s="6" t="n">
        <v>116</v>
      </c>
      <c r="D724" s="10">
        <f>J723</f>
        <v/>
      </c>
      <c r="E724" s="4">
        <f>SUMIFS('01_異動主檔'!$F:$F,'01_異動主檔'!$B:$B,116,'01_異動主檔'!$D:$D,B724,'01_異動主檔'!$E:$E,"移入")</f>
        <v/>
      </c>
      <c r="F724" s="4">
        <f>-SUMIFS('01_異動主檔'!$F:$F,'01_異動主檔'!$B:$B,116,'01_異動主檔'!$D:$D,B724,'01_異動主檔'!$E:$E,"移出")</f>
        <v/>
      </c>
      <c r="G724" s="4">
        <f>SUMIFS('01_異動主檔'!$F:$F,'01_異動主檔'!$B:$B,116,'01_異動主檔'!$D:$D,B724,'01_異動主檔'!$E:$E,"新增")</f>
        <v/>
      </c>
      <c r="H724" s="4">
        <f>-SUMIFS('01_異動主檔'!$F:$F,'01_異動主檔'!$B:$B,116,'01_異動主檔'!$D:$D,B724,'01_異動主檔'!$E:$E,"減列")</f>
        <v/>
      </c>
      <c r="I724" s="4">
        <f>-SUMIFS('01_異動主檔'!$F:$F,'01_異動主檔'!$B:$B,116,'01_異動主檔'!$D:$D,B724,'01_異動主檔'!$E:$E,"精簡")</f>
        <v/>
      </c>
      <c r="J724" s="10">
        <f>D724+E724+F724+G724+H724+I724</f>
        <v/>
      </c>
    </row>
    <row r="725" ht="18" customHeight="1">
      <c r="A725" s="4" t="inlineStr">
        <is>
          <t>D003</t>
        </is>
      </c>
      <c r="B725" s="3" t="inlineStr">
        <is>
          <t>統計科</t>
        </is>
      </c>
      <c r="C725" s="4" t="n">
        <v>117</v>
      </c>
      <c r="D725" s="10">
        <f>J724</f>
        <v/>
      </c>
      <c r="E725" s="4">
        <f>SUMIFS('01_異動主檔'!$F:$F,'01_異動主檔'!$B:$B,117,'01_異動主檔'!$D:$D,B725,'01_異動主檔'!$E:$E,"移入")</f>
        <v/>
      </c>
      <c r="F725" s="4">
        <f>-SUMIFS('01_異動主檔'!$F:$F,'01_異動主檔'!$B:$B,117,'01_異動主檔'!$D:$D,B725,'01_異動主檔'!$E:$E,"移出")</f>
        <v/>
      </c>
      <c r="G725" s="4">
        <f>SUMIFS('01_異動主檔'!$F:$F,'01_異動主檔'!$B:$B,117,'01_異動主檔'!$D:$D,B725,'01_異動主檔'!$E:$E,"新增")</f>
        <v/>
      </c>
      <c r="H725" s="4">
        <f>-SUMIFS('01_異動主檔'!$F:$F,'01_異動主檔'!$B:$B,117,'01_異動主檔'!$D:$D,B725,'01_異動主檔'!$E:$E,"減列")</f>
        <v/>
      </c>
      <c r="I725" s="4">
        <f>-SUMIFS('01_異動主檔'!$F:$F,'01_異動主檔'!$B:$B,117,'01_異動主檔'!$D:$D,B725,'01_異動主檔'!$E:$E,"精簡")</f>
        <v/>
      </c>
      <c r="J725" s="10">
        <f>D725+E725+F725+G725+H725+I725</f>
        <v/>
      </c>
    </row>
    <row r="726" ht="18" customHeight="1">
      <c r="A726" s="6" t="inlineStr">
        <is>
          <t>D003</t>
        </is>
      </c>
      <c r="B726" s="5" t="inlineStr">
        <is>
          <t>統計科</t>
        </is>
      </c>
      <c r="C726" s="6" t="n">
        <v>118</v>
      </c>
      <c r="D726" s="10">
        <f>J725</f>
        <v/>
      </c>
      <c r="E726" s="4">
        <f>SUMIFS('01_異動主檔'!$F:$F,'01_異動主檔'!$B:$B,118,'01_異動主檔'!$D:$D,B726,'01_異動主檔'!$E:$E,"移入")</f>
        <v/>
      </c>
      <c r="F726" s="4">
        <f>-SUMIFS('01_異動主檔'!$F:$F,'01_異動主檔'!$B:$B,118,'01_異動主檔'!$D:$D,B726,'01_異動主檔'!$E:$E,"移出")</f>
        <v/>
      </c>
      <c r="G726" s="4">
        <f>SUMIFS('01_異動主檔'!$F:$F,'01_異動主檔'!$B:$B,118,'01_異動主檔'!$D:$D,B726,'01_異動主檔'!$E:$E,"新增")</f>
        <v/>
      </c>
      <c r="H726" s="4">
        <f>-SUMIFS('01_異動主檔'!$F:$F,'01_異動主檔'!$B:$B,118,'01_異動主檔'!$D:$D,B726,'01_異動主檔'!$E:$E,"減列")</f>
        <v/>
      </c>
      <c r="I726" s="4">
        <f>-SUMIFS('01_異動主檔'!$F:$F,'01_異動主檔'!$B:$B,118,'01_異動主檔'!$D:$D,B726,'01_異動主檔'!$E:$E,"精簡")</f>
        <v/>
      </c>
      <c r="J726" s="10">
        <f>D726+E726+F726+G726+H726+I726</f>
        <v/>
      </c>
    </row>
    <row r="727" ht="18" customHeight="1">
      <c r="A727" s="4" t="inlineStr">
        <is>
          <t>D003</t>
        </is>
      </c>
      <c r="B727" s="3" t="inlineStr">
        <is>
          <t>統計科</t>
        </is>
      </c>
      <c r="C727" s="4" t="n">
        <v>119</v>
      </c>
      <c r="D727" s="10">
        <f>J726</f>
        <v/>
      </c>
      <c r="E727" s="4">
        <f>SUMIFS('01_異動主檔'!$F:$F,'01_異動主檔'!$B:$B,119,'01_異動主檔'!$D:$D,B727,'01_異動主檔'!$E:$E,"移入")</f>
        <v/>
      </c>
      <c r="F727" s="4">
        <f>-SUMIFS('01_異動主檔'!$F:$F,'01_異動主檔'!$B:$B,119,'01_異動主檔'!$D:$D,B727,'01_異動主檔'!$E:$E,"移出")</f>
        <v/>
      </c>
      <c r="G727" s="4">
        <f>SUMIFS('01_異動主檔'!$F:$F,'01_異動主檔'!$B:$B,119,'01_異動主檔'!$D:$D,B727,'01_異動主檔'!$E:$E,"新增")</f>
        <v/>
      </c>
      <c r="H727" s="4">
        <f>-SUMIFS('01_異動主檔'!$F:$F,'01_異動主檔'!$B:$B,119,'01_異動主檔'!$D:$D,B727,'01_異動主檔'!$E:$E,"減列")</f>
        <v/>
      </c>
      <c r="I727" s="4">
        <f>-SUMIFS('01_異動主檔'!$F:$F,'01_異動主檔'!$B:$B,119,'01_異動主檔'!$D:$D,B727,'01_異動主檔'!$E:$E,"精簡")</f>
        <v/>
      </c>
      <c r="J727" s="10">
        <f>D727+E727+F727+G727+H727+I727</f>
        <v/>
      </c>
    </row>
    <row r="728" ht="18" customHeight="1">
      <c r="A728" s="6" t="inlineStr">
        <is>
          <t>D003</t>
        </is>
      </c>
      <c r="B728" s="5" t="inlineStr">
        <is>
          <t>統計科</t>
        </is>
      </c>
      <c r="C728" s="6" t="n">
        <v>120</v>
      </c>
      <c r="D728" s="10">
        <f>J727</f>
        <v/>
      </c>
      <c r="E728" s="4">
        <f>SUMIFS('01_異動主檔'!$F:$F,'01_異動主檔'!$B:$B,120,'01_異動主檔'!$D:$D,B728,'01_異動主檔'!$E:$E,"移入")</f>
        <v/>
      </c>
      <c r="F728" s="4">
        <f>-SUMIFS('01_異動主檔'!$F:$F,'01_異動主檔'!$B:$B,120,'01_異動主檔'!$D:$D,B728,'01_異動主檔'!$E:$E,"移出")</f>
        <v/>
      </c>
      <c r="G728" s="4">
        <f>SUMIFS('01_異動主檔'!$F:$F,'01_異動主檔'!$B:$B,120,'01_異動主檔'!$D:$D,B728,'01_異動主檔'!$E:$E,"新增")</f>
        <v/>
      </c>
      <c r="H728" s="4">
        <f>-SUMIFS('01_異動主檔'!$F:$F,'01_異動主檔'!$B:$B,120,'01_異動主檔'!$D:$D,B728,'01_異動主檔'!$E:$E,"減列")</f>
        <v/>
      </c>
      <c r="I728" s="4">
        <f>-SUMIFS('01_異動主檔'!$F:$F,'01_異動主檔'!$B:$B,120,'01_異動主檔'!$D:$D,B728,'01_異動主檔'!$E:$E,"精簡")</f>
        <v/>
      </c>
      <c r="J728" s="10">
        <f>D728+E728+F728+G728+H728+I728</f>
        <v/>
      </c>
    </row>
    <row r="729" ht="18" customHeight="1">
      <c r="A729" s="4" t="inlineStr">
        <is>
          <t>D003</t>
        </is>
      </c>
      <c r="B729" s="3" t="inlineStr">
        <is>
          <t>統計科</t>
        </is>
      </c>
      <c r="C729" s="4" t="n">
        <v>121</v>
      </c>
      <c r="D729" s="10">
        <f>J728</f>
        <v/>
      </c>
      <c r="E729" s="4">
        <f>SUMIFS('01_異動主檔'!$F:$F,'01_異動主檔'!$B:$B,121,'01_異動主檔'!$D:$D,B729,'01_異動主檔'!$E:$E,"移入")</f>
        <v/>
      </c>
      <c r="F729" s="4">
        <f>-SUMIFS('01_異動主檔'!$F:$F,'01_異動主檔'!$B:$B,121,'01_異動主檔'!$D:$D,B729,'01_異動主檔'!$E:$E,"移出")</f>
        <v/>
      </c>
      <c r="G729" s="4">
        <f>SUMIFS('01_異動主檔'!$F:$F,'01_異動主檔'!$B:$B,121,'01_異動主檔'!$D:$D,B729,'01_異動主檔'!$E:$E,"新增")</f>
        <v/>
      </c>
      <c r="H729" s="4">
        <f>-SUMIFS('01_異動主檔'!$F:$F,'01_異動主檔'!$B:$B,121,'01_異動主檔'!$D:$D,B729,'01_異動主檔'!$E:$E,"減列")</f>
        <v/>
      </c>
      <c r="I729" s="4">
        <f>-SUMIFS('01_異動主檔'!$F:$F,'01_異動主檔'!$B:$B,121,'01_異動主檔'!$D:$D,B729,'01_異動主檔'!$E:$E,"精簡")</f>
        <v/>
      </c>
      <c r="J729" s="10">
        <f>D729+E729+F729+G729+H729+I729</f>
        <v/>
      </c>
    </row>
    <row r="730" ht="18" customHeight="1">
      <c r="A730" s="6" t="inlineStr">
        <is>
          <t>D003</t>
        </is>
      </c>
      <c r="B730" s="5" t="inlineStr">
        <is>
          <t>統計科</t>
        </is>
      </c>
      <c r="C730" s="6" t="n">
        <v>122</v>
      </c>
      <c r="D730" s="10">
        <f>J729</f>
        <v/>
      </c>
      <c r="E730" s="4">
        <f>SUMIFS('01_異動主檔'!$F:$F,'01_異動主檔'!$B:$B,122,'01_異動主檔'!$D:$D,B730,'01_異動主檔'!$E:$E,"移入")</f>
        <v/>
      </c>
      <c r="F730" s="4">
        <f>-SUMIFS('01_異動主檔'!$F:$F,'01_異動主檔'!$B:$B,122,'01_異動主檔'!$D:$D,B730,'01_異動主檔'!$E:$E,"移出")</f>
        <v/>
      </c>
      <c r="G730" s="4">
        <f>SUMIFS('01_異動主檔'!$F:$F,'01_異動主檔'!$B:$B,122,'01_異動主檔'!$D:$D,B730,'01_異動主檔'!$E:$E,"新增")</f>
        <v/>
      </c>
      <c r="H730" s="4">
        <f>-SUMIFS('01_異動主檔'!$F:$F,'01_異動主檔'!$B:$B,122,'01_異動主檔'!$D:$D,B730,'01_異動主檔'!$E:$E,"減列")</f>
        <v/>
      </c>
      <c r="I730" s="4">
        <f>-SUMIFS('01_異動主檔'!$F:$F,'01_異動主檔'!$B:$B,122,'01_異動主檔'!$D:$D,B730,'01_異動主檔'!$E:$E,"精簡")</f>
        <v/>
      </c>
      <c r="J730" s="10">
        <f>D730+E730+F730+G730+H730+I730</f>
        <v/>
      </c>
    </row>
    <row r="731" ht="18" customHeight="1">
      <c r="A731" s="4" t="inlineStr">
        <is>
          <t>D003</t>
        </is>
      </c>
      <c r="B731" s="3" t="inlineStr">
        <is>
          <t>統計科</t>
        </is>
      </c>
      <c r="C731" s="4" t="n">
        <v>123</v>
      </c>
      <c r="D731" s="10">
        <f>J730</f>
        <v/>
      </c>
      <c r="E731" s="4">
        <f>SUMIFS('01_異動主檔'!$F:$F,'01_異動主檔'!$B:$B,123,'01_異動主檔'!$D:$D,B731,'01_異動主檔'!$E:$E,"移入")</f>
        <v/>
      </c>
      <c r="F731" s="4">
        <f>-SUMIFS('01_異動主檔'!$F:$F,'01_異動主檔'!$B:$B,123,'01_異動主檔'!$D:$D,B731,'01_異動主檔'!$E:$E,"移出")</f>
        <v/>
      </c>
      <c r="G731" s="4">
        <f>SUMIFS('01_異動主檔'!$F:$F,'01_異動主檔'!$B:$B,123,'01_異動主檔'!$D:$D,B731,'01_異動主檔'!$E:$E,"新增")</f>
        <v/>
      </c>
      <c r="H731" s="4">
        <f>-SUMIFS('01_異動主檔'!$F:$F,'01_異動主檔'!$B:$B,123,'01_異動主檔'!$D:$D,B731,'01_異動主檔'!$E:$E,"減列")</f>
        <v/>
      </c>
      <c r="I731" s="4">
        <f>-SUMIFS('01_異動主檔'!$F:$F,'01_異動主檔'!$B:$B,123,'01_異動主檔'!$D:$D,B731,'01_異動主檔'!$E:$E,"精簡")</f>
        <v/>
      </c>
      <c r="J731" s="10">
        <f>D731+E731+F731+G731+H731+I731</f>
        <v/>
      </c>
    </row>
    <row r="732" ht="18" customHeight="1">
      <c r="A732" s="6" t="inlineStr">
        <is>
          <t>D003</t>
        </is>
      </c>
      <c r="B732" s="5" t="inlineStr">
        <is>
          <t>統計科</t>
        </is>
      </c>
      <c r="C732" s="6" t="n">
        <v>124</v>
      </c>
      <c r="D732" s="10">
        <f>J731</f>
        <v/>
      </c>
      <c r="E732" s="4">
        <f>SUMIFS('01_異動主檔'!$F:$F,'01_異動主檔'!$B:$B,124,'01_異動主檔'!$D:$D,B732,'01_異動主檔'!$E:$E,"移入")</f>
        <v/>
      </c>
      <c r="F732" s="4">
        <f>-SUMIFS('01_異動主檔'!$F:$F,'01_異動主檔'!$B:$B,124,'01_異動主檔'!$D:$D,B732,'01_異動主檔'!$E:$E,"移出")</f>
        <v/>
      </c>
      <c r="G732" s="4">
        <f>SUMIFS('01_異動主檔'!$F:$F,'01_異動主檔'!$B:$B,124,'01_異動主檔'!$D:$D,B732,'01_異動主檔'!$E:$E,"新增")</f>
        <v/>
      </c>
      <c r="H732" s="4">
        <f>-SUMIFS('01_異動主檔'!$F:$F,'01_異動主檔'!$B:$B,124,'01_異動主檔'!$D:$D,B732,'01_異動主檔'!$E:$E,"減列")</f>
        <v/>
      </c>
      <c r="I732" s="4">
        <f>-SUMIFS('01_異動主檔'!$F:$F,'01_異動主檔'!$B:$B,124,'01_異動主檔'!$D:$D,B732,'01_異動主檔'!$E:$E,"精簡")</f>
        <v/>
      </c>
      <c r="J732" s="10">
        <f>D732+E732+F732+G732+H732+I732</f>
        <v/>
      </c>
    </row>
    <row r="733" ht="18" customHeight="1">
      <c r="A733" s="4" t="inlineStr">
        <is>
          <t>D003</t>
        </is>
      </c>
      <c r="B733" s="3" t="inlineStr">
        <is>
          <t>統計科</t>
        </is>
      </c>
      <c r="C733" s="4" t="n">
        <v>125</v>
      </c>
      <c r="D733" s="10">
        <f>J732</f>
        <v/>
      </c>
      <c r="E733" s="4">
        <f>SUMIFS('01_異動主檔'!$F:$F,'01_異動主檔'!$B:$B,125,'01_異動主檔'!$D:$D,B733,'01_異動主檔'!$E:$E,"移入")</f>
        <v/>
      </c>
      <c r="F733" s="4">
        <f>-SUMIFS('01_異動主檔'!$F:$F,'01_異動主檔'!$B:$B,125,'01_異動主檔'!$D:$D,B733,'01_異動主檔'!$E:$E,"移出")</f>
        <v/>
      </c>
      <c r="G733" s="4">
        <f>SUMIFS('01_異動主檔'!$F:$F,'01_異動主檔'!$B:$B,125,'01_異動主檔'!$D:$D,B733,'01_異動主檔'!$E:$E,"新增")</f>
        <v/>
      </c>
      <c r="H733" s="4">
        <f>-SUMIFS('01_異動主檔'!$F:$F,'01_異動主檔'!$B:$B,125,'01_異動主檔'!$D:$D,B733,'01_異動主檔'!$E:$E,"減列")</f>
        <v/>
      </c>
      <c r="I733" s="4">
        <f>-SUMIFS('01_異動主檔'!$F:$F,'01_異動主檔'!$B:$B,125,'01_異動主檔'!$D:$D,B733,'01_異動主檔'!$E:$E,"精簡")</f>
        <v/>
      </c>
      <c r="J733" s="10">
        <f>D733+E733+F733+G733+H733+I733</f>
        <v/>
      </c>
    </row>
    <row r="734" ht="18" customHeight="1">
      <c r="A734" s="6" t="inlineStr">
        <is>
          <t>D004</t>
        </is>
      </c>
      <c r="B734" s="5" t="inlineStr">
        <is>
          <t>文書科</t>
        </is>
      </c>
      <c r="C734" s="6" t="n">
        <v>99</v>
      </c>
      <c r="D734" s="10">
        <f>'02_年初員額設定'!C32</f>
        <v/>
      </c>
      <c r="E734" s="4">
        <f>SUMIFS('01_異動主檔'!$F:$F,'01_異動主檔'!$B:$B,99,'01_異動主檔'!$D:$D,B734,'01_異動主檔'!$E:$E,"移入")</f>
        <v/>
      </c>
      <c r="F734" s="4">
        <f>-SUMIFS('01_異動主檔'!$F:$F,'01_異動主檔'!$B:$B,99,'01_異動主檔'!$D:$D,B734,'01_異動主檔'!$E:$E,"移出")</f>
        <v/>
      </c>
      <c r="G734" s="4">
        <f>SUMIFS('01_異動主檔'!$F:$F,'01_異動主檔'!$B:$B,99,'01_異動主檔'!$D:$D,B734,'01_異動主檔'!$E:$E,"新增")</f>
        <v/>
      </c>
      <c r="H734" s="4">
        <f>-SUMIFS('01_異動主檔'!$F:$F,'01_異動主檔'!$B:$B,99,'01_異動主檔'!$D:$D,B734,'01_異動主檔'!$E:$E,"減列")</f>
        <v/>
      </c>
      <c r="I734" s="4">
        <f>-SUMIFS('01_異動主檔'!$F:$F,'01_異動主檔'!$B:$B,99,'01_異動主檔'!$D:$D,B734,'01_異動主檔'!$E:$E,"精簡")</f>
        <v/>
      </c>
      <c r="J734" s="10">
        <f>D734+E734+F734+G734+H734+I734</f>
        <v/>
      </c>
    </row>
    <row r="735" ht="18" customHeight="1">
      <c r="A735" s="4" t="inlineStr">
        <is>
          <t>D004</t>
        </is>
      </c>
      <c r="B735" s="3" t="inlineStr">
        <is>
          <t>文書科</t>
        </is>
      </c>
      <c r="C735" s="4" t="n">
        <v>100</v>
      </c>
      <c r="D735" s="10">
        <f>J734</f>
        <v/>
      </c>
      <c r="E735" s="4">
        <f>SUMIFS('01_異動主檔'!$F:$F,'01_異動主檔'!$B:$B,100,'01_異動主檔'!$D:$D,B735,'01_異動主檔'!$E:$E,"移入")</f>
        <v/>
      </c>
      <c r="F735" s="4">
        <f>-SUMIFS('01_異動主檔'!$F:$F,'01_異動主檔'!$B:$B,100,'01_異動主檔'!$D:$D,B735,'01_異動主檔'!$E:$E,"移出")</f>
        <v/>
      </c>
      <c r="G735" s="4">
        <f>SUMIFS('01_異動主檔'!$F:$F,'01_異動主檔'!$B:$B,100,'01_異動主檔'!$D:$D,B735,'01_異動主檔'!$E:$E,"新增")</f>
        <v/>
      </c>
      <c r="H735" s="4">
        <f>-SUMIFS('01_異動主檔'!$F:$F,'01_異動主檔'!$B:$B,100,'01_異動主檔'!$D:$D,B735,'01_異動主檔'!$E:$E,"減列")</f>
        <v/>
      </c>
      <c r="I735" s="4">
        <f>-SUMIFS('01_異動主檔'!$F:$F,'01_異動主檔'!$B:$B,100,'01_異動主檔'!$D:$D,B735,'01_異動主檔'!$E:$E,"精簡")</f>
        <v/>
      </c>
      <c r="J735" s="10">
        <f>D735+E735+F735+G735+H735+I735</f>
        <v/>
      </c>
    </row>
    <row r="736" ht="18" customHeight="1">
      <c r="A736" s="6" t="inlineStr">
        <is>
          <t>D004</t>
        </is>
      </c>
      <c r="B736" s="5" t="inlineStr">
        <is>
          <t>文書科</t>
        </is>
      </c>
      <c r="C736" s="6" t="n">
        <v>101</v>
      </c>
      <c r="D736" s="10">
        <f>J735</f>
        <v/>
      </c>
      <c r="E736" s="4">
        <f>SUMIFS('01_異動主檔'!$F:$F,'01_異動主檔'!$B:$B,101,'01_異動主檔'!$D:$D,B736,'01_異動主檔'!$E:$E,"移入")</f>
        <v/>
      </c>
      <c r="F736" s="4">
        <f>-SUMIFS('01_異動主檔'!$F:$F,'01_異動主檔'!$B:$B,101,'01_異動主檔'!$D:$D,B736,'01_異動主檔'!$E:$E,"移出")</f>
        <v/>
      </c>
      <c r="G736" s="4">
        <f>SUMIFS('01_異動主檔'!$F:$F,'01_異動主檔'!$B:$B,101,'01_異動主檔'!$D:$D,B736,'01_異動主檔'!$E:$E,"新增")</f>
        <v/>
      </c>
      <c r="H736" s="4">
        <f>-SUMIFS('01_異動主檔'!$F:$F,'01_異動主檔'!$B:$B,101,'01_異動主檔'!$D:$D,B736,'01_異動主檔'!$E:$E,"減列")</f>
        <v/>
      </c>
      <c r="I736" s="4">
        <f>-SUMIFS('01_異動主檔'!$F:$F,'01_異動主檔'!$B:$B,101,'01_異動主檔'!$D:$D,B736,'01_異動主檔'!$E:$E,"精簡")</f>
        <v/>
      </c>
      <c r="J736" s="10">
        <f>D736+E736+F736+G736+H736+I736</f>
        <v/>
      </c>
    </row>
    <row r="737" ht="18" customHeight="1">
      <c r="A737" s="4" t="inlineStr">
        <is>
          <t>D004</t>
        </is>
      </c>
      <c r="B737" s="3" t="inlineStr">
        <is>
          <t>文書科</t>
        </is>
      </c>
      <c r="C737" s="4" t="n">
        <v>102</v>
      </c>
      <c r="D737" s="10">
        <f>J736</f>
        <v/>
      </c>
      <c r="E737" s="4">
        <f>SUMIFS('01_異動主檔'!$F:$F,'01_異動主檔'!$B:$B,102,'01_異動主檔'!$D:$D,B737,'01_異動主檔'!$E:$E,"移入")</f>
        <v/>
      </c>
      <c r="F737" s="4">
        <f>-SUMIFS('01_異動主檔'!$F:$F,'01_異動主檔'!$B:$B,102,'01_異動主檔'!$D:$D,B737,'01_異動主檔'!$E:$E,"移出")</f>
        <v/>
      </c>
      <c r="G737" s="4">
        <f>SUMIFS('01_異動主檔'!$F:$F,'01_異動主檔'!$B:$B,102,'01_異動主檔'!$D:$D,B737,'01_異動主檔'!$E:$E,"新增")</f>
        <v/>
      </c>
      <c r="H737" s="4">
        <f>-SUMIFS('01_異動主檔'!$F:$F,'01_異動主檔'!$B:$B,102,'01_異動主檔'!$D:$D,B737,'01_異動主檔'!$E:$E,"減列")</f>
        <v/>
      </c>
      <c r="I737" s="4">
        <f>-SUMIFS('01_異動主檔'!$F:$F,'01_異動主檔'!$B:$B,102,'01_異動主檔'!$D:$D,B737,'01_異動主檔'!$E:$E,"精簡")</f>
        <v/>
      </c>
      <c r="J737" s="10">
        <f>D737+E737+F737+G737+H737+I737</f>
        <v/>
      </c>
    </row>
    <row r="738" ht="18" customHeight="1">
      <c r="A738" s="6" t="inlineStr">
        <is>
          <t>D004</t>
        </is>
      </c>
      <c r="B738" s="5" t="inlineStr">
        <is>
          <t>文書科</t>
        </is>
      </c>
      <c r="C738" s="6" t="n">
        <v>103</v>
      </c>
      <c r="D738" s="10">
        <f>J737</f>
        <v/>
      </c>
      <c r="E738" s="4">
        <f>SUMIFS('01_異動主檔'!$F:$F,'01_異動主檔'!$B:$B,103,'01_異動主檔'!$D:$D,B738,'01_異動主檔'!$E:$E,"移入")</f>
        <v/>
      </c>
      <c r="F738" s="4">
        <f>-SUMIFS('01_異動主檔'!$F:$F,'01_異動主檔'!$B:$B,103,'01_異動主檔'!$D:$D,B738,'01_異動主檔'!$E:$E,"移出")</f>
        <v/>
      </c>
      <c r="G738" s="4">
        <f>SUMIFS('01_異動主檔'!$F:$F,'01_異動主檔'!$B:$B,103,'01_異動主檔'!$D:$D,B738,'01_異動主檔'!$E:$E,"新增")</f>
        <v/>
      </c>
      <c r="H738" s="4">
        <f>-SUMIFS('01_異動主檔'!$F:$F,'01_異動主檔'!$B:$B,103,'01_異動主檔'!$D:$D,B738,'01_異動主檔'!$E:$E,"減列")</f>
        <v/>
      </c>
      <c r="I738" s="4">
        <f>-SUMIFS('01_異動主檔'!$F:$F,'01_異動主檔'!$B:$B,103,'01_異動主檔'!$D:$D,B738,'01_異動主檔'!$E:$E,"精簡")</f>
        <v/>
      </c>
      <c r="J738" s="10">
        <f>D738+E738+F738+G738+H738+I738</f>
        <v/>
      </c>
    </row>
    <row r="739" ht="18" customHeight="1">
      <c r="A739" s="4" t="inlineStr">
        <is>
          <t>D004</t>
        </is>
      </c>
      <c r="B739" s="3" t="inlineStr">
        <is>
          <t>文書科</t>
        </is>
      </c>
      <c r="C739" s="4" t="n">
        <v>104</v>
      </c>
      <c r="D739" s="10">
        <f>J738</f>
        <v/>
      </c>
      <c r="E739" s="4">
        <f>SUMIFS('01_異動主檔'!$F:$F,'01_異動主檔'!$B:$B,104,'01_異動主檔'!$D:$D,B739,'01_異動主檔'!$E:$E,"移入")</f>
        <v/>
      </c>
      <c r="F739" s="4">
        <f>-SUMIFS('01_異動主檔'!$F:$F,'01_異動主檔'!$B:$B,104,'01_異動主檔'!$D:$D,B739,'01_異動主檔'!$E:$E,"移出")</f>
        <v/>
      </c>
      <c r="G739" s="4">
        <f>SUMIFS('01_異動主檔'!$F:$F,'01_異動主檔'!$B:$B,104,'01_異動主檔'!$D:$D,B739,'01_異動主檔'!$E:$E,"新增")</f>
        <v/>
      </c>
      <c r="H739" s="4">
        <f>-SUMIFS('01_異動主檔'!$F:$F,'01_異動主檔'!$B:$B,104,'01_異動主檔'!$D:$D,B739,'01_異動主檔'!$E:$E,"減列")</f>
        <v/>
      </c>
      <c r="I739" s="4">
        <f>-SUMIFS('01_異動主檔'!$F:$F,'01_異動主檔'!$B:$B,104,'01_異動主檔'!$D:$D,B739,'01_異動主檔'!$E:$E,"精簡")</f>
        <v/>
      </c>
      <c r="J739" s="10">
        <f>D739+E739+F739+G739+H739+I739</f>
        <v/>
      </c>
    </row>
    <row r="740" ht="18" customHeight="1">
      <c r="A740" s="6" t="inlineStr">
        <is>
          <t>D004</t>
        </is>
      </c>
      <c r="B740" s="5" t="inlineStr">
        <is>
          <t>文書科</t>
        </is>
      </c>
      <c r="C740" s="6" t="n">
        <v>105</v>
      </c>
      <c r="D740" s="10">
        <f>J739</f>
        <v/>
      </c>
      <c r="E740" s="4">
        <f>SUMIFS('01_異動主檔'!$F:$F,'01_異動主檔'!$B:$B,105,'01_異動主檔'!$D:$D,B740,'01_異動主檔'!$E:$E,"移入")</f>
        <v/>
      </c>
      <c r="F740" s="4">
        <f>-SUMIFS('01_異動主檔'!$F:$F,'01_異動主檔'!$B:$B,105,'01_異動主檔'!$D:$D,B740,'01_異動主檔'!$E:$E,"移出")</f>
        <v/>
      </c>
      <c r="G740" s="4">
        <f>SUMIFS('01_異動主檔'!$F:$F,'01_異動主檔'!$B:$B,105,'01_異動主檔'!$D:$D,B740,'01_異動主檔'!$E:$E,"新增")</f>
        <v/>
      </c>
      <c r="H740" s="4">
        <f>-SUMIFS('01_異動主檔'!$F:$F,'01_異動主檔'!$B:$B,105,'01_異動主檔'!$D:$D,B740,'01_異動主檔'!$E:$E,"減列")</f>
        <v/>
      </c>
      <c r="I740" s="4">
        <f>-SUMIFS('01_異動主檔'!$F:$F,'01_異動主檔'!$B:$B,105,'01_異動主檔'!$D:$D,B740,'01_異動主檔'!$E:$E,"精簡")</f>
        <v/>
      </c>
      <c r="J740" s="10">
        <f>D740+E740+F740+G740+H740+I740</f>
        <v/>
      </c>
    </row>
    <row r="741" ht="18" customHeight="1">
      <c r="A741" s="4" t="inlineStr">
        <is>
          <t>D004</t>
        </is>
      </c>
      <c r="B741" s="3" t="inlineStr">
        <is>
          <t>文書科</t>
        </is>
      </c>
      <c r="C741" s="4" t="n">
        <v>106</v>
      </c>
      <c r="D741" s="10">
        <f>J740</f>
        <v/>
      </c>
      <c r="E741" s="4">
        <f>SUMIFS('01_異動主檔'!$F:$F,'01_異動主檔'!$B:$B,106,'01_異動主檔'!$D:$D,B741,'01_異動主檔'!$E:$E,"移入")</f>
        <v/>
      </c>
      <c r="F741" s="4">
        <f>-SUMIFS('01_異動主檔'!$F:$F,'01_異動主檔'!$B:$B,106,'01_異動主檔'!$D:$D,B741,'01_異動主檔'!$E:$E,"移出")</f>
        <v/>
      </c>
      <c r="G741" s="4">
        <f>SUMIFS('01_異動主檔'!$F:$F,'01_異動主檔'!$B:$B,106,'01_異動主檔'!$D:$D,B741,'01_異動主檔'!$E:$E,"新增")</f>
        <v/>
      </c>
      <c r="H741" s="4">
        <f>-SUMIFS('01_異動主檔'!$F:$F,'01_異動主檔'!$B:$B,106,'01_異動主檔'!$D:$D,B741,'01_異動主檔'!$E:$E,"減列")</f>
        <v/>
      </c>
      <c r="I741" s="4">
        <f>-SUMIFS('01_異動主檔'!$F:$F,'01_異動主檔'!$B:$B,106,'01_異動主檔'!$D:$D,B741,'01_異動主檔'!$E:$E,"精簡")</f>
        <v/>
      </c>
      <c r="J741" s="10">
        <f>D741+E741+F741+G741+H741+I741</f>
        <v/>
      </c>
    </row>
    <row r="742" ht="18" customHeight="1">
      <c r="A742" s="6" t="inlineStr">
        <is>
          <t>D004</t>
        </is>
      </c>
      <c r="B742" s="5" t="inlineStr">
        <is>
          <t>文書科</t>
        </is>
      </c>
      <c r="C742" s="6" t="n">
        <v>107</v>
      </c>
      <c r="D742" s="10">
        <f>J741</f>
        <v/>
      </c>
      <c r="E742" s="4">
        <f>SUMIFS('01_異動主檔'!$F:$F,'01_異動主檔'!$B:$B,107,'01_異動主檔'!$D:$D,B742,'01_異動主檔'!$E:$E,"移入")</f>
        <v/>
      </c>
      <c r="F742" s="4">
        <f>-SUMIFS('01_異動主檔'!$F:$F,'01_異動主檔'!$B:$B,107,'01_異動主檔'!$D:$D,B742,'01_異動主檔'!$E:$E,"移出")</f>
        <v/>
      </c>
      <c r="G742" s="4">
        <f>SUMIFS('01_異動主檔'!$F:$F,'01_異動主檔'!$B:$B,107,'01_異動主檔'!$D:$D,B742,'01_異動主檔'!$E:$E,"新增")</f>
        <v/>
      </c>
      <c r="H742" s="4">
        <f>-SUMIFS('01_異動主檔'!$F:$F,'01_異動主檔'!$B:$B,107,'01_異動主檔'!$D:$D,B742,'01_異動主檔'!$E:$E,"減列")</f>
        <v/>
      </c>
      <c r="I742" s="4">
        <f>-SUMIFS('01_異動主檔'!$F:$F,'01_異動主檔'!$B:$B,107,'01_異動主檔'!$D:$D,B742,'01_異動主檔'!$E:$E,"精簡")</f>
        <v/>
      </c>
      <c r="J742" s="10">
        <f>D742+E742+F742+G742+H742+I742</f>
        <v/>
      </c>
    </row>
    <row r="743" ht="18" customHeight="1">
      <c r="A743" s="4" t="inlineStr">
        <is>
          <t>D004</t>
        </is>
      </c>
      <c r="B743" s="3" t="inlineStr">
        <is>
          <t>文書科</t>
        </is>
      </c>
      <c r="C743" s="4" t="n">
        <v>108</v>
      </c>
      <c r="D743" s="10">
        <f>J742</f>
        <v/>
      </c>
      <c r="E743" s="4">
        <f>SUMIFS('01_異動主檔'!$F:$F,'01_異動主檔'!$B:$B,108,'01_異動主檔'!$D:$D,B743,'01_異動主檔'!$E:$E,"移入")</f>
        <v/>
      </c>
      <c r="F743" s="4">
        <f>-SUMIFS('01_異動主檔'!$F:$F,'01_異動主檔'!$B:$B,108,'01_異動主檔'!$D:$D,B743,'01_異動主檔'!$E:$E,"移出")</f>
        <v/>
      </c>
      <c r="G743" s="4">
        <f>SUMIFS('01_異動主檔'!$F:$F,'01_異動主檔'!$B:$B,108,'01_異動主檔'!$D:$D,B743,'01_異動主檔'!$E:$E,"新增")</f>
        <v/>
      </c>
      <c r="H743" s="4">
        <f>-SUMIFS('01_異動主檔'!$F:$F,'01_異動主檔'!$B:$B,108,'01_異動主檔'!$D:$D,B743,'01_異動主檔'!$E:$E,"減列")</f>
        <v/>
      </c>
      <c r="I743" s="4">
        <f>-SUMIFS('01_異動主檔'!$F:$F,'01_異動主檔'!$B:$B,108,'01_異動主檔'!$D:$D,B743,'01_異動主檔'!$E:$E,"精簡")</f>
        <v/>
      </c>
      <c r="J743" s="10">
        <f>D743+E743+F743+G743+H743+I743</f>
        <v/>
      </c>
    </row>
    <row r="744" ht="18" customHeight="1">
      <c r="A744" s="6" t="inlineStr">
        <is>
          <t>D004</t>
        </is>
      </c>
      <c r="B744" s="5" t="inlineStr">
        <is>
          <t>文書科</t>
        </is>
      </c>
      <c r="C744" s="6" t="n">
        <v>109</v>
      </c>
      <c r="D744" s="10">
        <f>J743</f>
        <v/>
      </c>
      <c r="E744" s="4">
        <f>SUMIFS('01_異動主檔'!$F:$F,'01_異動主檔'!$B:$B,109,'01_異動主檔'!$D:$D,B744,'01_異動主檔'!$E:$E,"移入")</f>
        <v/>
      </c>
      <c r="F744" s="4">
        <f>-SUMIFS('01_異動主檔'!$F:$F,'01_異動主檔'!$B:$B,109,'01_異動主檔'!$D:$D,B744,'01_異動主檔'!$E:$E,"移出")</f>
        <v/>
      </c>
      <c r="G744" s="4">
        <f>SUMIFS('01_異動主檔'!$F:$F,'01_異動主檔'!$B:$B,109,'01_異動主檔'!$D:$D,B744,'01_異動主檔'!$E:$E,"新增")</f>
        <v/>
      </c>
      <c r="H744" s="4">
        <f>-SUMIFS('01_異動主檔'!$F:$F,'01_異動主檔'!$B:$B,109,'01_異動主檔'!$D:$D,B744,'01_異動主檔'!$E:$E,"減列")</f>
        <v/>
      </c>
      <c r="I744" s="4">
        <f>-SUMIFS('01_異動主檔'!$F:$F,'01_異動主檔'!$B:$B,109,'01_異動主檔'!$D:$D,B744,'01_異動主檔'!$E:$E,"精簡")</f>
        <v/>
      </c>
      <c r="J744" s="10">
        <f>D744+E744+F744+G744+H744+I744</f>
        <v/>
      </c>
    </row>
    <row r="745" ht="18" customHeight="1">
      <c r="A745" s="4" t="inlineStr">
        <is>
          <t>D004</t>
        </is>
      </c>
      <c r="B745" s="3" t="inlineStr">
        <is>
          <t>文書科</t>
        </is>
      </c>
      <c r="C745" s="4" t="n">
        <v>110</v>
      </c>
      <c r="D745" s="10">
        <f>J744</f>
        <v/>
      </c>
      <c r="E745" s="4">
        <f>SUMIFS('01_異動主檔'!$F:$F,'01_異動主檔'!$B:$B,110,'01_異動主檔'!$D:$D,B745,'01_異動主檔'!$E:$E,"移入")</f>
        <v/>
      </c>
      <c r="F745" s="4">
        <f>-SUMIFS('01_異動主檔'!$F:$F,'01_異動主檔'!$B:$B,110,'01_異動主檔'!$D:$D,B745,'01_異動主檔'!$E:$E,"移出")</f>
        <v/>
      </c>
      <c r="G745" s="4">
        <f>SUMIFS('01_異動主檔'!$F:$F,'01_異動主檔'!$B:$B,110,'01_異動主檔'!$D:$D,B745,'01_異動主檔'!$E:$E,"新增")</f>
        <v/>
      </c>
      <c r="H745" s="4">
        <f>-SUMIFS('01_異動主檔'!$F:$F,'01_異動主檔'!$B:$B,110,'01_異動主檔'!$D:$D,B745,'01_異動主檔'!$E:$E,"減列")</f>
        <v/>
      </c>
      <c r="I745" s="4">
        <f>-SUMIFS('01_異動主檔'!$F:$F,'01_異動主檔'!$B:$B,110,'01_異動主檔'!$D:$D,B745,'01_異動主檔'!$E:$E,"精簡")</f>
        <v/>
      </c>
      <c r="J745" s="10">
        <f>D745+E745+F745+G745+H745+I745</f>
        <v/>
      </c>
    </row>
    <row r="746" ht="18" customHeight="1">
      <c r="A746" s="6" t="inlineStr">
        <is>
          <t>D004</t>
        </is>
      </c>
      <c r="B746" s="5" t="inlineStr">
        <is>
          <t>文書科</t>
        </is>
      </c>
      <c r="C746" s="6" t="n">
        <v>111</v>
      </c>
      <c r="D746" s="10">
        <f>J745</f>
        <v/>
      </c>
      <c r="E746" s="4">
        <f>SUMIFS('01_異動主檔'!$F:$F,'01_異動主檔'!$B:$B,111,'01_異動主檔'!$D:$D,B746,'01_異動主檔'!$E:$E,"移入")</f>
        <v/>
      </c>
      <c r="F746" s="4">
        <f>-SUMIFS('01_異動主檔'!$F:$F,'01_異動主檔'!$B:$B,111,'01_異動主檔'!$D:$D,B746,'01_異動主檔'!$E:$E,"移出")</f>
        <v/>
      </c>
      <c r="G746" s="4">
        <f>SUMIFS('01_異動主檔'!$F:$F,'01_異動主檔'!$B:$B,111,'01_異動主檔'!$D:$D,B746,'01_異動主檔'!$E:$E,"新增")</f>
        <v/>
      </c>
      <c r="H746" s="4">
        <f>-SUMIFS('01_異動主檔'!$F:$F,'01_異動主檔'!$B:$B,111,'01_異動主檔'!$D:$D,B746,'01_異動主檔'!$E:$E,"減列")</f>
        <v/>
      </c>
      <c r="I746" s="4">
        <f>-SUMIFS('01_異動主檔'!$F:$F,'01_異動主檔'!$B:$B,111,'01_異動主檔'!$D:$D,B746,'01_異動主檔'!$E:$E,"精簡")</f>
        <v/>
      </c>
      <c r="J746" s="10">
        <f>D746+E746+F746+G746+H746+I746</f>
        <v/>
      </c>
    </row>
    <row r="747" ht="18" customHeight="1">
      <c r="A747" s="4" t="inlineStr">
        <is>
          <t>D004</t>
        </is>
      </c>
      <c r="B747" s="3" t="inlineStr">
        <is>
          <t>文書科</t>
        </is>
      </c>
      <c r="C747" s="4" t="n">
        <v>112</v>
      </c>
      <c r="D747" s="10">
        <f>J746</f>
        <v/>
      </c>
      <c r="E747" s="4">
        <f>SUMIFS('01_異動主檔'!$F:$F,'01_異動主檔'!$B:$B,112,'01_異動主檔'!$D:$D,B747,'01_異動主檔'!$E:$E,"移入")</f>
        <v/>
      </c>
      <c r="F747" s="4">
        <f>-SUMIFS('01_異動主檔'!$F:$F,'01_異動主檔'!$B:$B,112,'01_異動主檔'!$D:$D,B747,'01_異動主檔'!$E:$E,"移出")</f>
        <v/>
      </c>
      <c r="G747" s="4">
        <f>SUMIFS('01_異動主檔'!$F:$F,'01_異動主檔'!$B:$B,112,'01_異動主檔'!$D:$D,B747,'01_異動主檔'!$E:$E,"新增")</f>
        <v/>
      </c>
      <c r="H747" s="4">
        <f>-SUMIFS('01_異動主檔'!$F:$F,'01_異動主檔'!$B:$B,112,'01_異動主檔'!$D:$D,B747,'01_異動主檔'!$E:$E,"減列")</f>
        <v/>
      </c>
      <c r="I747" s="4">
        <f>-SUMIFS('01_異動主檔'!$F:$F,'01_異動主檔'!$B:$B,112,'01_異動主檔'!$D:$D,B747,'01_異動主檔'!$E:$E,"精簡")</f>
        <v/>
      </c>
      <c r="J747" s="10">
        <f>D747+E747+F747+G747+H747+I747</f>
        <v/>
      </c>
    </row>
    <row r="748" ht="18" customHeight="1">
      <c r="A748" s="6" t="inlineStr">
        <is>
          <t>D004</t>
        </is>
      </c>
      <c r="B748" s="5" t="inlineStr">
        <is>
          <t>文書科</t>
        </is>
      </c>
      <c r="C748" s="6" t="n">
        <v>113</v>
      </c>
      <c r="D748" s="10">
        <f>J747</f>
        <v/>
      </c>
      <c r="E748" s="4">
        <f>SUMIFS('01_異動主檔'!$F:$F,'01_異動主檔'!$B:$B,113,'01_異動主檔'!$D:$D,B748,'01_異動主檔'!$E:$E,"移入")</f>
        <v/>
      </c>
      <c r="F748" s="4">
        <f>-SUMIFS('01_異動主檔'!$F:$F,'01_異動主檔'!$B:$B,113,'01_異動主檔'!$D:$D,B748,'01_異動主檔'!$E:$E,"移出")</f>
        <v/>
      </c>
      <c r="G748" s="4">
        <f>SUMIFS('01_異動主檔'!$F:$F,'01_異動主檔'!$B:$B,113,'01_異動主檔'!$D:$D,B748,'01_異動主檔'!$E:$E,"新增")</f>
        <v/>
      </c>
      <c r="H748" s="4">
        <f>-SUMIFS('01_異動主檔'!$F:$F,'01_異動主檔'!$B:$B,113,'01_異動主檔'!$D:$D,B748,'01_異動主檔'!$E:$E,"減列")</f>
        <v/>
      </c>
      <c r="I748" s="4">
        <f>-SUMIFS('01_異動主檔'!$F:$F,'01_異動主檔'!$B:$B,113,'01_異動主檔'!$D:$D,B748,'01_異動主檔'!$E:$E,"精簡")</f>
        <v/>
      </c>
      <c r="J748" s="10">
        <f>D748+E748+F748+G748+H748+I748</f>
        <v/>
      </c>
    </row>
    <row r="749" ht="18" customHeight="1">
      <c r="A749" s="4" t="inlineStr">
        <is>
          <t>D004</t>
        </is>
      </c>
      <c r="B749" s="3" t="inlineStr">
        <is>
          <t>文書科</t>
        </is>
      </c>
      <c r="C749" s="4" t="n">
        <v>114</v>
      </c>
      <c r="D749" s="10">
        <f>J748</f>
        <v/>
      </c>
      <c r="E749" s="4">
        <f>SUMIFS('01_異動主檔'!$F:$F,'01_異動主檔'!$B:$B,114,'01_異動主檔'!$D:$D,B749,'01_異動主檔'!$E:$E,"移入")</f>
        <v/>
      </c>
      <c r="F749" s="4">
        <f>-SUMIFS('01_異動主檔'!$F:$F,'01_異動主檔'!$B:$B,114,'01_異動主檔'!$D:$D,B749,'01_異動主檔'!$E:$E,"移出")</f>
        <v/>
      </c>
      <c r="G749" s="4">
        <f>SUMIFS('01_異動主檔'!$F:$F,'01_異動主檔'!$B:$B,114,'01_異動主檔'!$D:$D,B749,'01_異動主檔'!$E:$E,"新增")</f>
        <v/>
      </c>
      <c r="H749" s="4">
        <f>-SUMIFS('01_異動主檔'!$F:$F,'01_異動主檔'!$B:$B,114,'01_異動主檔'!$D:$D,B749,'01_異動主檔'!$E:$E,"減列")</f>
        <v/>
      </c>
      <c r="I749" s="4">
        <f>-SUMIFS('01_異動主檔'!$F:$F,'01_異動主檔'!$B:$B,114,'01_異動主檔'!$D:$D,B749,'01_異動主檔'!$E:$E,"精簡")</f>
        <v/>
      </c>
      <c r="J749" s="10">
        <f>D749+E749+F749+G749+H749+I749</f>
        <v/>
      </c>
    </row>
    <row r="750" ht="18" customHeight="1">
      <c r="A750" s="6" t="inlineStr">
        <is>
          <t>D004</t>
        </is>
      </c>
      <c r="B750" s="5" t="inlineStr">
        <is>
          <t>文書科</t>
        </is>
      </c>
      <c r="C750" s="6" t="n">
        <v>115</v>
      </c>
      <c r="D750" s="10">
        <f>J749</f>
        <v/>
      </c>
      <c r="E750" s="4">
        <f>SUMIFS('01_異動主檔'!$F:$F,'01_異動主檔'!$B:$B,115,'01_異動主檔'!$D:$D,B750,'01_異動主檔'!$E:$E,"移入")</f>
        <v/>
      </c>
      <c r="F750" s="4">
        <f>-SUMIFS('01_異動主檔'!$F:$F,'01_異動主檔'!$B:$B,115,'01_異動主檔'!$D:$D,B750,'01_異動主檔'!$E:$E,"移出")</f>
        <v/>
      </c>
      <c r="G750" s="4">
        <f>SUMIFS('01_異動主檔'!$F:$F,'01_異動主檔'!$B:$B,115,'01_異動主檔'!$D:$D,B750,'01_異動主檔'!$E:$E,"新增")</f>
        <v/>
      </c>
      <c r="H750" s="4">
        <f>-SUMIFS('01_異動主檔'!$F:$F,'01_異動主檔'!$B:$B,115,'01_異動主檔'!$D:$D,B750,'01_異動主檔'!$E:$E,"減列")</f>
        <v/>
      </c>
      <c r="I750" s="4">
        <f>-SUMIFS('01_異動主檔'!$F:$F,'01_異動主檔'!$B:$B,115,'01_異動主檔'!$D:$D,B750,'01_異動主檔'!$E:$E,"精簡")</f>
        <v/>
      </c>
      <c r="J750" s="10">
        <f>D750+E750+F750+G750+H750+I750</f>
        <v/>
      </c>
    </row>
    <row r="751" ht="18" customHeight="1">
      <c r="A751" s="4" t="inlineStr">
        <is>
          <t>D004</t>
        </is>
      </c>
      <c r="B751" s="3" t="inlineStr">
        <is>
          <t>文書科</t>
        </is>
      </c>
      <c r="C751" s="4" t="n">
        <v>116</v>
      </c>
      <c r="D751" s="10">
        <f>J750</f>
        <v/>
      </c>
      <c r="E751" s="4">
        <f>SUMIFS('01_異動主檔'!$F:$F,'01_異動主檔'!$B:$B,116,'01_異動主檔'!$D:$D,B751,'01_異動主檔'!$E:$E,"移入")</f>
        <v/>
      </c>
      <c r="F751" s="4">
        <f>-SUMIFS('01_異動主檔'!$F:$F,'01_異動主檔'!$B:$B,116,'01_異動主檔'!$D:$D,B751,'01_異動主檔'!$E:$E,"移出")</f>
        <v/>
      </c>
      <c r="G751" s="4">
        <f>SUMIFS('01_異動主檔'!$F:$F,'01_異動主檔'!$B:$B,116,'01_異動主檔'!$D:$D,B751,'01_異動主檔'!$E:$E,"新增")</f>
        <v/>
      </c>
      <c r="H751" s="4">
        <f>-SUMIFS('01_異動主檔'!$F:$F,'01_異動主檔'!$B:$B,116,'01_異動主檔'!$D:$D,B751,'01_異動主檔'!$E:$E,"減列")</f>
        <v/>
      </c>
      <c r="I751" s="4">
        <f>-SUMIFS('01_異動主檔'!$F:$F,'01_異動主檔'!$B:$B,116,'01_異動主檔'!$D:$D,B751,'01_異動主檔'!$E:$E,"精簡")</f>
        <v/>
      </c>
      <c r="J751" s="10">
        <f>D751+E751+F751+G751+H751+I751</f>
        <v/>
      </c>
    </row>
    <row r="752" ht="18" customHeight="1">
      <c r="A752" s="6" t="inlineStr">
        <is>
          <t>D004</t>
        </is>
      </c>
      <c r="B752" s="5" t="inlineStr">
        <is>
          <t>文書科</t>
        </is>
      </c>
      <c r="C752" s="6" t="n">
        <v>117</v>
      </c>
      <c r="D752" s="10">
        <f>J751</f>
        <v/>
      </c>
      <c r="E752" s="4">
        <f>SUMIFS('01_異動主檔'!$F:$F,'01_異動主檔'!$B:$B,117,'01_異動主檔'!$D:$D,B752,'01_異動主檔'!$E:$E,"移入")</f>
        <v/>
      </c>
      <c r="F752" s="4">
        <f>-SUMIFS('01_異動主檔'!$F:$F,'01_異動主檔'!$B:$B,117,'01_異動主檔'!$D:$D,B752,'01_異動主檔'!$E:$E,"移出")</f>
        <v/>
      </c>
      <c r="G752" s="4">
        <f>SUMIFS('01_異動主檔'!$F:$F,'01_異動主檔'!$B:$B,117,'01_異動主檔'!$D:$D,B752,'01_異動主檔'!$E:$E,"新增")</f>
        <v/>
      </c>
      <c r="H752" s="4">
        <f>-SUMIFS('01_異動主檔'!$F:$F,'01_異動主檔'!$B:$B,117,'01_異動主檔'!$D:$D,B752,'01_異動主檔'!$E:$E,"減列")</f>
        <v/>
      </c>
      <c r="I752" s="4">
        <f>-SUMIFS('01_異動主檔'!$F:$F,'01_異動主檔'!$B:$B,117,'01_異動主檔'!$D:$D,B752,'01_異動主檔'!$E:$E,"精簡")</f>
        <v/>
      </c>
      <c r="J752" s="10">
        <f>D752+E752+F752+G752+H752+I752</f>
        <v/>
      </c>
    </row>
    <row r="753" ht="18" customHeight="1">
      <c r="A753" s="4" t="inlineStr">
        <is>
          <t>D004</t>
        </is>
      </c>
      <c r="B753" s="3" t="inlineStr">
        <is>
          <t>文書科</t>
        </is>
      </c>
      <c r="C753" s="4" t="n">
        <v>118</v>
      </c>
      <c r="D753" s="10">
        <f>J752</f>
        <v/>
      </c>
      <c r="E753" s="4">
        <f>SUMIFS('01_異動主檔'!$F:$F,'01_異動主檔'!$B:$B,118,'01_異動主檔'!$D:$D,B753,'01_異動主檔'!$E:$E,"移入")</f>
        <v/>
      </c>
      <c r="F753" s="4">
        <f>-SUMIFS('01_異動主檔'!$F:$F,'01_異動主檔'!$B:$B,118,'01_異動主檔'!$D:$D,B753,'01_異動主檔'!$E:$E,"移出")</f>
        <v/>
      </c>
      <c r="G753" s="4">
        <f>SUMIFS('01_異動主檔'!$F:$F,'01_異動主檔'!$B:$B,118,'01_異動主檔'!$D:$D,B753,'01_異動主檔'!$E:$E,"新增")</f>
        <v/>
      </c>
      <c r="H753" s="4">
        <f>-SUMIFS('01_異動主檔'!$F:$F,'01_異動主檔'!$B:$B,118,'01_異動主檔'!$D:$D,B753,'01_異動主檔'!$E:$E,"減列")</f>
        <v/>
      </c>
      <c r="I753" s="4">
        <f>-SUMIFS('01_異動主檔'!$F:$F,'01_異動主檔'!$B:$B,118,'01_異動主檔'!$D:$D,B753,'01_異動主檔'!$E:$E,"精簡")</f>
        <v/>
      </c>
      <c r="J753" s="10">
        <f>D753+E753+F753+G753+H753+I753</f>
        <v/>
      </c>
    </row>
    <row r="754" ht="18" customHeight="1">
      <c r="A754" s="6" t="inlineStr">
        <is>
          <t>D004</t>
        </is>
      </c>
      <c r="B754" s="5" t="inlineStr">
        <is>
          <t>文書科</t>
        </is>
      </c>
      <c r="C754" s="6" t="n">
        <v>119</v>
      </c>
      <c r="D754" s="10">
        <f>J753</f>
        <v/>
      </c>
      <c r="E754" s="4">
        <f>SUMIFS('01_異動主檔'!$F:$F,'01_異動主檔'!$B:$B,119,'01_異動主檔'!$D:$D,B754,'01_異動主檔'!$E:$E,"移入")</f>
        <v/>
      </c>
      <c r="F754" s="4">
        <f>-SUMIFS('01_異動主檔'!$F:$F,'01_異動主檔'!$B:$B,119,'01_異動主檔'!$D:$D,B754,'01_異動主檔'!$E:$E,"移出")</f>
        <v/>
      </c>
      <c r="G754" s="4">
        <f>SUMIFS('01_異動主檔'!$F:$F,'01_異動主檔'!$B:$B,119,'01_異動主檔'!$D:$D,B754,'01_異動主檔'!$E:$E,"新增")</f>
        <v/>
      </c>
      <c r="H754" s="4">
        <f>-SUMIFS('01_異動主檔'!$F:$F,'01_異動主檔'!$B:$B,119,'01_異動主檔'!$D:$D,B754,'01_異動主檔'!$E:$E,"減列")</f>
        <v/>
      </c>
      <c r="I754" s="4">
        <f>-SUMIFS('01_異動主檔'!$F:$F,'01_異動主檔'!$B:$B,119,'01_異動主檔'!$D:$D,B754,'01_異動主檔'!$E:$E,"精簡")</f>
        <v/>
      </c>
      <c r="J754" s="10">
        <f>D754+E754+F754+G754+H754+I754</f>
        <v/>
      </c>
    </row>
    <row r="755" ht="18" customHeight="1">
      <c r="A755" s="4" t="inlineStr">
        <is>
          <t>D004</t>
        </is>
      </c>
      <c r="B755" s="3" t="inlineStr">
        <is>
          <t>文書科</t>
        </is>
      </c>
      <c r="C755" s="4" t="n">
        <v>120</v>
      </c>
      <c r="D755" s="10">
        <f>J754</f>
        <v/>
      </c>
      <c r="E755" s="4">
        <f>SUMIFS('01_異動主檔'!$F:$F,'01_異動主檔'!$B:$B,120,'01_異動主檔'!$D:$D,B755,'01_異動主檔'!$E:$E,"移入")</f>
        <v/>
      </c>
      <c r="F755" s="4">
        <f>-SUMIFS('01_異動主檔'!$F:$F,'01_異動主檔'!$B:$B,120,'01_異動主檔'!$D:$D,B755,'01_異動主檔'!$E:$E,"移出")</f>
        <v/>
      </c>
      <c r="G755" s="4">
        <f>SUMIFS('01_異動主檔'!$F:$F,'01_異動主檔'!$B:$B,120,'01_異動主檔'!$D:$D,B755,'01_異動主檔'!$E:$E,"新增")</f>
        <v/>
      </c>
      <c r="H755" s="4">
        <f>-SUMIFS('01_異動主檔'!$F:$F,'01_異動主檔'!$B:$B,120,'01_異動主檔'!$D:$D,B755,'01_異動主檔'!$E:$E,"減列")</f>
        <v/>
      </c>
      <c r="I755" s="4">
        <f>-SUMIFS('01_異動主檔'!$F:$F,'01_異動主檔'!$B:$B,120,'01_異動主檔'!$D:$D,B755,'01_異動主檔'!$E:$E,"精簡")</f>
        <v/>
      </c>
      <c r="J755" s="10">
        <f>D755+E755+F755+G755+H755+I755</f>
        <v/>
      </c>
    </row>
    <row r="756" ht="18" customHeight="1">
      <c r="A756" s="6" t="inlineStr">
        <is>
          <t>D004</t>
        </is>
      </c>
      <c r="B756" s="5" t="inlineStr">
        <is>
          <t>文書科</t>
        </is>
      </c>
      <c r="C756" s="6" t="n">
        <v>121</v>
      </c>
      <c r="D756" s="10">
        <f>J755</f>
        <v/>
      </c>
      <c r="E756" s="4">
        <f>SUMIFS('01_異動主檔'!$F:$F,'01_異動主檔'!$B:$B,121,'01_異動主檔'!$D:$D,B756,'01_異動主檔'!$E:$E,"移入")</f>
        <v/>
      </c>
      <c r="F756" s="4">
        <f>-SUMIFS('01_異動主檔'!$F:$F,'01_異動主檔'!$B:$B,121,'01_異動主檔'!$D:$D,B756,'01_異動主檔'!$E:$E,"移出")</f>
        <v/>
      </c>
      <c r="G756" s="4">
        <f>SUMIFS('01_異動主檔'!$F:$F,'01_異動主檔'!$B:$B,121,'01_異動主檔'!$D:$D,B756,'01_異動主檔'!$E:$E,"新增")</f>
        <v/>
      </c>
      <c r="H756" s="4">
        <f>-SUMIFS('01_異動主檔'!$F:$F,'01_異動主檔'!$B:$B,121,'01_異動主檔'!$D:$D,B756,'01_異動主檔'!$E:$E,"減列")</f>
        <v/>
      </c>
      <c r="I756" s="4">
        <f>-SUMIFS('01_異動主檔'!$F:$F,'01_異動主檔'!$B:$B,121,'01_異動主檔'!$D:$D,B756,'01_異動主檔'!$E:$E,"精簡")</f>
        <v/>
      </c>
      <c r="J756" s="10">
        <f>D756+E756+F756+G756+H756+I756</f>
        <v/>
      </c>
    </row>
    <row r="757" ht="18" customHeight="1">
      <c r="A757" s="4" t="inlineStr">
        <is>
          <t>D004</t>
        </is>
      </c>
      <c r="B757" s="3" t="inlineStr">
        <is>
          <t>文書科</t>
        </is>
      </c>
      <c r="C757" s="4" t="n">
        <v>122</v>
      </c>
      <c r="D757" s="10">
        <f>J756</f>
        <v/>
      </c>
      <c r="E757" s="4">
        <f>SUMIFS('01_異動主檔'!$F:$F,'01_異動主檔'!$B:$B,122,'01_異動主檔'!$D:$D,B757,'01_異動主檔'!$E:$E,"移入")</f>
        <v/>
      </c>
      <c r="F757" s="4">
        <f>-SUMIFS('01_異動主檔'!$F:$F,'01_異動主檔'!$B:$B,122,'01_異動主檔'!$D:$D,B757,'01_異動主檔'!$E:$E,"移出")</f>
        <v/>
      </c>
      <c r="G757" s="4">
        <f>SUMIFS('01_異動主檔'!$F:$F,'01_異動主檔'!$B:$B,122,'01_異動主檔'!$D:$D,B757,'01_異動主檔'!$E:$E,"新增")</f>
        <v/>
      </c>
      <c r="H757" s="4">
        <f>-SUMIFS('01_異動主檔'!$F:$F,'01_異動主檔'!$B:$B,122,'01_異動主檔'!$D:$D,B757,'01_異動主檔'!$E:$E,"減列")</f>
        <v/>
      </c>
      <c r="I757" s="4">
        <f>-SUMIFS('01_異動主檔'!$F:$F,'01_異動主檔'!$B:$B,122,'01_異動主檔'!$D:$D,B757,'01_異動主檔'!$E:$E,"精簡")</f>
        <v/>
      </c>
      <c r="J757" s="10">
        <f>D757+E757+F757+G757+H757+I757</f>
        <v/>
      </c>
    </row>
    <row r="758" ht="18" customHeight="1">
      <c r="A758" s="6" t="inlineStr">
        <is>
          <t>D004</t>
        </is>
      </c>
      <c r="B758" s="5" t="inlineStr">
        <is>
          <t>文書科</t>
        </is>
      </c>
      <c r="C758" s="6" t="n">
        <v>123</v>
      </c>
      <c r="D758" s="10">
        <f>J757</f>
        <v/>
      </c>
      <c r="E758" s="4">
        <f>SUMIFS('01_異動主檔'!$F:$F,'01_異動主檔'!$B:$B,123,'01_異動主檔'!$D:$D,B758,'01_異動主檔'!$E:$E,"移入")</f>
        <v/>
      </c>
      <c r="F758" s="4">
        <f>-SUMIFS('01_異動主檔'!$F:$F,'01_異動主檔'!$B:$B,123,'01_異動主檔'!$D:$D,B758,'01_異動主檔'!$E:$E,"移出")</f>
        <v/>
      </c>
      <c r="G758" s="4">
        <f>SUMIFS('01_異動主檔'!$F:$F,'01_異動主檔'!$B:$B,123,'01_異動主檔'!$D:$D,B758,'01_異動主檔'!$E:$E,"新增")</f>
        <v/>
      </c>
      <c r="H758" s="4">
        <f>-SUMIFS('01_異動主檔'!$F:$F,'01_異動主檔'!$B:$B,123,'01_異動主檔'!$D:$D,B758,'01_異動主檔'!$E:$E,"減列")</f>
        <v/>
      </c>
      <c r="I758" s="4">
        <f>-SUMIFS('01_異動主檔'!$F:$F,'01_異動主檔'!$B:$B,123,'01_異動主檔'!$D:$D,B758,'01_異動主檔'!$E:$E,"精簡")</f>
        <v/>
      </c>
      <c r="J758" s="10">
        <f>D758+E758+F758+G758+H758+I758</f>
        <v/>
      </c>
    </row>
    <row r="759" ht="18" customHeight="1">
      <c r="A759" s="4" t="inlineStr">
        <is>
          <t>D004</t>
        </is>
      </c>
      <c r="B759" s="3" t="inlineStr">
        <is>
          <t>文書科</t>
        </is>
      </c>
      <c r="C759" s="4" t="n">
        <v>124</v>
      </c>
      <c r="D759" s="10">
        <f>J758</f>
        <v/>
      </c>
      <c r="E759" s="4">
        <f>SUMIFS('01_異動主檔'!$F:$F,'01_異動主檔'!$B:$B,124,'01_異動主檔'!$D:$D,B759,'01_異動主檔'!$E:$E,"移入")</f>
        <v/>
      </c>
      <c r="F759" s="4">
        <f>-SUMIFS('01_異動主檔'!$F:$F,'01_異動主檔'!$B:$B,124,'01_異動主檔'!$D:$D,B759,'01_異動主檔'!$E:$E,"移出")</f>
        <v/>
      </c>
      <c r="G759" s="4">
        <f>SUMIFS('01_異動主檔'!$F:$F,'01_異動主檔'!$B:$B,124,'01_異動主檔'!$D:$D,B759,'01_異動主檔'!$E:$E,"新增")</f>
        <v/>
      </c>
      <c r="H759" s="4">
        <f>-SUMIFS('01_異動主檔'!$F:$F,'01_異動主檔'!$B:$B,124,'01_異動主檔'!$D:$D,B759,'01_異動主檔'!$E:$E,"減列")</f>
        <v/>
      </c>
      <c r="I759" s="4">
        <f>-SUMIFS('01_異動主檔'!$F:$F,'01_異動主檔'!$B:$B,124,'01_異動主檔'!$D:$D,B759,'01_異動主檔'!$E:$E,"精簡")</f>
        <v/>
      </c>
      <c r="J759" s="10">
        <f>D759+E759+F759+G759+H759+I759</f>
        <v/>
      </c>
    </row>
    <row r="760" ht="18" customHeight="1">
      <c r="A760" s="6" t="inlineStr">
        <is>
          <t>D004</t>
        </is>
      </c>
      <c r="B760" s="5" t="inlineStr">
        <is>
          <t>文書科</t>
        </is>
      </c>
      <c r="C760" s="6" t="n">
        <v>125</v>
      </c>
      <c r="D760" s="10">
        <f>J759</f>
        <v/>
      </c>
      <c r="E760" s="4">
        <f>SUMIFS('01_異動主檔'!$F:$F,'01_異動主檔'!$B:$B,125,'01_異動主檔'!$D:$D,B760,'01_異動主檔'!$E:$E,"移入")</f>
        <v/>
      </c>
      <c r="F760" s="4">
        <f>-SUMIFS('01_異動主檔'!$F:$F,'01_異動主檔'!$B:$B,125,'01_異動主檔'!$D:$D,B760,'01_異動主檔'!$E:$E,"移出")</f>
        <v/>
      </c>
      <c r="G760" s="4">
        <f>SUMIFS('01_異動主檔'!$F:$F,'01_異動主檔'!$B:$B,125,'01_異動主檔'!$D:$D,B760,'01_異動主檔'!$E:$E,"新增")</f>
        <v/>
      </c>
      <c r="H760" s="4">
        <f>-SUMIFS('01_異動主檔'!$F:$F,'01_異動主檔'!$B:$B,125,'01_異動主檔'!$D:$D,B760,'01_異動主檔'!$E:$E,"減列")</f>
        <v/>
      </c>
      <c r="I760" s="4">
        <f>-SUMIFS('01_異動主檔'!$F:$F,'01_異動主檔'!$B:$B,125,'01_異動主檔'!$D:$D,B760,'01_異動主檔'!$E:$E,"精簡")</f>
        <v/>
      </c>
      <c r="J760" s="10">
        <f>D760+E760+F760+G760+H760+I760</f>
        <v/>
      </c>
    </row>
    <row r="761" ht="18" customHeight="1">
      <c r="A761" s="4" t="inlineStr">
        <is>
          <t>D005</t>
        </is>
      </c>
      <c r="B761" s="3" t="inlineStr">
        <is>
          <t>出納科</t>
        </is>
      </c>
      <c r="C761" s="4" t="n">
        <v>99</v>
      </c>
      <c r="D761" s="10">
        <f>'02_年初員額設定'!C33</f>
        <v/>
      </c>
      <c r="E761" s="4">
        <f>SUMIFS('01_異動主檔'!$F:$F,'01_異動主檔'!$B:$B,99,'01_異動主檔'!$D:$D,B761,'01_異動主檔'!$E:$E,"移入")</f>
        <v/>
      </c>
      <c r="F761" s="4">
        <f>-SUMIFS('01_異動主檔'!$F:$F,'01_異動主檔'!$B:$B,99,'01_異動主檔'!$D:$D,B761,'01_異動主檔'!$E:$E,"移出")</f>
        <v/>
      </c>
      <c r="G761" s="4">
        <f>SUMIFS('01_異動主檔'!$F:$F,'01_異動主檔'!$B:$B,99,'01_異動主檔'!$D:$D,B761,'01_異動主檔'!$E:$E,"新增")</f>
        <v/>
      </c>
      <c r="H761" s="4">
        <f>-SUMIFS('01_異動主檔'!$F:$F,'01_異動主檔'!$B:$B,99,'01_異動主檔'!$D:$D,B761,'01_異動主檔'!$E:$E,"減列")</f>
        <v/>
      </c>
      <c r="I761" s="4">
        <f>-SUMIFS('01_異動主檔'!$F:$F,'01_異動主檔'!$B:$B,99,'01_異動主檔'!$D:$D,B761,'01_異動主檔'!$E:$E,"精簡")</f>
        <v/>
      </c>
      <c r="J761" s="10">
        <f>D761+E761+F761+G761+H761+I761</f>
        <v/>
      </c>
    </row>
    <row r="762" ht="18" customHeight="1">
      <c r="A762" s="6" t="inlineStr">
        <is>
          <t>D005</t>
        </is>
      </c>
      <c r="B762" s="5" t="inlineStr">
        <is>
          <t>出納科</t>
        </is>
      </c>
      <c r="C762" s="6" t="n">
        <v>100</v>
      </c>
      <c r="D762" s="10">
        <f>J761</f>
        <v/>
      </c>
      <c r="E762" s="4">
        <f>SUMIFS('01_異動主檔'!$F:$F,'01_異動主檔'!$B:$B,100,'01_異動主檔'!$D:$D,B762,'01_異動主檔'!$E:$E,"移入")</f>
        <v/>
      </c>
      <c r="F762" s="4">
        <f>-SUMIFS('01_異動主檔'!$F:$F,'01_異動主檔'!$B:$B,100,'01_異動主檔'!$D:$D,B762,'01_異動主檔'!$E:$E,"移出")</f>
        <v/>
      </c>
      <c r="G762" s="4">
        <f>SUMIFS('01_異動主檔'!$F:$F,'01_異動主檔'!$B:$B,100,'01_異動主檔'!$D:$D,B762,'01_異動主檔'!$E:$E,"新增")</f>
        <v/>
      </c>
      <c r="H762" s="4">
        <f>-SUMIFS('01_異動主檔'!$F:$F,'01_異動主檔'!$B:$B,100,'01_異動主檔'!$D:$D,B762,'01_異動主檔'!$E:$E,"減列")</f>
        <v/>
      </c>
      <c r="I762" s="4">
        <f>-SUMIFS('01_異動主檔'!$F:$F,'01_異動主檔'!$B:$B,100,'01_異動主檔'!$D:$D,B762,'01_異動主檔'!$E:$E,"精簡")</f>
        <v/>
      </c>
      <c r="J762" s="10">
        <f>D762+E762+F762+G762+H762+I762</f>
        <v/>
      </c>
    </row>
    <row r="763" ht="18" customHeight="1">
      <c r="A763" s="4" t="inlineStr">
        <is>
          <t>D005</t>
        </is>
      </c>
      <c r="B763" s="3" t="inlineStr">
        <is>
          <t>出納科</t>
        </is>
      </c>
      <c r="C763" s="4" t="n">
        <v>101</v>
      </c>
      <c r="D763" s="10">
        <f>J762</f>
        <v/>
      </c>
      <c r="E763" s="4">
        <f>SUMIFS('01_異動主檔'!$F:$F,'01_異動主檔'!$B:$B,101,'01_異動主檔'!$D:$D,B763,'01_異動主檔'!$E:$E,"移入")</f>
        <v/>
      </c>
      <c r="F763" s="4">
        <f>-SUMIFS('01_異動主檔'!$F:$F,'01_異動主檔'!$B:$B,101,'01_異動主檔'!$D:$D,B763,'01_異動主檔'!$E:$E,"移出")</f>
        <v/>
      </c>
      <c r="G763" s="4">
        <f>SUMIFS('01_異動主檔'!$F:$F,'01_異動主檔'!$B:$B,101,'01_異動主檔'!$D:$D,B763,'01_異動主檔'!$E:$E,"新增")</f>
        <v/>
      </c>
      <c r="H763" s="4">
        <f>-SUMIFS('01_異動主檔'!$F:$F,'01_異動主檔'!$B:$B,101,'01_異動主檔'!$D:$D,B763,'01_異動主檔'!$E:$E,"減列")</f>
        <v/>
      </c>
      <c r="I763" s="4">
        <f>-SUMIFS('01_異動主檔'!$F:$F,'01_異動主檔'!$B:$B,101,'01_異動主檔'!$D:$D,B763,'01_異動主檔'!$E:$E,"精簡")</f>
        <v/>
      </c>
      <c r="J763" s="10">
        <f>D763+E763+F763+G763+H763+I763</f>
        <v/>
      </c>
    </row>
    <row r="764" ht="18" customHeight="1">
      <c r="A764" s="6" t="inlineStr">
        <is>
          <t>D005</t>
        </is>
      </c>
      <c r="B764" s="5" t="inlineStr">
        <is>
          <t>出納科</t>
        </is>
      </c>
      <c r="C764" s="6" t="n">
        <v>102</v>
      </c>
      <c r="D764" s="10">
        <f>J763</f>
        <v/>
      </c>
      <c r="E764" s="4">
        <f>SUMIFS('01_異動主檔'!$F:$F,'01_異動主檔'!$B:$B,102,'01_異動主檔'!$D:$D,B764,'01_異動主檔'!$E:$E,"移入")</f>
        <v/>
      </c>
      <c r="F764" s="4">
        <f>-SUMIFS('01_異動主檔'!$F:$F,'01_異動主檔'!$B:$B,102,'01_異動主檔'!$D:$D,B764,'01_異動主檔'!$E:$E,"移出")</f>
        <v/>
      </c>
      <c r="G764" s="4">
        <f>SUMIFS('01_異動主檔'!$F:$F,'01_異動主檔'!$B:$B,102,'01_異動主檔'!$D:$D,B764,'01_異動主檔'!$E:$E,"新增")</f>
        <v/>
      </c>
      <c r="H764" s="4">
        <f>-SUMIFS('01_異動主檔'!$F:$F,'01_異動主檔'!$B:$B,102,'01_異動主檔'!$D:$D,B764,'01_異動主檔'!$E:$E,"減列")</f>
        <v/>
      </c>
      <c r="I764" s="4">
        <f>-SUMIFS('01_異動主檔'!$F:$F,'01_異動主檔'!$B:$B,102,'01_異動主檔'!$D:$D,B764,'01_異動主檔'!$E:$E,"精簡")</f>
        <v/>
      </c>
      <c r="J764" s="10">
        <f>D764+E764+F764+G764+H764+I764</f>
        <v/>
      </c>
    </row>
    <row r="765" ht="18" customHeight="1">
      <c r="A765" s="4" t="inlineStr">
        <is>
          <t>D005</t>
        </is>
      </c>
      <c r="B765" s="3" t="inlineStr">
        <is>
          <t>出納科</t>
        </is>
      </c>
      <c r="C765" s="4" t="n">
        <v>103</v>
      </c>
      <c r="D765" s="10">
        <f>J764</f>
        <v/>
      </c>
      <c r="E765" s="4">
        <f>SUMIFS('01_異動主檔'!$F:$F,'01_異動主檔'!$B:$B,103,'01_異動主檔'!$D:$D,B765,'01_異動主檔'!$E:$E,"移入")</f>
        <v/>
      </c>
      <c r="F765" s="4">
        <f>-SUMIFS('01_異動主檔'!$F:$F,'01_異動主檔'!$B:$B,103,'01_異動主檔'!$D:$D,B765,'01_異動主檔'!$E:$E,"移出")</f>
        <v/>
      </c>
      <c r="G765" s="4">
        <f>SUMIFS('01_異動主檔'!$F:$F,'01_異動主檔'!$B:$B,103,'01_異動主檔'!$D:$D,B765,'01_異動主檔'!$E:$E,"新增")</f>
        <v/>
      </c>
      <c r="H765" s="4">
        <f>-SUMIFS('01_異動主檔'!$F:$F,'01_異動主檔'!$B:$B,103,'01_異動主檔'!$D:$D,B765,'01_異動主檔'!$E:$E,"減列")</f>
        <v/>
      </c>
      <c r="I765" s="4">
        <f>-SUMIFS('01_異動主檔'!$F:$F,'01_異動主檔'!$B:$B,103,'01_異動主檔'!$D:$D,B765,'01_異動主檔'!$E:$E,"精簡")</f>
        <v/>
      </c>
      <c r="J765" s="10">
        <f>D765+E765+F765+G765+H765+I765</f>
        <v/>
      </c>
    </row>
    <row r="766" ht="18" customHeight="1">
      <c r="A766" s="6" t="inlineStr">
        <is>
          <t>D005</t>
        </is>
      </c>
      <c r="B766" s="5" t="inlineStr">
        <is>
          <t>出納科</t>
        </is>
      </c>
      <c r="C766" s="6" t="n">
        <v>104</v>
      </c>
      <c r="D766" s="10">
        <f>J765</f>
        <v/>
      </c>
      <c r="E766" s="4">
        <f>SUMIFS('01_異動主檔'!$F:$F,'01_異動主檔'!$B:$B,104,'01_異動主檔'!$D:$D,B766,'01_異動主檔'!$E:$E,"移入")</f>
        <v/>
      </c>
      <c r="F766" s="4">
        <f>-SUMIFS('01_異動主檔'!$F:$F,'01_異動主檔'!$B:$B,104,'01_異動主檔'!$D:$D,B766,'01_異動主檔'!$E:$E,"移出")</f>
        <v/>
      </c>
      <c r="G766" s="4">
        <f>SUMIFS('01_異動主檔'!$F:$F,'01_異動主檔'!$B:$B,104,'01_異動主檔'!$D:$D,B766,'01_異動主檔'!$E:$E,"新增")</f>
        <v/>
      </c>
      <c r="H766" s="4">
        <f>-SUMIFS('01_異動主檔'!$F:$F,'01_異動主檔'!$B:$B,104,'01_異動主檔'!$D:$D,B766,'01_異動主檔'!$E:$E,"減列")</f>
        <v/>
      </c>
      <c r="I766" s="4">
        <f>-SUMIFS('01_異動主檔'!$F:$F,'01_異動主檔'!$B:$B,104,'01_異動主檔'!$D:$D,B766,'01_異動主檔'!$E:$E,"精簡")</f>
        <v/>
      </c>
      <c r="J766" s="10">
        <f>D766+E766+F766+G766+H766+I766</f>
        <v/>
      </c>
    </row>
    <row r="767" ht="18" customHeight="1">
      <c r="A767" s="4" t="inlineStr">
        <is>
          <t>D005</t>
        </is>
      </c>
      <c r="B767" s="3" t="inlineStr">
        <is>
          <t>出納科</t>
        </is>
      </c>
      <c r="C767" s="4" t="n">
        <v>105</v>
      </c>
      <c r="D767" s="10">
        <f>J766</f>
        <v/>
      </c>
      <c r="E767" s="4">
        <f>SUMIFS('01_異動主檔'!$F:$F,'01_異動主檔'!$B:$B,105,'01_異動主檔'!$D:$D,B767,'01_異動主檔'!$E:$E,"移入")</f>
        <v/>
      </c>
      <c r="F767" s="4">
        <f>-SUMIFS('01_異動主檔'!$F:$F,'01_異動主檔'!$B:$B,105,'01_異動主檔'!$D:$D,B767,'01_異動主檔'!$E:$E,"移出")</f>
        <v/>
      </c>
      <c r="G767" s="4">
        <f>SUMIFS('01_異動主檔'!$F:$F,'01_異動主檔'!$B:$B,105,'01_異動主檔'!$D:$D,B767,'01_異動主檔'!$E:$E,"新增")</f>
        <v/>
      </c>
      <c r="H767" s="4">
        <f>-SUMIFS('01_異動主檔'!$F:$F,'01_異動主檔'!$B:$B,105,'01_異動主檔'!$D:$D,B767,'01_異動主檔'!$E:$E,"減列")</f>
        <v/>
      </c>
      <c r="I767" s="4">
        <f>-SUMIFS('01_異動主檔'!$F:$F,'01_異動主檔'!$B:$B,105,'01_異動主檔'!$D:$D,B767,'01_異動主檔'!$E:$E,"精簡")</f>
        <v/>
      </c>
      <c r="J767" s="10">
        <f>D767+E767+F767+G767+H767+I767</f>
        <v/>
      </c>
    </row>
    <row r="768" ht="18" customHeight="1">
      <c r="A768" s="6" t="inlineStr">
        <is>
          <t>D005</t>
        </is>
      </c>
      <c r="B768" s="5" t="inlineStr">
        <is>
          <t>出納科</t>
        </is>
      </c>
      <c r="C768" s="6" t="n">
        <v>106</v>
      </c>
      <c r="D768" s="10">
        <f>J767</f>
        <v/>
      </c>
      <c r="E768" s="4">
        <f>SUMIFS('01_異動主檔'!$F:$F,'01_異動主檔'!$B:$B,106,'01_異動主檔'!$D:$D,B768,'01_異動主檔'!$E:$E,"移入")</f>
        <v/>
      </c>
      <c r="F768" s="4">
        <f>-SUMIFS('01_異動主檔'!$F:$F,'01_異動主檔'!$B:$B,106,'01_異動主檔'!$D:$D,B768,'01_異動主檔'!$E:$E,"移出")</f>
        <v/>
      </c>
      <c r="G768" s="4">
        <f>SUMIFS('01_異動主檔'!$F:$F,'01_異動主檔'!$B:$B,106,'01_異動主檔'!$D:$D,B768,'01_異動主檔'!$E:$E,"新增")</f>
        <v/>
      </c>
      <c r="H768" s="4">
        <f>-SUMIFS('01_異動主檔'!$F:$F,'01_異動主檔'!$B:$B,106,'01_異動主檔'!$D:$D,B768,'01_異動主檔'!$E:$E,"減列")</f>
        <v/>
      </c>
      <c r="I768" s="4">
        <f>-SUMIFS('01_異動主檔'!$F:$F,'01_異動主檔'!$B:$B,106,'01_異動主檔'!$D:$D,B768,'01_異動主檔'!$E:$E,"精簡")</f>
        <v/>
      </c>
      <c r="J768" s="10">
        <f>D768+E768+F768+G768+H768+I768</f>
        <v/>
      </c>
    </row>
    <row r="769" ht="18" customHeight="1">
      <c r="A769" s="4" t="inlineStr">
        <is>
          <t>D005</t>
        </is>
      </c>
      <c r="B769" s="3" t="inlineStr">
        <is>
          <t>出納科</t>
        </is>
      </c>
      <c r="C769" s="4" t="n">
        <v>107</v>
      </c>
      <c r="D769" s="10">
        <f>J768</f>
        <v/>
      </c>
      <c r="E769" s="4">
        <f>SUMIFS('01_異動主檔'!$F:$F,'01_異動主檔'!$B:$B,107,'01_異動主檔'!$D:$D,B769,'01_異動主檔'!$E:$E,"移入")</f>
        <v/>
      </c>
      <c r="F769" s="4">
        <f>-SUMIFS('01_異動主檔'!$F:$F,'01_異動主檔'!$B:$B,107,'01_異動主檔'!$D:$D,B769,'01_異動主檔'!$E:$E,"移出")</f>
        <v/>
      </c>
      <c r="G769" s="4">
        <f>SUMIFS('01_異動主檔'!$F:$F,'01_異動主檔'!$B:$B,107,'01_異動主檔'!$D:$D,B769,'01_異動主檔'!$E:$E,"新增")</f>
        <v/>
      </c>
      <c r="H769" s="4">
        <f>-SUMIFS('01_異動主檔'!$F:$F,'01_異動主檔'!$B:$B,107,'01_異動主檔'!$D:$D,B769,'01_異動主檔'!$E:$E,"減列")</f>
        <v/>
      </c>
      <c r="I769" s="4">
        <f>-SUMIFS('01_異動主檔'!$F:$F,'01_異動主檔'!$B:$B,107,'01_異動主檔'!$D:$D,B769,'01_異動主檔'!$E:$E,"精簡")</f>
        <v/>
      </c>
      <c r="J769" s="10">
        <f>D769+E769+F769+G769+H769+I769</f>
        <v/>
      </c>
    </row>
    <row r="770" ht="18" customHeight="1">
      <c r="A770" s="6" t="inlineStr">
        <is>
          <t>D005</t>
        </is>
      </c>
      <c r="B770" s="5" t="inlineStr">
        <is>
          <t>出納科</t>
        </is>
      </c>
      <c r="C770" s="6" t="n">
        <v>108</v>
      </c>
      <c r="D770" s="10">
        <f>J769</f>
        <v/>
      </c>
      <c r="E770" s="4">
        <f>SUMIFS('01_異動主檔'!$F:$F,'01_異動主檔'!$B:$B,108,'01_異動主檔'!$D:$D,B770,'01_異動主檔'!$E:$E,"移入")</f>
        <v/>
      </c>
      <c r="F770" s="4">
        <f>-SUMIFS('01_異動主檔'!$F:$F,'01_異動主檔'!$B:$B,108,'01_異動主檔'!$D:$D,B770,'01_異動主檔'!$E:$E,"移出")</f>
        <v/>
      </c>
      <c r="G770" s="4">
        <f>SUMIFS('01_異動主檔'!$F:$F,'01_異動主檔'!$B:$B,108,'01_異動主檔'!$D:$D,B770,'01_異動主檔'!$E:$E,"新增")</f>
        <v/>
      </c>
      <c r="H770" s="4">
        <f>-SUMIFS('01_異動主檔'!$F:$F,'01_異動主檔'!$B:$B,108,'01_異動主檔'!$D:$D,B770,'01_異動主檔'!$E:$E,"減列")</f>
        <v/>
      </c>
      <c r="I770" s="4">
        <f>-SUMIFS('01_異動主檔'!$F:$F,'01_異動主檔'!$B:$B,108,'01_異動主檔'!$D:$D,B770,'01_異動主檔'!$E:$E,"精簡")</f>
        <v/>
      </c>
      <c r="J770" s="10">
        <f>D770+E770+F770+G770+H770+I770</f>
        <v/>
      </c>
    </row>
    <row r="771" ht="18" customHeight="1">
      <c r="A771" s="4" t="inlineStr">
        <is>
          <t>D005</t>
        </is>
      </c>
      <c r="B771" s="3" t="inlineStr">
        <is>
          <t>出納科</t>
        </is>
      </c>
      <c r="C771" s="4" t="n">
        <v>109</v>
      </c>
      <c r="D771" s="10">
        <f>J770</f>
        <v/>
      </c>
      <c r="E771" s="4">
        <f>SUMIFS('01_異動主檔'!$F:$F,'01_異動主檔'!$B:$B,109,'01_異動主檔'!$D:$D,B771,'01_異動主檔'!$E:$E,"移入")</f>
        <v/>
      </c>
      <c r="F771" s="4">
        <f>-SUMIFS('01_異動主檔'!$F:$F,'01_異動主檔'!$B:$B,109,'01_異動主檔'!$D:$D,B771,'01_異動主檔'!$E:$E,"移出")</f>
        <v/>
      </c>
      <c r="G771" s="4">
        <f>SUMIFS('01_異動主檔'!$F:$F,'01_異動主檔'!$B:$B,109,'01_異動主檔'!$D:$D,B771,'01_異動主檔'!$E:$E,"新增")</f>
        <v/>
      </c>
      <c r="H771" s="4">
        <f>-SUMIFS('01_異動主檔'!$F:$F,'01_異動主檔'!$B:$B,109,'01_異動主檔'!$D:$D,B771,'01_異動主檔'!$E:$E,"減列")</f>
        <v/>
      </c>
      <c r="I771" s="4">
        <f>-SUMIFS('01_異動主檔'!$F:$F,'01_異動主檔'!$B:$B,109,'01_異動主檔'!$D:$D,B771,'01_異動主檔'!$E:$E,"精簡")</f>
        <v/>
      </c>
      <c r="J771" s="10">
        <f>D771+E771+F771+G771+H771+I771</f>
        <v/>
      </c>
    </row>
    <row r="772" ht="18" customHeight="1">
      <c r="A772" s="6" t="inlineStr">
        <is>
          <t>D005</t>
        </is>
      </c>
      <c r="B772" s="5" t="inlineStr">
        <is>
          <t>出納科</t>
        </is>
      </c>
      <c r="C772" s="6" t="n">
        <v>110</v>
      </c>
      <c r="D772" s="10">
        <f>J771</f>
        <v/>
      </c>
      <c r="E772" s="4">
        <f>SUMIFS('01_異動主檔'!$F:$F,'01_異動主檔'!$B:$B,110,'01_異動主檔'!$D:$D,B772,'01_異動主檔'!$E:$E,"移入")</f>
        <v/>
      </c>
      <c r="F772" s="4">
        <f>-SUMIFS('01_異動主檔'!$F:$F,'01_異動主檔'!$B:$B,110,'01_異動主檔'!$D:$D,B772,'01_異動主檔'!$E:$E,"移出")</f>
        <v/>
      </c>
      <c r="G772" s="4">
        <f>SUMIFS('01_異動主檔'!$F:$F,'01_異動主檔'!$B:$B,110,'01_異動主檔'!$D:$D,B772,'01_異動主檔'!$E:$E,"新增")</f>
        <v/>
      </c>
      <c r="H772" s="4">
        <f>-SUMIFS('01_異動主檔'!$F:$F,'01_異動主檔'!$B:$B,110,'01_異動主檔'!$D:$D,B772,'01_異動主檔'!$E:$E,"減列")</f>
        <v/>
      </c>
      <c r="I772" s="4">
        <f>-SUMIFS('01_異動主檔'!$F:$F,'01_異動主檔'!$B:$B,110,'01_異動主檔'!$D:$D,B772,'01_異動主檔'!$E:$E,"精簡")</f>
        <v/>
      </c>
      <c r="J772" s="10">
        <f>D772+E772+F772+G772+H772+I772</f>
        <v/>
      </c>
    </row>
    <row r="773" ht="18" customHeight="1">
      <c r="A773" s="4" t="inlineStr">
        <is>
          <t>D005</t>
        </is>
      </c>
      <c r="B773" s="3" t="inlineStr">
        <is>
          <t>出納科</t>
        </is>
      </c>
      <c r="C773" s="4" t="n">
        <v>111</v>
      </c>
      <c r="D773" s="10">
        <f>J772</f>
        <v/>
      </c>
      <c r="E773" s="4">
        <f>SUMIFS('01_異動主檔'!$F:$F,'01_異動主檔'!$B:$B,111,'01_異動主檔'!$D:$D,B773,'01_異動主檔'!$E:$E,"移入")</f>
        <v/>
      </c>
      <c r="F773" s="4">
        <f>-SUMIFS('01_異動主檔'!$F:$F,'01_異動主檔'!$B:$B,111,'01_異動主檔'!$D:$D,B773,'01_異動主檔'!$E:$E,"移出")</f>
        <v/>
      </c>
      <c r="G773" s="4">
        <f>SUMIFS('01_異動主檔'!$F:$F,'01_異動主檔'!$B:$B,111,'01_異動主檔'!$D:$D,B773,'01_異動主檔'!$E:$E,"新增")</f>
        <v/>
      </c>
      <c r="H773" s="4">
        <f>-SUMIFS('01_異動主檔'!$F:$F,'01_異動主檔'!$B:$B,111,'01_異動主檔'!$D:$D,B773,'01_異動主檔'!$E:$E,"減列")</f>
        <v/>
      </c>
      <c r="I773" s="4">
        <f>-SUMIFS('01_異動主檔'!$F:$F,'01_異動主檔'!$B:$B,111,'01_異動主檔'!$D:$D,B773,'01_異動主檔'!$E:$E,"精簡")</f>
        <v/>
      </c>
      <c r="J773" s="10">
        <f>D773+E773+F773+G773+H773+I773</f>
        <v/>
      </c>
    </row>
    <row r="774" ht="18" customHeight="1">
      <c r="A774" s="6" t="inlineStr">
        <is>
          <t>D005</t>
        </is>
      </c>
      <c r="B774" s="5" t="inlineStr">
        <is>
          <t>出納科</t>
        </is>
      </c>
      <c r="C774" s="6" t="n">
        <v>112</v>
      </c>
      <c r="D774" s="10">
        <f>J773</f>
        <v/>
      </c>
      <c r="E774" s="4">
        <f>SUMIFS('01_異動主檔'!$F:$F,'01_異動主檔'!$B:$B,112,'01_異動主檔'!$D:$D,B774,'01_異動主檔'!$E:$E,"移入")</f>
        <v/>
      </c>
      <c r="F774" s="4">
        <f>-SUMIFS('01_異動主檔'!$F:$F,'01_異動主檔'!$B:$B,112,'01_異動主檔'!$D:$D,B774,'01_異動主檔'!$E:$E,"移出")</f>
        <v/>
      </c>
      <c r="G774" s="4">
        <f>SUMIFS('01_異動主檔'!$F:$F,'01_異動主檔'!$B:$B,112,'01_異動主檔'!$D:$D,B774,'01_異動主檔'!$E:$E,"新增")</f>
        <v/>
      </c>
      <c r="H774" s="4">
        <f>-SUMIFS('01_異動主檔'!$F:$F,'01_異動主檔'!$B:$B,112,'01_異動主檔'!$D:$D,B774,'01_異動主檔'!$E:$E,"減列")</f>
        <v/>
      </c>
      <c r="I774" s="4">
        <f>-SUMIFS('01_異動主檔'!$F:$F,'01_異動主檔'!$B:$B,112,'01_異動主檔'!$D:$D,B774,'01_異動主檔'!$E:$E,"精簡")</f>
        <v/>
      </c>
      <c r="J774" s="10">
        <f>D774+E774+F774+G774+H774+I774</f>
        <v/>
      </c>
    </row>
    <row r="775" ht="18" customHeight="1">
      <c r="A775" s="4" t="inlineStr">
        <is>
          <t>D005</t>
        </is>
      </c>
      <c r="B775" s="3" t="inlineStr">
        <is>
          <t>出納科</t>
        </is>
      </c>
      <c r="C775" s="4" t="n">
        <v>113</v>
      </c>
      <c r="D775" s="10">
        <f>J774</f>
        <v/>
      </c>
      <c r="E775" s="4">
        <f>SUMIFS('01_異動主檔'!$F:$F,'01_異動主檔'!$B:$B,113,'01_異動主檔'!$D:$D,B775,'01_異動主檔'!$E:$E,"移入")</f>
        <v/>
      </c>
      <c r="F775" s="4">
        <f>-SUMIFS('01_異動主檔'!$F:$F,'01_異動主檔'!$B:$B,113,'01_異動主檔'!$D:$D,B775,'01_異動主檔'!$E:$E,"移出")</f>
        <v/>
      </c>
      <c r="G775" s="4">
        <f>SUMIFS('01_異動主檔'!$F:$F,'01_異動主檔'!$B:$B,113,'01_異動主檔'!$D:$D,B775,'01_異動主檔'!$E:$E,"新增")</f>
        <v/>
      </c>
      <c r="H775" s="4">
        <f>-SUMIFS('01_異動主檔'!$F:$F,'01_異動主檔'!$B:$B,113,'01_異動主檔'!$D:$D,B775,'01_異動主檔'!$E:$E,"減列")</f>
        <v/>
      </c>
      <c r="I775" s="4">
        <f>-SUMIFS('01_異動主檔'!$F:$F,'01_異動主檔'!$B:$B,113,'01_異動主檔'!$D:$D,B775,'01_異動主檔'!$E:$E,"精簡")</f>
        <v/>
      </c>
      <c r="J775" s="10">
        <f>D775+E775+F775+G775+H775+I775</f>
        <v/>
      </c>
    </row>
    <row r="776" ht="18" customHeight="1">
      <c r="A776" s="6" t="inlineStr">
        <is>
          <t>D005</t>
        </is>
      </c>
      <c r="B776" s="5" t="inlineStr">
        <is>
          <t>出納科</t>
        </is>
      </c>
      <c r="C776" s="6" t="n">
        <v>114</v>
      </c>
      <c r="D776" s="10">
        <f>J775</f>
        <v/>
      </c>
      <c r="E776" s="4">
        <f>SUMIFS('01_異動主檔'!$F:$F,'01_異動主檔'!$B:$B,114,'01_異動主檔'!$D:$D,B776,'01_異動主檔'!$E:$E,"移入")</f>
        <v/>
      </c>
      <c r="F776" s="4">
        <f>-SUMIFS('01_異動主檔'!$F:$F,'01_異動主檔'!$B:$B,114,'01_異動主檔'!$D:$D,B776,'01_異動主檔'!$E:$E,"移出")</f>
        <v/>
      </c>
      <c r="G776" s="4">
        <f>SUMIFS('01_異動主檔'!$F:$F,'01_異動主檔'!$B:$B,114,'01_異動主檔'!$D:$D,B776,'01_異動主檔'!$E:$E,"新增")</f>
        <v/>
      </c>
      <c r="H776" s="4">
        <f>-SUMIFS('01_異動主檔'!$F:$F,'01_異動主檔'!$B:$B,114,'01_異動主檔'!$D:$D,B776,'01_異動主檔'!$E:$E,"減列")</f>
        <v/>
      </c>
      <c r="I776" s="4">
        <f>-SUMIFS('01_異動主檔'!$F:$F,'01_異動主檔'!$B:$B,114,'01_異動主檔'!$D:$D,B776,'01_異動主檔'!$E:$E,"精簡")</f>
        <v/>
      </c>
      <c r="J776" s="10">
        <f>D776+E776+F776+G776+H776+I776</f>
        <v/>
      </c>
    </row>
    <row r="777" ht="18" customHeight="1">
      <c r="A777" s="4" t="inlineStr">
        <is>
          <t>D005</t>
        </is>
      </c>
      <c r="B777" s="3" t="inlineStr">
        <is>
          <t>出納科</t>
        </is>
      </c>
      <c r="C777" s="4" t="n">
        <v>115</v>
      </c>
      <c r="D777" s="10">
        <f>J776</f>
        <v/>
      </c>
      <c r="E777" s="4">
        <f>SUMIFS('01_異動主檔'!$F:$F,'01_異動主檔'!$B:$B,115,'01_異動主檔'!$D:$D,B777,'01_異動主檔'!$E:$E,"移入")</f>
        <v/>
      </c>
      <c r="F777" s="4">
        <f>-SUMIFS('01_異動主檔'!$F:$F,'01_異動主檔'!$B:$B,115,'01_異動主檔'!$D:$D,B777,'01_異動主檔'!$E:$E,"移出")</f>
        <v/>
      </c>
      <c r="G777" s="4">
        <f>SUMIFS('01_異動主檔'!$F:$F,'01_異動主檔'!$B:$B,115,'01_異動主檔'!$D:$D,B777,'01_異動主檔'!$E:$E,"新增")</f>
        <v/>
      </c>
      <c r="H777" s="4">
        <f>-SUMIFS('01_異動主檔'!$F:$F,'01_異動主檔'!$B:$B,115,'01_異動主檔'!$D:$D,B777,'01_異動主檔'!$E:$E,"減列")</f>
        <v/>
      </c>
      <c r="I777" s="4">
        <f>-SUMIFS('01_異動主檔'!$F:$F,'01_異動主檔'!$B:$B,115,'01_異動主檔'!$D:$D,B777,'01_異動主檔'!$E:$E,"精簡")</f>
        <v/>
      </c>
      <c r="J777" s="10">
        <f>D777+E777+F777+G777+H777+I777</f>
        <v/>
      </c>
    </row>
    <row r="778" ht="18" customHeight="1">
      <c r="A778" s="6" t="inlineStr">
        <is>
          <t>D005</t>
        </is>
      </c>
      <c r="B778" s="5" t="inlineStr">
        <is>
          <t>出納科</t>
        </is>
      </c>
      <c r="C778" s="6" t="n">
        <v>116</v>
      </c>
      <c r="D778" s="10">
        <f>J777</f>
        <v/>
      </c>
      <c r="E778" s="4">
        <f>SUMIFS('01_異動主檔'!$F:$F,'01_異動主檔'!$B:$B,116,'01_異動主檔'!$D:$D,B778,'01_異動主檔'!$E:$E,"移入")</f>
        <v/>
      </c>
      <c r="F778" s="4">
        <f>-SUMIFS('01_異動主檔'!$F:$F,'01_異動主檔'!$B:$B,116,'01_異動主檔'!$D:$D,B778,'01_異動主檔'!$E:$E,"移出")</f>
        <v/>
      </c>
      <c r="G778" s="4">
        <f>SUMIFS('01_異動主檔'!$F:$F,'01_異動主檔'!$B:$B,116,'01_異動主檔'!$D:$D,B778,'01_異動主檔'!$E:$E,"新增")</f>
        <v/>
      </c>
      <c r="H778" s="4">
        <f>-SUMIFS('01_異動主檔'!$F:$F,'01_異動主檔'!$B:$B,116,'01_異動主檔'!$D:$D,B778,'01_異動主檔'!$E:$E,"減列")</f>
        <v/>
      </c>
      <c r="I778" s="4">
        <f>-SUMIFS('01_異動主檔'!$F:$F,'01_異動主檔'!$B:$B,116,'01_異動主檔'!$D:$D,B778,'01_異動主檔'!$E:$E,"精簡")</f>
        <v/>
      </c>
      <c r="J778" s="10">
        <f>D778+E778+F778+G778+H778+I778</f>
        <v/>
      </c>
    </row>
    <row r="779" ht="18" customHeight="1">
      <c r="A779" s="4" t="inlineStr">
        <is>
          <t>D005</t>
        </is>
      </c>
      <c r="B779" s="3" t="inlineStr">
        <is>
          <t>出納科</t>
        </is>
      </c>
      <c r="C779" s="4" t="n">
        <v>117</v>
      </c>
      <c r="D779" s="10">
        <f>J778</f>
        <v/>
      </c>
      <c r="E779" s="4">
        <f>SUMIFS('01_異動主檔'!$F:$F,'01_異動主檔'!$B:$B,117,'01_異動主檔'!$D:$D,B779,'01_異動主檔'!$E:$E,"移入")</f>
        <v/>
      </c>
      <c r="F779" s="4">
        <f>-SUMIFS('01_異動主檔'!$F:$F,'01_異動主檔'!$B:$B,117,'01_異動主檔'!$D:$D,B779,'01_異動主檔'!$E:$E,"移出")</f>
        <v/>
      </c>
      <c r="G779" s="4">
        <f>SUMIFS('01_異動主檔'!$F:$F,'01_異動主檔'!$B:$B,117,'01_異動主檔'!$D:$D,B779,'01_異動主檔'!$E:$E,"新增")</f>
        <v/>
      </c>
      <c r="H779" s="4">
        <f>-SUMIFS('01_異動主檔'!$F:$F,'01_異動主檔'!$B:$B,117,'01_異動主檔'!$D:$D,B779,'01_異動主檔'!$E:$E,"減列")</f>
        <v/>
      </c>
      <c r="I779" s="4">
        <f>-SUMIFS('01_異動主檔'!$F:$F,'01_異動主檔'!$B:$B,117,'01_異動主檔'!$D:$D,B779,'01_異動主檔'!$E:$E,"精簡")</f>
        <v/>
      </c>
      <c r="J779" s="10">
        <f>D779+E779+F779+G779+H779+I779</f>
        <v/>
      </c>
    </row>
    <row r="780" ht="18" customHeight="1">
      <c r="A780" s="6" t="inlineStr">
        <is>
          <t>D005</t>
        </is>
      </c>
      <c r="B780" s="5" t="inlineStr">
        <is>
          <t>出納科</t>
        </is>
      </c>
      <c r="C780" s="6" t="n">
        <v>118</v>
      </c>
      <c r="D780" s="10">
        <f>J779</f>
        <v/>
      </c>
      <c r="E780" s="4">
        <f>SUMIFS('01_異動主檔'!$F:$F,'01_異動主檔'!$B:$B,118,'01_異動主檔'!$D:$D,B780,'01_異動主檔'!$E:$E,"移入")</f>
        <v/>
      </c>
      <c r="F780" s="4">
        <f>-SUMIFS('01_異動主檔'!$F:$F,'01_異動主檔'!$B:$B,118,'01_異動主檔'!$D:$D,B780,'01_異動主檔'!$E:$E,"移出")</f>
        <v/>
      </c>
      <c r="G780" s="4">
        <f>SUMIFS('01_異動主檔'!$F:$F,'01_異動主檔'!$B:$B,118,'01_異動主檔'!$D:$D,B780,'01_異動主檔'!$E:$E,"新增")</f>
        <v/>
      </c>
      <c r="H780" s="4">
        <f>-SUMIFS('01_異動主檔'!$F:$F,'01_異動主檔'!$B:$B,118,'01_異動主檔'!$D:$D,B780,'01_異動主檔'!$E:$E,"減列")</f>
        <v/>
      </c>
      <c r="I780" s="4">
        <f>-SUMIFS('01_異動主檔'!$F:$F,'01_異動主檔'!$B:$B,118,'01_異動主檔'!$D:$D,B780,'01_異動主檔'!$E:$E,"精簡")</f>
        <v/>
      </c>
      <c r="J780" s="10">
        <f>D780+E780+F780+G780+H780+I780</f>
        <v/>
      </c>
    </row>
    <row r="781" ht="18" customHeight="1">
      <c r="A781" s="4" t="inlineStr">
        <is>
          <t>D005</t>
        </is>
      </c>
      <c r="B781" s="3" t="inlineStr">
        <is>
          <t>出納科</t>
        </is>
      </c>
      <c r="C781" s="4" t="n">
        <v>119</v>
      </c>
      <c r="D781" s="10">
        <f>J780</f>
        <v/>
      </c>
      <c r="E781" s="4">
        <f>SUMIFS('01_異動主檔'!$F:$F,'01_異動主檔'!$B:$B,119,'01_異動主檔'!$D:$D,B781,'01_異動主檔'!$E:$E,"移入")</f>
        <v/>
      </c>
      <c r="F781" s="4">
        <f>-SUMIFS('01_異動主檔'!$F:$F,'01_異動主檔'!$B:$B,119,'01_異動主檔'!$D:$D,B781,'01_異動主檔'!$E:$E,"移出")</f>
        <v/>
      </c>
      <c r="G781" s="4">
        <f>SUMIFS('01_異動主檔'!$F:$F,'01_異動主檔'!$B:$B,119,'01_異動主檔'!$D:$D,B781,'01_異動主檔'!$E:$E,"新增")</f>
        <v/>
      </c>
      <c r="H781" s="4">
        <f>-SUMIFS('01_異動主檔'!$F:$F,'01_異動主檔'!$B:$B,119,'01_異動主檔'!$D:$D,B781,'01_異動主檔'!$E:$E,"減列")</f>
        <v/>
      </c>
      <c r="I781" s="4">
        <f>-SUMIFS('01_異動主檔'!$F:$F,'01_異動主檔'!$B:$B,119,'01_異動主檔'!$D:$D,B781,'01_異動主檔'!$E:$E,"精簡")</f>
        <v/>
      </c>
      <c r="J781" s="10">
        <f>D781+E781+F781+G781+H781+I781</f>
        <v/>
      </c>
    </row>
    <row r="782" ht="18" customHeight="1">
      <c r="A782" s="6" t="inlineStr">
        <is>
          <t>D005</t>
        </is>
      </c>
      <c r="B782" s="5" t="inlineStr">
        <is>
          <t>出納科</t>
        </is>
      </c>
      <c r="C782" s="6" t="n">
        <v>120</v>
      </c>
      <c r="D782" s="10">
        <f>J781</f>
        <v/>
      </c>
      <c r="E782" s="4">
        <f>SUMIFS('01_異動主檔'!$F:$F,'01_異動主檔'!$B:$B,120,'01_異動主檔'!$D:$D,B782,'01_異動主檔'!$E:$E,"移入")</f>
        <v/>
      </c>
      <c r="F782" s="4">
        <f>-SUMIFS('01_異動主檔'!$F:$F,'01_異動主檔'!$B:$B,120,'01_異動主檔'!$D:$D,B782,'01_異動主檔'!$E:$E,"移出")</f>
        <v/>
      </c>
      <c r="G782" s="4">
        <f>SUMIFS('01_異動主檔'!$F:$F,'01_異動主檔'!$B:$B,120,'01_異動主檔'!$D:$D,B782,'01_異動主檔'!$E:$E,"新增")</f>
        <v/>
      </c>
      <c r="H782" s="4">
        <f>-SUMIFS('01_異動主檔'!$F:$F,'01_異動主檔'!$B:$B,120,'01_異動主檔'!$D:$D,B782,'01_異動主檔'!$E:$E,"減列")</f>
        <v/>
      </c>
      <c r="I782" s="4">
        <f>-SUMIFS('01_異動主檔'!$F:$F,'01_異動主檔'!$B:$B,120,'01_異動主檔'!$D:$D,B782,'01_異動主檔'!$E:$E,"精簡")</f>
        <v/>
      </c>
      <c r="J782" s="10">
        <f>D782+E782+F782+G782+H782+I782</f>
        <v/>
      </c>
    </row>
    <row r="783" ht="18" customHeight="1">
      <c r="A783" s="4" t="inlineStr">
        <is>
          <t>D005</t>
        </is>
      </c>
      <c r="B783" s="3" t="inlineStr">
        <is>
          <t>出納科</t>
        </is>
      </c>
      <c r="C783" s="4" t="n">
        <v>121</v>
      </c>
      <c r="D783" s="10">
        <f>J782</f>
        <v/>
      </c>
      <c r="E783" s="4">
        <f>SUMIFS('01_異動主檔'!$F:$F,'01_異動主檔'!$B:$B,121,'01_異動主檔'!$D:$D,B783,'01_異動主檔'!$E:$E,"移入")</f>
        <v/>
      </c>
      <c r="F783" s="4">
        <f>-SUMIFS('01_異動主檔'!$F:$F,'01_異動主檔'!$B:$B,121,'01_異動主檔'!$D:$D,B783,'01_異動主檔'!$E:$E,"移出")</f>
        <v/>
      </c>
      <c r="G783" s="4">
        <f>SUMIFS('01_異動主檔'!$F:$F,'01_異動主檔'!$B:$B,121,'01_異動主檔'!$D:$D,B783,'01_異動主檔'!$E:$E,"新增")</f>
        <v/>
      </c>
      <c r="H783" s="4">
        <f>-SUMIFS('01_異動主檔'!$F:$F,'01_異動主檔'!$B:$B,121,'01_異動主檔'!$D:$D,B783,'01_異動主檔'!$E:$E,"減列")</f>
        <v/>
      </c>
      <c r="I783" s="4">
        <f>-SUMIFS('01_異動主檔'!$F:$F,'01_異動主檔'!$B:$B,121,'01_異動主檔'!$D:$D,B783,'01_異動主檔'!$E:$E,"精簡")</f>
        <v/>
      </c>
      <c r="J783" s="10">
        <f>D783+E783+F783+G783+H783+I783</f>
        <v/>
      </c>
    </row>
    <row r="784" ht="18" customHeight="1">
      <c r="A784" s="6" t="inlineStr">
        <is>
          <t>D005</t>
        </is>
      </c>
      <c r="B784" s="5" t="inlineStr">
        <is>
          <t>出納科</t>
        </is>
      </c>
      <c r="C784" s="6" t="n">
        <v>122</v>
      </c>
      <c r="D784" s="10">
        <f>J783</f>
        <v/>
      </c>
      <c r="E784" s="4">
        <f>SUMIFS('01_異動主檔'!$F:$F,'01_異動主檔'!$B:$B,122,'01_異動主檔'!$D:$D,B784,'01_異動主檔'!$E:$E,"移入")</f>
        <v/>
      </c>
      <c r="F784" s="4">
        <f>-SUMIFS('01_異動主檔'!$F:$F,'01_異動主檔'!$B:$B,122,'01_異動主檔'!$D:$D,B784,'01_異動主檔'!$E:$E,"移出")</f>
        <v/>
      </c>
      <c r="G784" s="4">
        <f>SUMIFS('01_異動主檔'!$F:$F,'01_異動主檔'!$B:$B,122,'01_異動主檔'!$D:$D,B784,'01_異動主檔'!$E:$E,"新增")</f>
        <v/>
      </c>
      <c r="H784" s="4">
        <f>-SUMIFS('01_異動主檔'!$F:$F,'01_異動主檔'!$B:$B,122,'01_異動主檔'!$D:$D,B784,'01_異動主檔'!$E:$E,"減列")</f>
        <v/>
      </c>
      <c r="I784" s="4">
        <f>-SUMIFS('01_異動主檔'!$F:$F,'01_異動主檔'!$B:$B,122,'01_異動主檔'!$D:$D,B784,'01_異動主檔'!$E:$E,"精簡")</f>
        <v/>
      </c>
      <c r="J784" s="10">
        <f>D784+E784+F784+G784+H784+I784</f>
        <v/>
      </c>
    </row>
    <row r="785" ht="18" customHeight="1">
      <c r="A785" s="4" t="inlineStr">
        <is>
          <t>D005</t>
        </is>
      </c>
      <c r="B785" s="3" t="inlineStr">
        <is>
          <t>出納科</t>
        </is>
      </c>
      <c r="C785" s="4" t="n">
        <v>123</v>
      </c>
      <c r="D785" s="10">
        <f>J784</f>
        <v/>
      </c>
      <c r="E785" s="4">
        <f>SUMIFS('01_異動主檔'!$F:$F,'01_異動主檔'!$B:$B,123,'01_異動主檔'!$D:$D,B785,'01_異動主檔'!$E:$E,"移入")</f>
        <v/>
      </c>
      <c r="F785" s="4">
        <f>-SUMIFS('01_異動主檔'!$F:$F,'01_異動主檔'!$B:$B,123,'01_異動主檔'!$D:$D,B785,'01_異動主檔'!$E:$E,"移出")</f>
        <v/>
      </c>
      <c r="G785" s="4">
        <f>SUMIFS('01_異動主檔'!$F:$F,'01_異動主檔'!$B:$B,123,'01_異動主檔'!$D:$D,B785,'01_異動主檔'!$E:$E,"新增")</f>
        <v/>
      </c>
      <c r="H785" s="4">
        <f>-SUMIFS('01_異動主檔'!$F:$F,'01_異動主檔'!$B:$B,123,'01_異動主檔'!$D:$D,B785,'01_異動主檔'!$E:$E,"減列")</f>
        <v/>
      </c>
      <c r="I785" s="4">
        <f>-SUMIFS('01_異動主檔'!$F:$F,'01_異動主檔'!$B:$B,123,'01_異動主檔'!$D:$D,B785,'01_異動主檔'!$E:$E,"精簡")</f>
        <v/>
      </c>
      <c r="J785" s="10">
        <f>D785+E785+F785+G785+H785+I785</f>
        <v/>
      </c>
    </row>
    <row r="786" ht="18" customHeight="1">
      <c r="A786" s="6" t="inlineStr">
        <is>
          <t>D005</t>
        </is>
      </c>
      <c r="B786" s="5" t="inlineStr">
        <is>
          <t>出納科</t>
        </is>
      </c>
      <c r="C786" s="6" t="n">
        <v>124</v>
      </c>
      <c r="D786" s="10">
        <f>J785</f>
        <v/>
      </c>
      <c r="E786" s="4">
        <f>SUMIFS('01_異動主檔'!$F:$F,'01_異動主檔'!$B:$B,124,'01_異動主檔'!$D:$D,B786,'01_異動主檔'!$E:$E,"移入")</f>
        <v/>
      </c>
      <c r="F786" s="4">
        <f>-SUMIFS('01_異動主檔'!$F:$F,'01_異動主檔'!$B:$B,124,'01_異動主檔'!$D:$D,B786,'01_異動主檔'!$E:$E,"移出")</f>
        <v/>
      </c>
      <c r="G786" s="4">
        <f>SUMIFS('01_異動主檔'!$F:$F,'01_異動主檔'!$B:$B,124,'01_異動主檔'!$D:$D,B786,'01_異動主檔'!$E:$E,"新增")</f>
        <v/>
      </c>
      <c r="H786" s="4">
        <f>-SUMIFS('01_異動主檔'!$F:$F,'01_異動主檔'!$B:$B,124,'01_異動主檔'!$D:$D,B786,'01_異動主檔'!$E:$E,"減列")</f>
        <v/>
      </c>
      <c r="I786" s="4">
        <f>-SUMIFS('01_異動主檔'!$F:$F,'01_異動主檔'!$B:$B,124,'01_異動主檔'!$D:$D,B786,'01_異動主檔'!$E:$E,"精簡")</f>
        <v/>
      </c>
      <c r="J786" s="10">
        <f>D786+E786+F786+G786+H786+I786</f>
        <v/>
      </c>
    </row>
    <row r="787" ht="18" customHeight="1">
      <c r="A787" s="4" t="inlineStr">
        <is>
          <t>D005</t>
        </is>
      </c>
      <c r="B787" s="3" t="inlineStr">
        <is>
          <t>出納科</t>
        </is>
      </c>
      <c r="C787" s="4" t="n">
        <v>125</v>
      </c>
      <c r="D787" s="10">
        <f>J786</f>
        <v/>
      </c>
      <c r="E787" s="4">
        <f>SUMIFS('01_異動主檔'!$F:$F,'01_異動主檔'!$B:$B,125,'01_異動主檔'!$D:$D,B787,'01_異動主檔'!$E:$E,"移入")</f>
        <v/>
      </c>
      <c r="F787" s="4">
        <f>-SUMIFS('01_異動主檔'!$F:$F,'01_異動主檔'!$B:$B,125,'01_異動主檔'!$D:$D,B787,'01_異動主檔'!$E:$E,"移出")</f>
        <v/>
      </c>
      <c r="G787" s="4">
        <f>SUMIFS('01_異動主檔'!$F:$F,'01_異動主檔'!$B:$B,125,'01_異動主檔'!$D:$D,B787,'01_異動主檔'!$E:$E,"新增")</f>
        <v/>
      </c>
      <c r="H787" s="4">
        <f>-SUMIFS('01_異動主檔'!$F:$F,'01_異動主檔'!$B:$B,125,'01_異動主檔'!$D:$D,B787,'01_異動主檔'!$E:$E,"減列")</f>
        <v/>
      </c>
      <c r="I787" s="4">
        <f>-SUMIFS('01_異動主檔'!$F:$F,'01_異動主檔'!$B:$B,125,'01_異動主檔'!$D:$D,B787,'01_異動主檔'!$E:$E,"精簡")</f>
        <v/>
      </c>
      <c r="J787" s="10">
        <f>D787+E787+F787+G787+H787+I787</f>
        <v/>
      </c>
    </row>
    <row r="788" ht="18" customHeight="1">
      <c r="A788" s="6" t="inlineStr">
        <is>
          <t>D006</t>
        </is>
      </c>
      <c r="B788" s="5" t="inlineStr">
        <is>
          <t>採購科</t>
        </is>
      </c>
      <c r="C788" s="6" t="n">
        <v>99</v>
      </c>
      <c r="D788" s="10">
        <f>'02_年初員額設定'!C34</f>
        <v/>
      </c>
      <c r="E788" s="4">
        <f>SUMIFS('01_異動主檔'!$F:$F,'01_異動主檔'!$B:$B,99,'01_異動主檔'!$D:$D,B788,'01_異動主檔'!$E:$E,"移入")</f>
        <v/>
      </c>
      <c r="F788" s="4">
        <f>-SUMIFS('01_異動主檔'!$F:$F,'01_異動主檔'!$B:$B,99,'01_異動主檔'!$D:$D,B788,'01_異動主檔'!$E:$E,"移出")</f>
        <v/>
      </c>
      <c r="G788" s="4">
        <f>SUMIFS('01_異動主檔'!$F:$F,'01_異動主檔'!$B:$B,99,'01_異動主檔'!$D:$D,B788,'01_異動主檔'!$E:$E,"新增")</f>
        <v/>
      </c>
      <c r="H788" s="4">
        <f>-SUMIFS('01_異動主檔'!$F:$F,'01_異動主檔'!$B:$B,99,'01_異動主檔'!$D:$D,B788,'01_異動主檔'!$E:$E,"減列")</f>
        <v/>
      </c>
      <c r="I788" s="4">
        <f>-SUMIFS('01_異動主檔'!$F:$F,'01_異動主檔'!$B:$B,99,'01_異動主檔'!$D:$D,B788,'01_異動主檔'!$E:$E,"精簡")</f>
        <v/>
      </c>
      <c r="J788" s="10">
        <f>D788+E788+F788+G788+H788+I788</f>
        <v/>
      </c>
    </row>
    <row r="789" ht="18" customHeight="1">
      <c r="A789" s="4" t="inlineStr">
        <is>
          <t>D006</t>
        </is>
      </c>
      <c r="B789" s="3" t="inlineStr">
        <is>
          <t>採購科</t>
        </is>
      </c>
      <c r="C789" s="4" t="n">
        <v>100</v>
      </c>
      <c r="D789" s="10">
        <f>J788</f>
        <v/>
      </c>
      <c r="E789" s="4">
        <f>SUMIFS('01_異動主檔'!$F:$F,'01_異動主檔'!$B:$B,100,'01_異動主檔'!$D:$D,B789,'01_異動主檔'!$E:$E,"移入")</f>
        <v/>
      </c>
      <c r="F789" s="4">
        <f>-SUMIFS('01_異動主檔'!$F:$F,'01_異動主檔'!$B:$B,100,'01_異動主檔'!$D:$D,B789,'01_異動主檔'!$E:$E,"移出")</f>
        <v/>
      </c>
      <c r="G789" s="4">
        <f>SUMIFS('01_異動主檔'!$F:$F,'01_異動主檔'!$B:$B,100,'01_異動主檔'!$D:$D,B789,'01_異動主檔'!$E:$E,"新增")</f>
        <v/>
      </c>
      <c r="H789" s="4">
        <f>-SUMIFS('01_異動主檔'!$F:$F,'01_異動主檔'!$B:$B,100,'01_異動主檔'!$D:$D,B789,'01_異動主檔'!$E:$E,"減列")</f>
        <v/>
      </c>
      <c r="I789" s="4">
        <f>-SUMIFS('01_異動主檔'!$F:$F,'01_異動主檔'!$B:$B,100,'01_異動主檔'!$D:$D,B789,'01_異動主檔'!$E:$E,"精簡")</f>
        <v/>
      </c>
      <c r="J789" s="10">
        <f>D789+E789+F789+G789+H789+I789</f>
        <v/>
      </c>
    </row>
    <row r="790" ht="18" customHeight="1">
      <c r="A790" s="6" t="inlineStr">
        <is>
          <t>D006</t>
        </is>
      </c>
      <c r="B790" s="5" t="inlineStr">
        <is>
          <t>採購科</t>
        </is>
      </c>
      <c r="C790" s="6" t="n">
        <v>101</v>
      </c>
      <c r="D790" s="10">
        <f>J789</f>
        <v/>
      </c>
      <c r="E790" s="4">
        <f>SUMIFS('01_異動主檔'!$F:$F,'01_異動主檔'!$B:$B,101,'01_異動主檔'!$D:$D,B790,'01_異動主檔'!$E:$E,"移入")</f>
        <v/>
      </c>
      <c r="F790" s="4">
        <f>-SUMIFS('01_異動主檔'!$F:$F,'01_異動主檔'!$B:$B,101,'01_異動主檔'!$D:$D,B790,'01_異動主檔'!$E:$E,"移出")</f>
        <v/>
      </c>
      <c r="G790" s="4">
        <f>SUMIFS('01_異動主檔'!$F:$F,'01_異動主檔'!$B:$B,101,'01_異動主檔'!$D:$D,B790,'01_異動主檔'!$E:$E,"新增")</f>
        <v/>
      </c>
      <c r="H790" s="4">
        <f>-SUMIFS('01_異動主檔'!$F:$F,'01_異動主檔'!$B:$B,101,'01_異動主檔'!$D:$D,B790,'01_異動主檔'!$E:$E,"減列")</f>
        <v/>
      </c>
      <c r="I790" s="4">
        <f>-SUMIFS('01_異動主檔'!$F:$F,'01_異動主檔'!$B:$B,101,'01_異動主檔'!$D:$D,B790,'01_異動主檔'!$E:$E,"精簡")</f>
        <v/>
      </c>
      <c r="J790" s="10">
        <f>D790+E790+F790+G790+H790+I790</f>
        <v/>
      </c>
    </row>
    <row r="791" ht="18" customHeight="1">
      <c r="A791" s="4" t="inlineStr">
        <is>
          <t>D006</t>
        </is>
      </c>
      <c r="B791" s="3" t="inlineStr">
        <is>
          <t>採購科</t>
        </is>
      </c>
      <c r="C791" s="4" t="n">
        <v>102</v>
      </c>
      <c r="D791" s="10">
        <f>J790</f>
        <v/>
      </c>
      <c r="E791" s="4">
        <f>SUMIFS('01_異動主檔'!$F:$F,'01_異動主檔'!$B:$B,102,'01_異動主檔'!$D:$D,B791,'01_異動主檔'!$E:$E,"移入")</f>
        <v/>
      </c>
      <c r="F791" s="4">
        <f>-SUMIFS('01_異動主檔'!$F:$F,'01_異動主檔'!$B:$B,102,'01_異動主檔'!$D:$D,B791,'01_異動主檔'!$E:$E,"移出")</f>
        <v/>
      </c>
      <c r="G791" s="4">
        <f>SUMIFS('01_異動主檔'!$F:$F,'01_異動主檔'!$B:$B,102,'01_異動主檔'!$D:$D,B791,'01_異動主檔'!$E:$E,"新增")</f>
        <v/>
      </c>
      <c r="H791" s="4">
        <f>-SUMIFS('01_異動主檔'!$F:$F,'01_異動主檔'!$B:$B,102,'01_異動主檔'!$D:$D,B791,'01_異動主檔'!$E:$E,"減列")</f>
        <v/>
      </c>
      <c r="I791" s="4">
        <f>-SUMIFS('01_異動主檔'!$F:$F,'01_異動主檔'!$B:$B,102,'01_異動主檔'!$D:$D,B791,'01_異動主檔'!$E:$E,"精簡")</f>
        <v/>
      </c>
      <c r="J791" s="10">
        <f>D791+E791+F791+G791+H791+I791</f>
        <v/>
      </c>
    </row>
    <row r="792" ht="18" customHeight="1">
      <c r="A792" s="6" t="inlineStr">
        <is>
          <t>D006</t>
        </is>
      </c>
      <c r="B792" s="5" t="inlineStr">
        <is>
          <t>採購科</t>
        </is>
      </c>
      <c r="C792" s="6" t="n">
        <v>103</v>
      </c>
      <c r="D792" s="10">
        <f>J791</f>
        <v/>
      </c>
      <c r="E792" s="4">
        <f>SUMIFS('01_異動主檔'!$F:$F,'01_異動主檔'!$B:$B,103,'01_異動主檔'!$D:$D,B792,'01_異動主檔'!$E:$E,"移入")</f>
        <v/>
      </c>
      <c r="F792" s="4">
        <f>-SUMIFS('01_異動主檔'!$F:$F,'01_異動主檔'!$B:$B,103,'01_異動主檔'!$D:$D,B792,'01_異動主檔'!$E:$E,"移出")</f>
        <v/>
      </c>
      <c r="G792" s="4">
        <f>SUMIFS('01_異動主檔'!$F:$F,'01_異動主檔'!$B:$B,103,'01_異動主檔'!$D:$D,B792,'01_異動主檔'!$E:$E,"新增")</f>
        <v/>
      </c>
      <c r="H792" s="4">
        <f>-SUMIFS('01_異動主檔'!$F:$F,'01_異動主檔'!$B:$B,103,'01_異動主檔'!$D:$D,B792,'01_異動主檔'!$E:$E,"減列")</f>
        <v/>
      </c>
      <c r="I792" s="4">
        <f>-SUMIFS('01_異動主檔'!$F:$F,'01_異動主檔'!$B:$B,103,'01_異動主檔'!$D:$D,B792,'01_異動主檔'!$E:$E,"精簡")</f>
        <v/>
      </c>
      <c r="J792" s="10">
        <f>D792+E792+F792+G792+H792+I792</f>
        <v/>
      </c>
    </row>
    <row r="793" ht="18" customHeight="1">
      <c r="A793" s="4" t="inlineStr">
        <is>
          <t>D006</t>
        </is>
      </c>
      <c r="B793" s="3" t="inlineStr">
        <is>
          <t>採購科</t>
        </is>
      </c>
      <c r="C793" s="4" t="n">
        <v>104</v>
      </c>
      <c r="D793" s="10">
        <f>J792</f>
        <v/>
      </c>
      <c r="E793" s="4">
        <f>SUMIFS('01_異動主檔'!$F:$F,'01_異動主檔'!$B:$B,104,'01_異動主檔'!$D:$D,B793,'01_異動主檔'!$E:$E,"移入")</f>
        <v/>
      </c>
      <c r="F793" s="4">
        <f>-SUMIFS('01_異動主檔'!$F:$F,'01_異動主檔'!$B:$B,104,'01_異動主檔'!$D:$D,B793,'01_異動主檔'!$E:$E,"移出")</f>
        <v/>
      </c>
      <c r="G793" s="4">
        <f>SUMIFS('01_異動主檔'!$F:$F,'01_異動主檔'!$B:$B,104,'01_異動主檔'!$D:$D,B793,'01_異動主檔'!$E:$E,"新增")</f>
        <v/>
      </c>
      <c r="H793" s="4">
        <f>-SUMIFS('01_異動主檔'!$F:$F,'01_異動主檔'!$B:$B,104,'01_異動主檔'!$D:$D,B793,'01_異動主檔'!$E:$E,"減列")</f>
        <v/>
      </c>
      <c r="I793" s="4">
        <f>-SUMIFS('01_異動主檔'!$F:$F,'01_異動主檔'!$B:$B,104,'01_異動主檔'!$D:$D,B793,'01_異動主檔'!$E:$E,"精簡")</f>
        <v/>
      </c>
      <c r="J793" s="10">
        <f>D793+E793+F793+G793+H793+I793</f>
        <v/>
      </c>
    </row>
    <row r="794" ht="18" customHeight="1">
      <c r="A794" s="6" t="inlineStr">
        <is>
          <t>D006</t>
        </is>
      </c>
      <c r="B794" s="5" t="inlineStr">
        <is>
          <t>採購科</t>
        </is>
      </c>
      <c r="C794" s="6" t="n">
        <v>105</v>
      </c>
      <c r="D794" s="10">
        <f>J793</f>
        <v/>
      </c>
      <c r="E794" s="4">
        <f>SUMIFS('01_異動主檔'!$F:$F,'01_異動主檔'!$B:$B,105,'01_異動主檔'!$D:$D,B794,'01_異動主檔'!$E:$E,"移入")</f>
        <v/>
      </c>
      <c r="F794" s="4">
        <f>-SUMIFS('01_異動主檔'!$F:$F,'01_異動主檔'!$B:$B,105,'01_異動主檔'!$D:$D,B794,'01_異動主檔'!$E:$E,"移出")</f>
        <v/>
      </c>
      <c r="G794" s="4">
        <f>SUMIFS('01_異動主檔'!$F:$F,'01_異動主檔'!$B:$B,105,'01_異動主檔'!$D:$D,B794,'01_異動主檔'!$E:$E,"新增")</f>
        <v/>
      </c>
      <c r="H794" s="4">
        <f>-SUMIFS('01_異動主檔'!$F:$F,'01_異動主檔'!$B:$B,105,'01_異動主檔'!$D:$D,B794,'01_異動主檔'!$E:$E,"減列")</f>
        <v/>
      </c>
      <c r="I794" s="4">
        <f>-SUMIFS('01_異動主檔'!$F:$F,'01_異動主檔'!$B:$B,105,'01_異動主檔'!$D:$D,B794,'01_異動主檔'!$E:$E,"精簡")</f>
        <v/>
      </c>
      <c r="J794" s="10">
        <f>D794+E794+F794+G794+H794+I794</f>
        <v/>
      </c>
    </row>
    <row r="795" ht="18" customHeight="1">
      <c r="A795" s="4" t="inlineStr">
        <is>
          <t>D006</t>
        </is>
      </c>
      <c r="B795" s="3" t="inlineStr">
        <is>
          <t>採購科</t>
        </is>
      </c>
      <c r="C795" s="4" t="n">
        <v>106</v>
      </c>
      <c r="D795" s="10">
        <f>J794</f>
        <v/>
      </c>
      <c r="E795" s="4">
        <f>SUMIFS('01_異動主檔'!$F:$F,'01_異動主檔'!$B:$B,106,'01_異動主檔'!$D:$D,B795,'01_異動主檔'!$E:$E,"移入")</f>
        <v/>
      </c>
      <c r="F795" s="4">
        <f>-SUMIFS('01_異動主檔'!$F:$F,'01_異動主檔'!$B:$B,106,'01_異動主檔'!$D:$D,B795,'01_異動主檔'!$E:$E,"移出")</f>
        <v/>
      </c>
      <c r="G795" s="4">
        <f>SUMIFS('01_異動主檔'!$F:$F,'01_異動主檔'!$B:$B,106,'01_異動主檔'!$D:$D,B795,'01_異動主檔'!$E:$E,"新增")</f>
        <v/>
      </c>
      <c r="H795" s="4">
        <f>-SUMIFS('01_異動主檔'!$F:$F,'01_異動主檔'!$B:$B,106,'01_異動主檔'!$D:$D,B795,'01_異動主檔'!$E:$E,"減列")</f>
        <v/>
      </c>
      <c r="I795" s="4">
        <f>-SUMIFS('01_異動主檔'!$F:$F,'01_異動主檔'!$B:$B,106,'01_異動主檔'!$D:$D,B795,'01_異動主檔'!$E:$E,"精簡")</f>
        <v/>
      </c>
      <c r="J795" s="10">
        <f>D795+E795+F795+G795+H795+I795</f>
        <v/>
      </c>
    </row>
    <row r="796" ht="18" customHeight="1">
      <c r="A796" s="6" t="inlineStr">
        <is>
          <t>D006</t>
        </is>
      </c>
      <c r="B796" s="5" t="inlineStr">
        <is>
          <t>採購科</t>
        </is>
      </c>
      <c r="C796" s="6" t="n">
        <v>107</v>
      </c>
      <c r="D796" s="10">
        <f>J795</f>
        <v/>
      </c>
      <c r="E796" s="4">
        <f>SUMIFS('01_異動主檔'!$F:$F,'01_異動主檔'!$B:$B,107,'01_異動主檔'!$D:$D,B796,'01_異動主檔'!$E:$E,"移入")</f>
        <v/>
      </c>
      <c r="F796" s="4">
        <f>-SUMIFS('01_異動主檔'!$F:$F,'01_異動主檔'!$B:$B,107,'01_異動主檔'!$D:$D,B796,'01_異動主檔'!$E:$E,"移出")</f>
        <v/>
      </c>
      <c r="G796" s="4">
        <f>SUMIFS('01_異動主檔'!$F:$F,'01_異動主檔'!$B:$B,107,'01_異動主檔'!$D:$D,B796,'01_異動主檔'!$E:$E,"新增")</f>
        <v/>
      </c>
      <c r="H796" s="4">
        <f>-SUMIFS('01_異動主檔'!$F:$F,'01_異動主檔'!$B:$B,107,'01_異動主檔'!$D:$D,B796,'01_異動主檔'!$E:$E,"減列")</f>
        <v/>
      </c>
      <c r="I796" s="4">
        <f>-SUMIFS('01_異動主檔'!$F:$F,'01_異動主檔'!$B:$B,107,'01_異動主檔'!$D:$D,B796,'01_異動主檔'!$E:$E,"精簡")</f>
        <v/>
      </c>
      <c r="J796" s="10">
        <f>D796+E796+F796+G796+H796+I796</f>
        <v/>
      </c>
    </row>
    <row r="797" ht="18" customHeight="1">
      <c r="A797" s="4" t="inlineStr">
        <is>
          <t>D006</t>
        </is>
      </c>
      <c r="B797" s="3" t="inlineStr">
        <is>
          <t>採購科</t>
        </is>
      </c>
      <c r="C797" s="4" t="n">
        <v>108</v>
      </c>
      <c r="D797" s="10">
        <f>J796</f>
        <v/>
      </c>
      <c r="E797" s="4">
        <f>SUMIFS('01_異動主檔'!$F:$F,'01_異動主檔'!$B:$B,108,'01_異動主檔'!$D:$D,B797,'01_異動主檔'!$E:$E,"移入")</f>
        <v/>
      </c>
      <c r="F797" s="4">
        <f>-SUMIFS('01_異動主檔'!$F:$F,'01_異動主檔'!$B:$B,108,'01_異動主檔'!$D:$D,B797,'01_異動主檔'!$E:$E,"移出")</f>
        <v/>
      </c>
      <c r="G797" s="4">
        <f>SUMIFS('01_異動主檔'!$F:$F,'01_異動主檔'!$B:$B,108,'01_異動主檔'!$D:$D,B797,'01_異動主檔'!$E:$E,"新增")</f>
        <v/>
      </c>
      <c r="H797" s="4">
        <f>-SUMIFS('01_異動主檔'!$F:$F,'01_異動主檔'!$B:$B,108,'01_異動主檔'!$D:$D,B797,'01_異動主檔'!$E:$E,"減列")</f>
        <v/>
      </c>
      <c r="I797" s="4">
        <f>-SUMIFS('01_異動主檔'!$F:$F,'01_異動主檔'!$B:$B,108,'01_異動主檔'!$D:$D,B797,'01_異動主檔'!$E:$E,"精簡")</f>
        <v/>
      </c>
      <c r="J797" s="10">
        <f>D797+E797+F797+G797+H797+I797</f>
        <v/>
      </c>
    </row>
    <row r="798" ht="18" customHeight="1">
      <c r="A798" s="6" t="inlineStr">
        <is>
          <t>D006</t>
        </is>
      </c>
      <c r="B798" s="5" t="inlineStr">
        <is>
          <t>採購科</t>
        </is>
      </c>
      <c r="C798" s="6" t="n">
        <v>109</v>
      </c>
      <c r="D798" s="10">
        <f>J797</f>
        <v/>
      </c>
      <c r="E798" s="4">
        <f>SUMIFS('01_異動主檔'!$F:$F,'01_異動主檔'!$B:$B,109,'01_異動主檔'!$D:$D,B798,'01_異動主檔'!$E:$E,"移入")</f>
        <v/>
      </c>
      <c r="F798" s="4">
        <f>-SUMIFS('01_異動主檔'!$F:$F,'01_異動主檔'!$B:$B,109,'01_異動主檔'!$D:$D,B798,'01_異動主檔'!$E:$E,"移出")</f>
        <v/>
      </c>
      <c r="G798" s="4">
        <f>SUMIFS('01_異動主檔'!$F:$F,'01_異動主檔'!$B:$B,109,'01_異動主檔'!$D:$D,B798,'01_異動主檔'!$E:$E,"新增")</f>
        <v/>
      </c>
      <c r="H798" s="4">
        <f>-SUMIFS('01_異動主檔'!$F:$F,'01_異動主檔'!$B:$B,109,'01_異動主檔'!$D:$D,B798,'01_異動主檔'!$E:$E,"減列")</f>
        <v/>
      </c>
      <c r="I798" s="4">
        <f>-SUMIFS('01_異動主檔'!$F:$F,'01_異動主檔'!$B:$B,109,'01_異動主檔'!$D:$D,B798,'01_異動主檔'!$E:$E,"精簡")</f>
        <v/>
      </c>
      <c r="J798" s="10">
        <f>D798+E798+F798+G798+H798+I798</f>
        <v/>
      </c>
    </row>
    <row r="799" ht="18" customHeight="1">
      <c r="A799" s="4" t="inlineStr">
        <is>
          <t>D006</t>
        </is>
      </c>
      <c r="B799" s="3" t="inlineStr">
        <is>
          <t>採購科</t>
        </is>
      </c>
      <c r="C799" s="4" t="n">
        <v>110</v>
      </c>
      <c r="D799" s="10">
        <f>J798</f>
        <v/>
      </c>
      <c r="E799" s="4">
        <f>SUMIFS('01_異動主檔'!$F:$F,'01_異動主檔'!$B:$B,110,'01_異動主檔'!$D:$D,B799,'01_異動主檔'!$E:$E,"移入")</f>
        <v/>
      </c>
      <c r="F799" s="4">
        <f>-SUMIFS('01_異動主檔'!$F:$F,'01_異動主檔'!$B:$B,110,'01_異動主檔'!$D:$D,B799,'01_異動主檔'!$E:$E,"移出")</f>
        <v/>
      </c>
      <c r="G799" s="4">
        <f>SUMIFS('01_異動主檔'!$F:$F,'01_異動主檔'!$B:$B,110,'01_異動主檔'!$D:$D,B799,'01_異動主檔'!$E:$E,"新增")</f>
        <v/>
      </c>
      <c r="H799" s="4">
        <f>-SUMIFS('01_異動主檔'!$F:$F,'01_異動主檔'!$B:$B,110,'01_異動主檔'!$D:$D,B799,'01_異動主檔'!$E:$E,"減列")</f>
        <v/>
      </c>
      <c r="I799" s="4">
        <f>-SUMIFS('01_異動主檔'!$F:$F,'01_異動主檔'!$B:$B,110,'01_異動主檔'!$D:$D,B799,'01_異動主檔'!$E:$E,"精簡")</f>
        <v/>
      </c>
      <c r="J799" s="10">
        <f>D799+E799+F799+G799+H799+I799</f>
        <v/>
      </c>
    </row>
    <row r="800" ht="18" customHeight="1">
      <c r="A800" s="6" t="inlineStr">
        <is>
          <t>D006</t>
        </is>
      </c>
      <c r="B800" s="5" t="inlineStr">
        <is>
          <t>採購科</t>
        </is>
      </c>
      <c r="C800" s="6" t="n">
        <v>111</v>
      </c>
      <c r="D800" s="10">
        <f>J799</f>
        <v/>
      </c>
      <c r="E800" s="4">
        <f>SUMIFS('01_異動主檔'!$F:$F,'01_異動主檔'!$B:$B,111,'01_異動主檔'!$D:$D,B800,'01_異動主檔'!$E:$E,"移入")</f>
        <v/>
      </c>
      <c r="F800" s="4">
        <f>-SUMIFS('01_異動主檔'!$F:$F,'01_異動主檔'!$B:$B,111,'01_異動主檔'!$D:$D,B800,'01_異動主檔'!$E:$E,"移出")</f>
        <v/>
      </c>
      <c r="G800" s="4">
        <f>SUMIFS('01_異動主檔'!$F:$F,'01_異動主檔'!$B:$B,111,'01_異動主檔'!$D:$D,B800,'01_異動主檔'!$E:$E,"新增")</f>
        <v/>
      </c>
      <c r="H800" s="4">
        <f>-SUMIFS('01_異動主檔'!$F:$F,'01_異動主檔'!$B:$B,111,'01_異動主檔'!$D:$D,B800,'01_異動主檔'!$E:$E,"減列")</f>
        <v/>
      </c>
      <c r="I800" s="4">
        <f>-SUMIFS('01_異動主檔'!$F:$F,'01_異動主檔'!$B:$B,111,'01_異動主檔'!$D:$D,B800,'01_異動主檔'!$E:$E,"精簡")</f>
        <v/>
      </c>
      <c r="J800" s="10">
        <f>D800+E800+F800+G800+H800+I800</f>
        <v/>
      </c>
    </row>
    <row r="801" ht="18" customHeight="1">
      <c r="A801" s="4" t="inlineStr">
        <is>
          <t>D006</t>
        </is>
      </c>
      <c r="B801" s="3" t="inlineStr">
        <is>
          <t>採購科</t>
        </is>
      </c>
      <c r="C801" s="4" t="n">
        <v>112</v>
      </c>
      <c r="D801" s="10">
        <f>J800</f>
        <v/>
      </c>
      <c r="E801" s="4">
        <f>SUMIFS('01_異動主檔'!$F:$F,'01_異動主檔'!$B:$B,112,'01_異動主檔'!$D:$D,B801,'01_異動主檔'!$E:$E,"移入")</f>
        <v/>
      </c>
      <c r="F801" s="4">
        <f>-SUMIFS('01_異動主檔'!$F:$F,'01_異動主檔'!$B:$B,112,'01_異動主檔'!$D:$D,B801,'01_異動主檔'!$E:$E,"移出")</f>
        <v/>
      </c>
      <c r="G801" s="4">
        <f>SUMIFS('01_異動主檔'!$F:$F,'01_異動主檔'!$B:$B,112,'01_異動主檔'!$D:$D,B801,'01_異動主檔'!$E:$E,"新增")</f>
        <v/>
      </c>
      <c r="H801" s="4">
        <f>-SUMIFS('01_異動主檔'!$F:$F,'01_異動主檔'!$B:$B,112,'01_異動主檔'!$D:$D,B801,'01_異動主檔'!$E:$E,"減列")</f>
        <v/>
      </c>
      <c r="I801" s="4">
        <f>-SUMIFS('01_異動主檔'!$F:$F,'01_異動主檔'!$B:$B,112,'01_異動主檔'!$D:$D,B801,'01_異動主檔'!$E:$E,"精簡")</f>
        <v/>
      </c>
      <c r="J801" s="10">
        <f>D801+E801+F801+G801+H801+I801</f>
        <v/>
      </c>
    </row>
    <row r="802" ht="18" customHeight="1">
      <c r="A802" s="6" t="inlineStr">
        <is>
          <t>D006</t>
        </is>
      </c>
      <c r="B802" s="5" t="inlineStr">
        <is>
          <t>採購科</t>
        </is>
      </c>
      <c r="C802" s="6" t="n">
        <v>113</v>
      </c>
      <c r="D802" s="10">
        <f>J801</f>
        <v/>
      </c>
      <c r="E802" s="4">
        <f>SUMIFS('01_異動主檔'!$F:$F,'01_異動主檔'!$B:$B,113,'01_異動主檔'!$D:$D,B802,'01_異動主檔'!$E:$E,"移入")</f>
        <v/>
      </c>
      <c r="F802" s="4">
        <f>-SUMIFS('01_異動主檔'!$F:$F,'01_異動主檔'!$B:$B,113,'01_異動主檔'!$D:$D,B802,'01_異動主檔'!$E:$E,"移出")</f>
        <v/>
      </c>
      <c r="G802" s="4">
        <f>SUMIFS('01_異動主檔'!$F:$F,'01_異動主檔'!$B:$B,113,'01_異動主檔'!$D:$D,B802,'01_異動主檔'!$E:$E,"新增")</f>
        <v/>
      </c>
      <c r="H802" s="4">
        <f>-SUMIFS('01_異動主檔'!$F:$F,'01_異動主檔'!$B:$B,113,'01_異動主檔'!$D:$D,B802,'01_異動主檔'!$E:$E,"減列")</f>
        <v/>
      </c>
      <c r="I802" s="4">
        <f>-SUMIFS('01_異動主檔'!$F:$F,'01_異動主檔'!$B:$B,113,'01_異動主檔'!$D:$D,B802,'01_異動主檔'!$E:$E,"精簡")</f>
        <v/>
      </c>
      <c r="J802" s="10">
        <f>D802+E802+F802+G802+H802+I802</f>
        <v/>
      </c>
    </row>
    <row r="803" ht="18" customHeight="1">
      <c r="A803" s="4" t="inlineStr">
        <is>
          <t>D006</t>
        </is>
      </c>
      <c r="B803" s="3" t="inlineStr">
        <is>
          <t>採購科</t>
        </is>
      </c>
      <c r="C803" s="4" t="n">
        <v>114</v>
      </c>
      <c r="D803" s="10">
        <f>J802</f>
        <v/>
      </c>
      <c r="E803" s="4">
        <f>SUMIFS('01_異動主檔'!$F:$F,'01_異動主檔'!$B:$B,114,'01_異動主檔'!$D:$D,B803,'01_異動主檔'!$E:$E,"移入")</f>
        <v/>
      </c>
      <c r="F803" s="4">
        <f>-SUMIFS('01_異動主檔'!$F:$F,'01_異動主檔'!$B:$B,114,'01_異動主檔'!$D:$D,B803,'01_異動主檔'!$E:$E,"移出")</f>
        <v/>
      </c>
      <c r="G803" s="4">
        <f>SUMIFS('01_異動主檔'!$F:$F,'01_異動主檔'!$B:$B,114,'01_異動主檔'!$D:$D,B803,'01_異動主檔'!$E:$E,"新增")</f>
        <v/>
      </c>
      <c r="H803" s="4">
        <f>-SUMIFS('01_異動主檔'!$F:$F,'01_異動主檔'!$B:$B,114,'01_異動主檔'!$D:$D,B803,'01_異動主檔'!$E:$E,"減列")</f>
        <v/>
      </c>
      <c r="I803" s="4">
        <f>-SUMIFS('01_異動主檔'!$F:$F,'01_異動主檔'!$B:$B,114,'01_異動主檔'!$D:$D,B803,'01_異動主檔'!$E:$E,"精簡")</f>
        <v/>
      </c>
      <c r="J803" s="10">
        <f>D803+E803+F803+G803+H803+I803</f>
        <v/>
      </c>
    </row>
    <row r="804" ht="18" customHeight="1">
      <c r="A804" s="6" t="inlineStr">
        <is>
          <t>D006</t>
        </is>
      </c>
      <c r="B804" s="5" t="inlineStr">
        <is>
          <t>採購科</t>
        </is>
      </c>
      <c r="C804" s="6" t="n">
        <v>115</v>
      </c>
      <c r="D804" s="10">
        <f>J803</f>
        <v/>
      </c>
      <c r="E804" s="4">
        <f>SUMIFS('01_異動主檔'!$F:$F,'01_異動主檔'!$B:$B,115,'01_異動主檔'!$D:$D,B804,'01_異動主檔'!$E:$E,"移入")</f>
        <v/>
      </c>
      <c r="F804" s="4">
        <f>-SUMIFS('01_異動主檔'!$F:$F,'01_異動主檔'!$B:$B,115,'01_異動主檔'!$D:$D,B804,'01_異動主檔'!$E:$E,"移出")</f>
        <v/>
      </c>
      <c r="G804" s="4">
        <f>SUMIFS('01_異動主檔'!$F:$F,'01_異動主檔'!$B:$B,115,'01_異動主檔'!$D:$D,B804,'01_異動主檔'!$E:$E,"新增")</f>
        <v/>
      </c>
      <c r="H804" s="4">
        <f>-SUMIFS('01_異動主檔'!$F:$F,'01_異動主檔'!$B:$B,115,'01_異動主檔'!$D:$D,B804,'01_異動主檔'!$E:$E,"減列")</f>
        <v/>
      </c>
      <c r="I804" s="4">
        <f>-SUMIFS('01_異動主檔'!$F:$F,'01_異動主檔'!$B:$B,115,'01_異動主檔'!$D:$D,B804,'01_異動主檔'!$E:$E,"精簡")</f>
        <v/>
      </c>
      <c r="J804" s="10">
        <f>D804+E804+F804+G804+H804+I804</f>
        <v/>
      </c>
    </row>
    <row r="805" ht="18" customHeight="1">
      <c r="A805" s="4" t="inlineStr">
        <is>
          <t>D006</t>
        </is>
      </c>
      <c r="B805" s="3" t="inlineStr">
        <is>
          <t>採購科</t>
        </is>
      </c>
      <c r="C805" s="4" t="n">
        <v>116</v>
      </c>
      <c r="D805" s="10">
        <f>J804</f>
        <v/>
      </c>
      <c r="E805" s="4">
        <f>SUMIFS('01_異動主檔'!$F:$F,'01_異動主檔'!$B:$B,116,'01_異動主檔'!$D:$D,B805,'01_異動主檔'!$E:$E,"移入")</f>
        <v/>
      </c>
      <c r="F805" s="4">
        <f>-SUMIFS('01_異動主檔'!$F:$F,'01_異動主檔'!$B:$B,116,'01_異動主檔'!$D:$D,B805,'01_異動主檔'!$E:$E,"移出")</f>
        <v/>
      </c>
      <c r="G805" s="4">
        <f>SUMIFS('01_異動主檔'!$F:$F,'01_異動主檔'!$B:$B,116,'01_異動主檔'!$D:$D,B805,'01_異動主檔'!$E:$E,"新增")</f>
        <v/>
      </c>
      <c r="H805" s="4">
        <f>-SUMIFS('01_異動主檔'!$F:$F,'01_異動主檔'!$B:$B,116,'01_異動主檔'!$D:$D,B805,'01_異動主檔'!$E:$E,"減列")</f>
        <v/>
      </c>
      <c r="I805" s="4">
        <f>-SUMIFS('01_異動主檔'!$F:$F,'01_異動主檔'!$B:$B,116,'01_異動主檔'!$D:$D,B805,'01_異動主檔'!$E:$E,"精簡")</f>
        <v/>
      </c>
      <c r="J805" s="10">
        <f>D805+E805+F805+G805+H805+I805</f>
        <v/>
      </c>
    </row>
    <row r="806" ht="18" customHeight="1">
      <c r="A806" s="6" t="inlineStr">
        <is>
          <t>D006</t>
        </is>
      </c>
      <c r="B806" s="5" t="inlineStr">
        <is>
          <t>採購科</t>
        </is>
      </c>
      <c r="C806" s="6" t="n">
        <v>117</v>
      </c>
      <c r="D806" s="10">
        <f>J805</f>
        <v/>
      </c>
      <c r="E806" s="4">
        <f>SUMIFS('01_異動主檔'!$F:$F,'01_異動主檔'!$B:$B,117,'01_異動主檔'!$D:$D,B806,'01_異動主檔'!$E:$E,"移入")</f>
        <v/>
      </c>
      <c r="F806" s="4">
        <f>-SUMIFS('01_異動主檔'!$F:$F,'01_異動主檔'!$B:$B,117,'01_異動主檔'!$D:$D,B806,'01_異動主檔'!$E:$E,"移出")</f>
        <v/>
      </c>
      <c r="G806" s="4">
        <f>SUMIFS('01_異動主檔'!$F:$F,'01_異動主檔'!$B:$B,117,'01_異動主檔'!$D:$D,B806,'01_異動主檔'!$E:$E,"新增")</f>
        <v/>
      </c>
      <c r="H806" s="4">
        <f>-SUMIFS('01_異動主檔'!$F:$F,'01_異動主檔'!$B:$B,117,'01_異動主檔'!$D:$D,B806,'01_異動主檔'!$E:$E,"減列")</f>
        <v/>
      </c>
      <c r="I806" s="4">
        <f>-SUMIFS('01_異動主檔'!$F:$F,'01_異動主檔'!$B:$B,117,'01_異動主檔'!$D:$D,B806,'01_異動主檔'!$E:$E,"精簡")</f>
        <v/>
      </c>
      <c r="J806" s="10">
        <f>D806+E806+F806+G806+H806+I806</f>
        <v/>
      </c>
    </row>
    <row r="807" ht="18" customHeight="1">
      <c r="A807" s="4" t="inlineStr">
        <is>
          <t>D006</t>
        </is>
      </c>
      <c r="B807" s="3" t="inlineStr">
        <is>
          <t>採購科</t>
        </is>
      </c>
      <c r="C807" s="4" t="n">
        <v>118</v>
      </c>
      <c r="D807" s="10">
        <f>J806</f>
        <v/>
      </c>
      <c r="E807" s="4">
        <f>SUMIFS('01_異動主檔'!$F:$F,'01_異動主檔'!$B:$B,118,'01_異動主檔'!$D:$D,B807,'01_異動主檔'!$E:$E,"移入")</f>
        <v/>
      </c>
      <c r="F807" s="4">
        <f>-SUMIFS('01_異動主檔'!$F:$F,'01_異動主檔'!$B:$B,118,'01_異動主檔'!$D:$D,B807,'01_異動主檔'!$E:$E,"移出")</f>
        <v/>
      </c>
      <c r="G807" s="4">
        <f>SUMIFS('01_異動主檔'!$F:$F,'01_異動主檔'!$B:$B,118,'01_異動主檔'!$D:$D,B807,'01_異動主檔'!$E:$E,"新增")</f>
        <v/>
      </c>
      <c r="H807" s="4">
        <f>-SUMIFS('01_異動主檔'!$F:$F,'01_異動主檔'!$B:$B,118,'01_異動主檔'!$D:$D,B807,'01_異動主檔'!$E:$E,"減列")</f>
        <v/>
      </c>
      <c r="I807" s="4">
        <f>-SUMIFS('01_異動主檔'!$F:$F,'01_異動主檔'!$B:$B,118,'01_異動主檔'!$D:$D,B807,'01_異動主檔'!$E:$E,"精簡")</f>
        <v/>
      </c>
      <c r="J807" s="10">
        <f>D807+E807+F807+G807+H807+I807</f>
        <v/>
      </c>
    </row>
    <row r="808" ht="18" customHeight="1">
      <c r="A808" s="6" t="inlineStr">
        <is>
          <t>D006</t>
        </is>
      </c>
      <c r="B808" s="5" t="inlineStr">
        <is>
          <t>採購科</t>
        </is>
      </c>
      <c r="C808" s="6" t="n">
        <v>119</v>
      </c>
      <c r="D808" s="10">
        <f>J807</f>
        <v/>
      </c>
      <c r="E808" s="4">
        <f>SUMIFS('01_異動主檔'!$F:$F,'01_異動主檔'!$B:$B,119,'01_異動主檔'!$D:$D,B808,'01_異動主檔'!$E:$E,"移入")</f>
        <v/>
      </c>
      <c r="F808" s="4">
        <f>-SUMIFS('01_異動主檔'!$F:$F,'01_異動主檔'!$B:$B,119,'01_異動主檔'!$D:$D,B808,'01_異動主檔'!$E:$E,"移出")</f>
        <v/>
      </c>
      <c r="G808" s="4">
        <f>SUMIFS('01_異動主檔'!$F:$F,'01_異動主檔'!$B:$B,119,'01_異動主檔'!$D:$D,B808,'01_異動主檔'!$E:$E,"新增")</f>
        <v/>
      </c>
      <c r="H808" s="4">
        <f>-SUMIFS('01_異動主檔'!$F:$F,'01_異動主檔'!$B:$B,119,'01_異動主檔'!$D:$D,B808,'01_異動主檔'!$E:$E,"減列")</f>
        <v/>
      </c>
      <c r="I808" s="4">
        <f>-SUMIFS('01_異動主檔'!$F:$F,'01_異動主檔'!$B:$B,119,'01_異動主檔'!$D:$D,B808,'01_異動主檔'!$E:$E,"精簡")</f>
        <v/>
      </c>
      <c r="J808" s="10">
        <f>D808+E808+F808+G808+H808+I808</f>
        <v/>
      </c>
    </row>
    <row r="809" ht="18" customHeight="1">
      <c r="A809" s="4" t="inlineStr">
        <is>
          <t>D006</t>
        </is>
      </c>
      <c r="B809" s="3" t="inlineStr">
        <is>
          <t>採購科</t>
        </is>
      </c>
      <c r="C809" s="4" t="n">
        <v>120</v>
      </c>
      <c r="D809" s="10">
        <f>J808</f>
        <v/>
      </c>
      <c r="E809" s="4">
        <f>SUMIFS('01_異動主檔'!$F:$F,'01_異動主檔'!$B:$B,120,'01_異動主檔'!$D:$D,B809,'01_異動主檔'!$E:$E,"移入")</f>
        <v/>
      </c>
      <c r="F809" s="4">
        <f>-SUMIFS('01_異動主檔'!$F:$F,'01_異動主檔'!$B:$B,120,'01_異動主檔'!$D:$D,B809,'01_異動主檔'!$E:$E,"移出")</f>
        <v/>
      </c>
      <c r="G809" s="4">
        <f>SUMIFS('01_異動主檔'!$F:$F,'01_異動主檔'!$B:$B,120,'01_異動主檔'!$D:$D,B809,'01_異動主檔'!$E:$E,"新增")</f>
        <v/>
      </c>
      <c r="H809" s="4">
        <f>-SUMIFS('01_異動主檔'!$F:$F,'01_異動主檔'!$B:$B,120,'01_異動主檔'!$D:$D,B809,'01_異動主檔'!$E:$E,"減列")</f>
        <v/>
      </c>
      <c r="I809" s="4">
        <f>-SUMIFS('01_異動主檔'!$F:$F,'01_異動主檔'!$B:$B,120,'01_異動主檔'!$D:$D,B809,'01_異動主檔'!$E:$E,"精簡")</f>
        <v/>
      </c>
      <c r="J809" s="10">
        <f>D809+E809+F809+G809+H809+I809</f>
        <v/>
      </c>
    </row>
    <row r="810" ht="18" customHeight="1">
      <c r="A810" s="6" t="inlineStr">
        <is>
          <t>D006</t>
        </is>
      </c>
      <c r="B810" s="5" t="inlineStr">
        <is>
          <t>採購科</t>
        </is>
      </c>
      <c r="C810" s="6" t="n">
        <v>121</v>
      </c>
      <c r="D810" s="10">
        <f>J809</f>
        <v/>
      </c>
      <c r="E810" s="4">
        <f>SUMIFS('01_異動主檔'!$F:$F,'01_異動主檔'!$B:$B,121,'01_異動主檔'!$D:$D,B810,'01_異動主檔'!$E:$E,"移入")</f>
        <v/>
      </c>
      <c r="F810" s="4">
        <f>-SUMIFS('01_異動主檔'!$F:$F,'01_異動主檔'!$B:$B,121,'01_異動主檔'!$D:$D,B810,'01_異動主檔'!$E:$E,"移出")</f>
        <v/>
      </c>
      <c r="G810" s="4">
        <f>SUMIFS('01_異動主檔'!$F:$F,'01_異動主檔'!$B:$B,121,'01_異動主檔'!$D:$D,B810,'01_異動主檔'!$E:$E,"新增")</f>
        <v/>
      </c>
      <c r="H810" s="4">
        <f>-SUMIFS('01_異動主檔'!$F:$F,'01_異動主檔'!$B:$B,121,'01_異動主檔'!$D:$D,B810,'01_異動主檔'!$E:$E,"減列")</f>
        <v/>
      </c>
      <c r="I810" s="4">
        <f>-SUMIFS('01_異動主檔'!$F:$F,'01_異動主檔'!$B:$B,121,'01_異動主檔'!$D:$D,B810,'01_異動主檔'!$E:$E,"精簡")</f>
        <v/>
      </c>
      <c r="J810" s="10">
        <f>D810+E810+F810+G810+H810+I810</f>
        <v/>
      </c>
    </row>
    <row r="811" ht="18" customHeight="1">
      <c r="A811" s="4" t="inlineStr">
        <is>
          <t>D006</t>
        </is>
      </c>
      <c r="B811" s="3" t="inlineStr">
        <is>
          <t>採購科</t>
        </is>
      </c>
      <c r="C811" s="4" t="n">
        <v>122</v>
      </c>
      <c r="D811" s="10">
        <f>J810</f>
        <v/>
      </c>
      <c r="E811" s="4">
        <f>SUMIFS('01_異動主檔'!$F:$F,'01_異動主檔'!$B:$B,122,'01_異動主檔'!$D:$D,B811,'01_異動主檔'!$E:$E,"移入")</f>
        <v/>
      </c>
      <c r="F811" s="4">
        <f>-SUMIFS('01_異動主檔'!$F:$F,'01_異動主檔'!$B:$B,122,'01_異動主檔'!$D:$D,B811,'01_異動主檔'!$E:$E,"移出")</f>
        <v/>
      </c>
      <c r="G811" s="4">
        <f>SUMIFS('01_異動主檔'!$F:$F,'01_異動主檔'!$B:$B,122,'01_異動主檔'!$D:$D,B811,'01_異動主檔'!$E:$E,"新增")</f>
        <v/>
      </c>
      <c r="H811" s="4">
        <f>-SUMIFS('01_異動主檔'!$F:$F,'01_異動主檔'!$B:$B,122,'01_異動主檔'!$D:$D,B811,'01_異動主檔'!$E:$E,"減列")</f>
        <v/>
      </c>
      <c r="I811" s="4">
        <f>-SUMIFS('01_異動主檔'!$F:$F,'01_異動主檔'!$B:$B,122,'01_異動主檔'!$D:$D,B811,'01_異動主檔'!$E:$E,"精簡")</f>
        <v/>
      </c>
      <c r="J811" s="10">
        <f>D811+E811+F811+G811+H811+I811</f>
        <v/>
      </c>
    </row>
    <row r="812" ht="18" customHeight="1">
      <c r="A812" s="6" t="inlineStr">
        <is>
          <t>D006</t>
        </is>
      </c>
      <c r="B812" s="5" t="inlineStr">
        <is>
          <t>採購科</t>
        </is>
      </c>
      <c r="C812" s="6" t="n">
        <v>123</v>
      </c>
      <c r="D812" s="10">
        <f>J811</f>
        <v/>
      </c>
      <c r="E812" s="4">
        <f>SUMIFS('01_異動主檔'!$F:$F,'01_異動主檔'!$B:$B,123,'01_異動主檔'!$D:$D,B812,'01_異動主檔'!$E:$E,"移入")</f>
        <v/>
      </c>
      <c r="F812" s="4">
        <f>-SUMIFS('01_異動主檔'!$F:$F,'01_異動主檔'!$B:$B,123,'01_異動主檔'!$D:$D,B812,'01_異動主檔'!$E:$E,"移出")</f>
        <v/>
      </c>
      <c r="G812" s="4">
        <f>SUMIFS('01_異動主檔'!$F:$F,'01_異動主檔'!$B:$B,123,'01_異動主檔'!$D:$D,B812,'01_異動主檔'!$E:$E,"新增")</f>
        <v/>
      </c>
      <c r="H812" s="4">
        <f>-SUMIFS('01_異動主檔'!$F:$F,'01_異動主檔'!$B:$B,123,'01_異動主檔'!$D:$D,B812,'01_異動主檔'!$E:$E,"減列")</f>
        <v/>
      </c>
      <c r="I812" s="4">
        <f>-SUMIFS('01_異動主檔'!$F:$F,'01_異動主檔'!$B:$B,123,'01_異動主檔'!$D:$D,B812,'01_異動主檔'!$E:$E,"精簡")</f>
        <v/>
      </c>
      <c r="J812" s="10">
        <f>D812+E812+F812+G812+H812+I812</f>
        <v/>
      </c>
    </row>
    <row r="813" ht="18" customHeight="1">
      <c r="A813" s="4" t="inlineStr">
        <is>
          <t>D006</t>
        </is>
      </c>
      <c r="B813" s="3" t="inlineStr">
        <is>
          <t>採購科</t>
        </is>
      </c>
      <c r="C813" s="4" t="n">
        <v>124</v>
      </c>
      <c r="D813" s="10">
        <f>J812</f>
        <v/>
      </c>
      <c r="E813" s="4">
        <f>SUMIFS('01_異動主檔'!$F:$F,'01_異動主檔'!$B:$B,124,'01_異動主檔'!$D:$D,B813,'01_異動主檔'!$E:$E,"移入")</f>
        <v/>
      </c>
      <c r="F813" s="4">
        <f>-SUMIFS('01_異動主檔'!$F:$F,'01_異動主檔'!$B:$B,124,'01_異動主檔'!$D:$D,B813,'01_異動主檔'!$E:$E,"移出")</f>
        <v/>
      </c>
      <c r="G813" s="4">
        <f>SUMIFS('01_異動主檔'!$F:$F,'01_異動主檔'!$B:$B,124,'01_異動主檔'!$D:$D,B813,'01_異動主檔'!$E:$E,"新增")</f>
        <v/>
      </c>
      <c r="H813" s="4">
        <f>-SUMIFS('01_異動主檔'!$F:$F,'01_異動主檔'!$B:$B,124,'01_異動主檔'!$D:$D,B813,'01_異動主檔'!$E:$E,"減列")</f>
        <v/>
      </c>
      <c r="I813" s="4">
        <f>-SUMIFS('01_異動主檔'!$F:$F,'01_異動主檔'!$B:$B,124,'01_異動主檔'!$D:$D,B813,'01_異動主檔'!$E:$E,"精簡")</f>
        <v/>
      </c>
      <c r="J813" s="10">
        <f>D813+E813+F813+G813+H813+I813</f>
        <v/>
      </c>
    </row>
    <row r="814" ht="18" customHeight="1">
      <c r="A814" s="6" t="inlineStr">
        <is>
          <t>D006</t>
        </is>
      </c>
      <c r="B814" s="5" t="inlineStr">
        <is>
          <t>採購科</t>
        </is>
      </c>
      <c r="C814" s="6" t="n">
        <v>125</v>
      </c>
      <c r="D814" s="10">
        <f>J813</f>
        <v/>
      </c>
      <c r="E814" s="4">
        <f>SUMIFS('01_異動主檔'!$F:$F,'01_異動主檔'!$B:$B,125,'01_異動主檔'!$D:$D,B814,'01_異動主檔'!$E:$E,"移入")</f>
        <v/>
      </c>
      <c r="F814" s="4">
        <f>-SUMIFS('01_異動主檔'!$F:$F,'01_異動主檔'!$B:$B,125,'01_異動主檔'!$D:$D,B814,'01_異動主檔'!$E:$E,"移出")</f>
        <v/>
      </c>
      <c r="G814" s="4">
        <f>SUMIFS('01_異動主檔'!$F:$F,'01_異動主檔'!$B:$B,125,'01_異動主檔'!$D:$D,B814,'01_異動主檔'!$E:$E,"新增")</f>
        <v/>
      </c>
      <c r="H814" s="4">
        <f>-SUMIFS('01_異動主檔'!$F:$F,'01_異動主檔'!$B:$B,125,'01_異動主檔'!$D:$D,B814,'01_異動主檔'!$E:$E,"減列")</f>
        <v/>
      </c>
      <c r="I814" s="4">
        <f>-SUMIFS('01_異動主檔'!$F:$F,'01_異動主檔'!$B:$B,125,'01_異動主檔'!$D:$D,B814,'01_異動主檔'!$E:$E,"精簡")</f>
        <v/>
      </c>
      <c r="J814" s="10">
        <f>D814+E814+F814+G814+H814+I814</f>
        <v/>
      </c>
    </row>
    <row r="815" ht="18" customHeight="1">
      <c r="A815" s="4" t="inlineStr">
        <is>
          <t>D007</t>
        </is>
      </c>
      <c r="B815" s="3" t="inlineStr">
        <is>
          <t>稽查科</t>
        </is>
      </c>
      <c r="C815" s="4" t="n">
        <v>99</v>
      </c>
      <c r="D815" s="10">
        <f>'02_年初員額設定'!C35</f>
        <v/>
      </c>
      <c r="E815" s="4">
        <f>SUMIFS('01_異動主檔'!$F:$F,'01_異動主檔'!$B:$B,99,'01_異動主檔'!$D:$D,B815,'01_異動主檔'!$E:$E,"移入")</f>
        <v/>
      </c>
      <c r="F815" s="4">
        <f>-SUMIFS('01_異動主檔'!$F:$F,'01_異動主檔'!$B:$B,99,'01_異動主檔'!$D:$D,B815,'01_異動主檔'!$E:$E,"移出")</f>
        <v/>
      </c>
      <c r="G815" s="4">
        <f>SUMIFS('01_異動主檔'!$F:$F,'01_異動主檔'!$B:$B,99,'01_異動主檔'!$D:$D,B815,'01_異動主檔'!$E:$E,"新增")</f>
        <v/>
      </c>
      <c r="H815" s="4">
        <f>-SUMIFS('01_異動主檔'!$F:$F,'01_異動主檔'!$B:$B,99,'01_異動主檔'!$D:$D,B815,'01_異動主檔'!$E:$E,"減列")</f>
        <v/>
      </c>
      <c r="I815" s="4">
        <f>-SUMIFS('01_異動主檔'!$F:$F,'01_異動主檔'!$B:$B,99,'01_異動主檔'!$D:$D,B815,'01_異動主檔'!$E:$E,"精簡")</f>
        <v/>
      </c>
      <c r="J815" s="10">
        <f>D815+E815+F815+G815+H815+I815</f>
        <v/>
      </c>
    </row>
    <row r="816" ht="18" customHeight="1">
      <c r="A816" s="6" t="inlineStr">
        <is>
          <t>D007</t>
        </is>
      </c>
      <c r="B816" s="5" t="inlineStr">
        <is>
          <t>稽查科</t>
        </is>
      </c>
      <c r="C816" s="6" t="n">
        <v>100</v>
      </c>
      <c r="D816" s="10">
        <f>J815</f>
        <v/>
      </c>
      <c r="E816" s="4">
        <f>SUMIFS('01_異動主檔'!$F:$F,'01_異動主檔'!$B:$B,100,'01_異動主檔'!$D:$D,B816,'01_異動主檔'!$E:$E,"移入")</f>
        <v/>
      </c>
      <c r="F816" s="4">
        <f>-SUMIFS('01_異動主檔'!$F:$F,'01_異動主檔'!$B:$B,100,'01_異動主檔'!$D:$D,B816,'01_異動主檔'!$E:$E,"移出")</f>
        <v/>
      </c>
      <c r="G816" s="4">
        <f>SUMIFS('01_異動主檔'!$F:$F,'01_異動主檔'!$B:$B,100,'01_異動主檔'!$D:$D,B816,'01_異動主檔'!$E:$E,"新增")</f>
        <v/>
      </c>
      <c r="H816" s="4">
        <f>-SUMIFS('01_異動主檔'!$F:$F,'01_異動主檔'!$B:$B,100,'01_異動主檔'!$D:$D,B816,'01_異動主檔'!$E:$E,"減列")</f>
        <v/>
      </c>
      <c r="I816" s="4">
        <f>-SUMIFS('01_異動主檔'!$F:$F,'01_異動主檔'!$B:$B,100,'01_異動主檔'!$D:$D,B816,'01_異動主檔'!$E:$E,"精簡")</f>
        <v/>
      </c>
      <c r="J816" s="10">
        <f>D816+E816+F816+G816+H816+I816</f>
        <v/>
      </c>
    </row>
    <row r="817" ht="18" customHeight="1">
      <c r="A817" s="4" t="inlineStr">
        <is>
          <t>D007</t>
        </is>
      </c>
      <c r="B817" s="3" t="inlineStr">
        <is>
          <t>稽查科</t>
        </is>
      </c>
      <c r="C817" s="4" t="n">
        <v>101</v>
      </c>
      <c r="D817" s="10">
        <f>J816</f>
        <v/>
      </c>
      <c r="E817" s="4">
        <f>SUMIFS('01_異動主檔'!$F:$F,'01_異動主檔'!$B:$B,101,'01_異動主檔'!$D:$D,B817,'01_異動主檔'!$E:$E,"移入")</f>
        <v/>
      </c>
      <c r="F817" s="4">
        <f>-SUMIFS('01_異動主檔'!$F:$F,'01_異動主檔'!$B:$B,101,'01_異動主檔'!$D:$D,B817,'01_異動主檔'!$E:$E,"移出")</f>
        <v/>
      </c>
      <c r="G817" s="4">
        <f>SUMIFS('01_異動主檔'!$F:$F,'01_異動主檔'!$B:$B,101,'01_異動主檔'!$D:$D,B817,'01_異動主檔'!$E:$E,"新增")</f>
        <v/>
      </c>
      <c r="H817" s="4">
        <f>-SUMIFS('01_異動主檔'!$F:$F,'01_異動主檔'!$B:$B,101,'01_異動主檔'!$D:$D,B817,'01_異動主檔'!$E:$E,"減列")</f>
        <v/>
      </c>
      <c r="I817" s="4">
        <f>-SUMIFS('01_異動主檔'!$F:$F,'01_異動主檔'!$B:$B,101,'01_異動主檔'!$D:$D,B817,'01_異動主檔'!$E:$E,"精簡")</f>
        <v/>
      </c>
      <c r="J817" s="10">
        <f>D817+E817+F817+G817+H817+I817</f>
        <v/>
      </c>
    </row>
    <row r="818" ht="18" customHeight="1">
      <c r="A818" s="6" t="inlineStr">
        <is>
          <t>D007</t>
        </is>
      </c>
      <c r="B818" s="5" t="inlineStr">
        <is>
          <t>稽查科</t>
        </is>
      </c>
      <c r="C818" s="6" t="n">
        <v>102</v>
      </c>
      <c r="D818" s="10">
        <f>J817</f>
        <v/>
      </c>
      <c r="E818" s="4">
        <f>SUMIFS('01_異動主檔'!$F:$F,'01_異動主檔'!$B:$B,102,'01_異動主檔'!$D:$D,B818,'01_異動主檔'!$E:$E,"移入")</f>
        <v/>
      </c>
      <c r="F818" s="4">
        <f>-SUMIFS('01_異動主檔'!$F:$F,'01_異動主檔'!$B:$B,102,'01_異動主檔'!$D:$D,B818,'01_異動主檔'!$E:$E,"移出")</f>
        <v/>
      </c>
      <c r="G818" s="4">
        <f>SUMIFS('01_異動主檔'!$F:$F,'01_異動主檔'!$B:$B,102,'01_異動主檔'!$D:$D,B818,'01_異動主檔'!$E:$E,"新增")</f>
        <v/>
      </c>
      <c r="H818" s="4">
        <f>-SUMIFS('01_異動主檔'!$F:$F,'01_異動主檔'!$B:$B,102,'01_異動主檔'!$D:$D,B818,'01_異動主檔'!$E:$E,"減列")</f>
        <v/>
      </c>
      <c r="I818" s="4">
        <f>-SUMIFS('01_異動主檔'!$F:$F,'01_異動主檔'!$B:$B,102,'01_異動主檔'!$D:$D,B818,'01_異動主檔'!$E:$E,"精簡")</f>
        <v/>
      </c>
      <c r="J818" s="10">
        <f>D818+E818+F818+G818+H818+I818</f>
        <v/>
      </c>
    </row>
    <row r="819" ht="18" customHeight="1">
      <c r="A819" s="4" t="inlineStr">
        <is>
          <t>D007</t>
        </is>
      </c>
      <c r="B819" s="3" t="inlineStr">
        <is>
          <t>稽查科</t>
        </is>
      </c>
      <c r="C819" s="4" t="n">
        <v>103</v>
      </c>
      <c r="D819" s="10">
        <f>J818</f>
        <v/>
      </c>
      <c r="E819" s="4">
        <f>SUMIFS('01_異動主檔'!$F:$F,'01_異動主檔'!$B:$B,103,'01_異動主檔'!$D:$D,B819,'01_異動主檔'!$E:$E,"移入")</f>
        <v/>
      </c>
      <c r="F819" s="4">
        <f>-SUMIFS('01_異動主檔'!$F:$F,'01_異動主檔'!$B:$B,103,'01_異動主檔'!$D:$D,B819,'01_異動主檔'!$E:$E,"移出")</f>
        <v/>
      </c>
      <c r="G819" s="4">
        <f>SUMIFS('01_異動主檔'!$F:$F,'01_異動主檔'!$B:$B,103,'01_異動主檔'!$D:$D,B819,'01_異動主檔'!$E:$E,"新增")</f>
        <v/>
      </c>
      <c r="H819" s="4">
        <f>-SUMIFS('01_異動主檔'!$F:$F,'01_異動主檔'!$B:$B,103,'01_異動主檔'!$D:$D,B819,'01_異動主檔'!$E:$E,"減列")</f>
        <v/>
      </c>
      <c r="I819" s="4">
        <f>-SUMIFS('01_異動主檔'!$F:$F,'01_異動主檔'!$B:$B,103,'01_異動主檔'!$D:$D,B819,'01_異動主檔'!$E:$E,"精簡")</f>
        <v/>
      </c>
      <c r="J819" s="10">
        <f>D819+E819+F819+G819+H819+I819</f>
        <v/>
      </c>
    </row>
    <row r="820" ht="18" customHeight="1">
      <c r="A820" s="6" t="inlineStr">
        <is>
          <t>D007</t>
        </is>
      </c>
      <c r="B820" s="5" t="inlineStr">
        <is>
          <t>稽查科</t>
        </is>
      </c>
      <c r="C820" s="6" t="n">
        <v>104</v>
      </c>
      <c r="D820" s="10">
        <f>J819</f>
        <v/>
      </c>
      <c r="E820" s="4">
        <f>SUMIFS('01_異動主檔'!$F:$F,'01_異動主檔'!$B:$B,104,'01_異動主檔'!$D:$D,B820,'01_異動主檔'!$E:$E,"移入")</f>
        <v/>
      </c>
      <c r="F820" s="4">
        <f>-SUMIFS('01_異動主檔'!$F:$F,'01_異動主檔'!$B:$B,104,'01_異動主檔'!$D:$D,B820,'01_異動主檔'!$E:$E,"移出")</f>
        <v/>
      </c>
      <c r="G820" s="4">
        <f>SUMIFS('01_異動主檔'!$F:$F,'01_異動主檔'!$B:$B,104,'01_異動主檔'!$D:$D,B820,'01_異動主檔'!$E:$E,"新增")</f>
        <v/>
      </c>
      <c r="H820" s="4">
        <f>-SUMIFS('01_異動主檔'!$F:$F,'01_異動主檔'!$B:$B,104,'01_異動主檔'!$D:$D,B820,'01_異動主檔'!$E:$E,"減列")</f>
        <v/>
      </c>
      <c r="I820" s="4">
        <f>-SUMIFS('01_異動主檔'!$F:$F,'01_異動主檔'!$B:$B,104,'01_異動主檔'!$D:$D,B820,'01_異動主檔'!$E:$E,"精簡")</f>
        <v/>
      </c>
      <c r="J820" s="10">
        <f>D820+E820+F820+G820+H820+I820</f>
        <v/>
      </c>
    </row>
    <row r="821" ht="18" customHeight="1">
      <c r="A821" s="4" t="inlineStr">
        <is>
          <t>D007</t>
        </is>
      </c>
      <c r="B821" s="3" t="inlineStr">
        <is>
          <t>稽查科</t>
        </is>
      </c>
      <c r="C821" s="4" t="n">
        <v>105</v>
      </c>
      <c r="D821" s="10">
        <f>J820</f>
        <v/>
      </c>
      <c r="E821" s="4">
        <f>SUMIFS('01_異動主檔'!$F:$F,'01_異動主檔'!$B:$B,105,'01_異動主檔'!$D:$D,B821,'01_異動主檔'!$E:$E,"移入")</f>
        <v/>
      </c>
      <c r="F821" s="4">
        <f>-SUMIFS('01_異動主檔'!$F:$F,'01_異動主檔'!$B:$B,105,'01_異動主檔'!$D:$D,B821,'01_異動主檔'!$E:$E,"移出")</f>
        <v/>
      </c>
      <c r="G821" s="4">
        <f>SUMIFS('01_異動主檔'!$F:$F,'01_異動主檔'!$B:$B,105,'01_異動主檔'!$D:$D,B821,'01_異動主檔'!$E:$E,"新增")</f>
        <v/>
      </c>
      <c r="H821" s="4">
        <f>-SUMIFS('01_異動主檔'!$F:$F,'01_異動主檔'!$B:$B,105,'01_異動主檔'!$D:$D,B821,'01_異動主檔'!$E:$E,"減列")</f>
        <v/>
      </c>
      <c r="I821" s="4">
        <f>-SUMIFS('01_異動主檔'!$F:$F,'01_異動主檔'!$B:$B,105,'01_異動主檔'!$D:$D,B821,'01_異動主檔'!$E:$E,"精簡")</f>
        <v/>
      </c>
      <c r="J821" s="10">
        <f>D821+E821+F821+G821+H821+I821</f>
        <v/>
      </c>
    </row>
    <row r="822" ht="18" customHeight="1">
      <c r="A822" s="6" t="inlineStr">
        <is>
          <t>D007</t>
        </is>
      </c>
      <c r="B822" s="5" t="inlineStr">
        <is>
          <t>稽查科</t>
        </is>
      </c>
      <c r="C822" s="6" t="n">
        <v>106</v>
      </c>
      <c r="D822" s="10">
        <f>J821</f>
        <v/>
      </c>
      <c r="E822" s="4">
        <f>SUMIFS('01_異動主檔'!$F:$F,'01_異動主檔'!$B:$B,106,'01_異動主檔'!$D:$D,B822,'01_異動主檔'!$E:$E,"移入")</f>
        <v/>
      </c>
      <c r="F822" s="4">
        <f>-SUMIFS('01_異動主檔'!$F:$F,'01_異動主檔'!$B:$B,106,'01_異動主檔'!$D:$D,B822,'01_異動主檔'!$E:$E,"移出")</f>
        <v/>
      </c>
      <c r="G822" s="4">
        <f>SUMIFS('01_異動主檔'!$F:$F,'01_異動主檔'!$B:$B,106,'01_異動主檔'!$D:$D,B822,'01_異動主檔'!$E:$E,"新增")</f>
        <v/>
      </c>
      <c r="H822" s="4">
        <f>-SUMIFS('01_異動主檔'!$F:$F,'01_異動主檔'!$B:$B,106,'01_異動主檔'!$D:$D,B822,'01_異動主檔'!$E:$E,"減列")</f>
        <v/>
      </c>
      <c r="I822" s="4">
        <f>-SUMIFS('01_異動主檔'!$F:$F,'01_異動主檔'!$B:$B,106,'01_異動主檔'!$D:$D,B822,'01_異動主檔'!$E:$E,"精簡")</f>
        <v/>
      </c>
      <c r="J822" s="10">
        <f>D822+E822+F822+G822+H822+I822</f>
        <v/>
      </c>
    </row>
    <row r="823" ht="18" customHeight="1">
      <c r="A823" s="4" t="inlineStr">
        <is>
          <t>D007</t>
        </is>
      </c>
      <c r="B823" s="3" t="inlineStr">
        <is>
          <t>稽查科</t>
        </is>
      </c>
      <c r="C823" s="4" t="n">
        <v>107</v>
      </c>
      <c r="D823" s="10">
        <f>J822</f>
        <v/>
      </c>
      <c r="E823" s="4">
        <f>SUMIFS('01_異動主檔'!$F:$F,'01_異動主檔'!$B:$B,107,'01_異動主檔'!$D:$D,B823,'01_異動主檔'!$E:$E,"移入")</f>
        <v/>
      </c>
      <c r="F823" s="4">
        <f>-SUMIFS('01_異動主檔'!$F:$F,'01_異動主檔'!$B:$B,107,'01_異動主檔'!$D:$D,B823,'01_異動主檔'!$E:$E,"移出")</f>
        <v/>
      </c>
      <c r="G823" s="4">
        <f>SUMIFS('01_異動主檔'!$F:$F,'01_異動主檔'!$B:$B,107,'01_異動主檔'!$D:$D,B823,'01_異動主檔'!$E:$E,"新增")</f>
        <v/>
      </c>
      <c r="H823" s="4">
        <f>-SUMIFS('01_異動主檔'!$F:$F,'01_異動主檔'!$B:$B,107,'01_異動主檔'!$D:$D,B823,'01_異動主檔'!$E:$E,"減列")</f>
        <v/>
      </c>
      <c r="I823" s="4">
        <f>-SUMIFS('01_異動主檔'!$F:$F,'01_異動主檔'!$B:$B,107,'01_異動主檔'!$D:$D,B823,'01_異動主檔'!$E:$E,"精簡")</f>
        <v/>
      </c>
      <c r="J823" s="10">
        <f>D823+E823+F823+G823+H823+I823</f>
        <v/>
      </c>
    </row>
    <row r="824" ht="18" customHeight="1">
      <c r="A824" s="6" t="inlineStr">
        <is>
          <t>D007</t>
        </is>
      </c>
      <c r="B824" s="5" t="inlineStr">
        <is>
          <t>稽查科</t>
        </is>
      </c>
      <c r="C824" s="6" t="n">
        <v>108</v>
      </c>
      <c r="D824" s="10">
        <f>J823</f>
        <v/>
      </c>
      <c r="E824" s="4">
        <f>SUMIFS('01_異動主檔'!$F:$F,'01_異動主檔'!$B:$B,108,'01_異動主檔'!$D:$D,B824,'01_異動主檔'!$E:$E,"移入")</f>
        <v/>
      </c>
      <c r="F824" s="4">
        <f>-SUMIFS('01_異動主檔'!$F:$F,'01_異動主檔'!$B:$B,108,'01_異動主檔'!$D:$D,B824,'01_異動主檔'!$E:$E,"移出")</f>
        <v/>
      </c>
      <c r="G824" s="4">
        <f>SUMIFS('01_異動主檔'!$F:$F,'01_異動主檔'!$B:$B,108,'01_異動主檔'!$D:$D,B824,'01_異動主檔'!$E:$E,"新增")</f>
        <v/>
      </c>
      <c r="H824" s="4">
        <f>-SUMIFS('01_異動主檔'!$F:$F,'01_異動主檔'!$B:$B,108,'01_異動主檔'!$D:$D,B824,'01_異動主檔'!$E:$E,"減列")</f>
        <v/>
      </c>
      <c r="I824" s="4">
        <f>-SUMIFS('01_異動主檔'!$F:$F,'01_異動主檔'!$B:$B,108,'01_異動主檔'!$D:$D,B824,'01_異動主檔'!$E:$E,"精簡")</f>
        <v/>
      </c>
      <c r="J824" s="10">
        <f>D824+E824+F824+G824+H824+I824</f>
        <v/>
      </c>
    </row>
    <row r="825" ht="18" customHeight="1">
      <c r="A825" s="4" t="inlineStr">
        <is>
          <t>D007</t>
        </is>
      </c>
      <c r="B825" s="3" t="inlineStr">
        <is>
          <t>稽查科</t>
        </is>
      </c>
      <c r="C825" s="4" t="n">
        <v>109</v>
      </c>
      <c r="D825" s="10">
        <f>J824</f>
        <v/>
      </c>
      <c r="E825" s="4">
        <f>SUMIFS('01_異動主檔'!$F:$F,'01_異動主檔'!$B:$B,109,'01_異動主檔'!$D:$D,B825,'01_異動主檔'!$E:$E,"移入")</f>
        <v/>
      </c>
      <c r="F825" s="4">
        <f>-SUMIFS('01_異動主檔'!$F:$F,'01_異動主檔'!$B:$B,109,'01_異動主檔'!$D:$D,B825,'01_異動主檔'!$E:$E,"移出")</f>
        <v/>
      </c>
      <c r="G825" s="4">
        <f>SUMIFS('01_異動主檔'!$F:$F,'01_異動主檔'!$B:$B,109,'01_異動主檔'!$D:$D,B825,'01_異動主檔'!$E:$E,"新增")</f>
        <v/>
      </c>
      <c r="H825" s="4">
        <f>-SUMIFS('01_異動主檔'!$F:$F,'01_異動主檔'!$B:$B,109,'01_異動主檔'!$D:$D,B825,'01_異動主檔'!$E:$E,"減列")</f>
        <v/>
      </c>
      <c r="I825" s="4">
        <f>-SUMIFS('01_異動主檔'!$F:$F,'01_異動主檔'!$B:$B,109,'01_異動主檔'!$D:$D,B825,'01_異動主檔'!$E:$E,"精簡")</f>
        <v/>
      </c>
      <c r="J825" s="10">
        <f>D825+E825+F825+G825+H825+I825</f>
        <v/>
      </c>
    </row>
    <row r="826" ht="18" customHeight="1">
      <c r="A826" s="6" t="inlineStr">
        <is>
          <t>D007</t>
        </is>
      </c>
      <c r="B826" s="5" t="inlineStr">
        <is>
          <t>稽查科</t>
        </is>
      </c>
      <c r="C826" s="6" t="n">
        <v>110</v>
      </c>
      <c r="D826" s="10">
        <f>J825</f>
        <v/>
      </c>
      <c r="E826" s="4">
        <f>SUMIFS('01_異動主檔'!$F:$F,'01_異動主檔'!$B:$B,110,'01_異動主檔'!$D:$D,B826,'01_異動主檔'!$E:$E,"移入")</f>
        <v/>
      </c>
      <c r="F826" s="4">
        <f>-SUMIFS('01_異動主檔'!$F:$F,'01_異動主檔'!$B:$B,110,'01_異動主檔'!$D:$D,B826,'01_異動主檔'!$E:$E,"移出")</f>
        <v/>
      </c>
      <c r="G826" s="4">
        <f>SUMIFS('01_異動主檔'!$F:$F,'01_異動主檔'!$B:$B,110,'01_異動主檔'!$D:$D,B826,'01_異動主檔'!$E:$E,"新增")</f>
        <v/>
      </c>
      <c r="H826" s="4">
        <f>-SUMIFS('01_異動主檔'!$F:$F,'01_異動主檔'!$B:$B,110,'01_異動主檔'!$D:$D,B826,'01_異動主檔'!$E:$E,"減列")</f>
        <v/>
      </c>
      <c r="I826" s="4">
        <f>-SUMIFS('01_異動主檔'!$F:$F,'01_異動主檔'!$B:$B,110,'01_異動主檔'!$D:$D,B826,'01_異動主檔'!$E:$E,"精簡")</f>
        <v/>
      </c>
      <c r="J826" s="10">
        <f>D826+E826+F826+G826+H826+I826</f>
        <v/>
      </c>
    </row>
    <row r="827" ht="18" customHeight="1">
      <c r="A827" s="4" t="inlineStr">
        <is>
          <t>D007</t>
        </is>
      </c>
      <c r="B827" s="3" t="inlineStr">
        <is>
          <t>稽查科</t>
        </is>
      </c>
      <c r="C827" s="4" t="n">
        <v>111</v>
      </c>
      <c r="D827" s="10">
        <f>J826</f>
        <v/>
      </c>
      <c r="E827" s="4">
        <f>SUMIFS('01_異動主檔'!$F:$F,'01_異動主檔'!$B:$B,111,'01_異動主檔'!$D:$D,B827,'01_異動主檔'!$E:$E,"移入")</f>
        <v/>
      </c>
      <c r="F827" s="4">
        <f>-SUMIFS('01_異動主檔'!$F:$F,'01_異動主檔'!$B:$B,111,'01_異動主檔'!$D:$D,B827,'01_異動主檔'!$E:$E,"移出")</f>
        <v/>
      </c>
      <c r="G827" s="4">
        <f>SUMIFS('01_異動主檔'!$F:$F,'01_異動主檔'!$B:$B,111,'01_異動主檔'!$D:$D,B827,'01_異動主檔'!$E:$E,"新增")</f>
        <v/>
      </c>
      <c r="H827" s="4">
        <f>-SUMIFS('01_異動主檔'!$F:$F,'01_異動主檔'!$B:$B,111,'01_異動主檔'!$D:$D,B827,'01_異動主檔'!$E:$E,"減列")</f>
        <v/>
      </c>
      <c r="I827" s="4">
        <f>-SUMIFS('01_異動主檔'!$F:$F,'01_異動主檔'!$B:$B,111,'01_異動主檔'!$D:$D,B827,'01_異動主檔'!$E:$E,"精簡")</f>
        <v/>
      </c>
      <c r="J827" s="10">
        <f>D827+E827+F827+G827+H827+I827</f>
        <v/>
      </c>
    </row>
    <row r="828" ht="18" customHeight="1">
      <c r="A828" s="6" t="inlineStr">
        <is>
          <t>D007</t>
        </is>
      </c>
      <c r="B828" s="5" t="inlineStr">
        <is>
          <t>稽查科</t>
        </is>
      </c>
      <c r="C828" s="6" t="n">
        <v>112</v>
      </c>
      <c r="D828" s="10">
        <f>J827</f>
        <v/>
      </c>
      <c r="E828" s="4">
        <f>SUMIFS('01_異動主檔'!$F:$F,'01_異動主檔'!$B:$B,112,'01_異動主檔'!$D:$D,B828,'01_異動主檔'!$E:$E,"移入")</f>
        <v/>
      </c>
      <c r="F828" s="4">
        <f>-SUMIFS('01_異動主檔'!$F:$F,'01_異動主檔'!$B:$B,112,'01_異動主檔'!$D:$D,B828,'01_異動主檔'!$E:$E,"移出")</f>
        <v/>
      </c>
      <c r="G828" s="4">
        <f>SUMIFS('01_異動主檔'!$F:$F,'01_異動主檔'!$B:$B,112,'01_異動主檔'!$D:$D,B828,'01_異動主檔'!$E:$E,"新增")</f>
        <v/>
      </c>
      <c r="H828" s="4">
        <f>-SUMIFS('01_異動主檔'!$F:$F,'01_異動主檔'!$B:$B,112,'01_異動主檔'!$D:$D,B828,'01_異動主檔'!$E:$E,"減列")</f>
        <v/>
      </c>
      <c r="I828" s="4">
        <f>-SUMIFS('01_異動主檔'!$F:$F,'01_異動主檔'!$B:$B,112,'01_異動主檔'!$D:$D,B828,'01_異動主檔'!$E:$E,"精簡")</f>
        <v/>
      </c>
      <c r="J828" s="10">
        <f>D828+E828+F828+G828+H828+I828</f>
        <v/>
      </c>
    </row>
    <row r="829" ht="18" customHeight="1">
      <c r="A829" s="4" t="inlineStr">
        <is>
          <t>D007</t>
        </is>
      </c>
      <c r="B829" s="3" t="inlineStr">
        <is>
          <t>稽查科</t>
        </is>
      </c>
      <c r="C829" s="4" t="n">
        <v>113</v>
      </c>
      <c r="D829" s="10">
        <f>J828</f>
        <v/>
      </c>
      <c r="E829" s="4">
        <f>SUMIFS('01_異動主檔'!$F:$F,'01_異動主檔'!$B:$B,113,'01_異動主檔'!$D:$D,B829,'01_異動主檔'!$E:$E,"移入")</f>
        <v/>
      </c>
      <c r="F829" s="4">
        <f>-SUMIFS('01_異動主檔'!$F:$F,'01_異動主檔'!$B:$B,113,'01_異動主檔'!$D:$D,B829,'01_異動主檔'!$E:$E,"移出")</f>
        <v/>
      </c>
      <c r="G829" s="4">
        <f>SUMIFS('01_異動主檔'!$F:$F,'01_異動主檔'!$B:$B,113,'01_異動主檔'!$D:$D,B829,'01_異動主檔'!$E:$E,"新增")</f>
        <v/>
      </c>
      <c r="H829" s="4">
        <f>-SUMIFS('01_異動主檔'!$F:$F,'01_異動主檔'!$B:$B,113,'01_異動主檔'!$D:$D,B829,'01_異動主檔'!$E:$E,"減列")</f>
        <v/>
      </c>
      <c r="I829" s="4">
        <f>-SUMIFS('01_異動主檔'!$F:$F,'01_異動主檔'!$B:$B,113,'01_異動主檔'!$D:$D,B829,'01_異動主檔'!$E:$E,"精簡")</f>
        <v/>
      </c>
      <c r="J829" s="10">
        <f>D829+E829+F829+G829+H829+I829</f>
        <v/>
      </c>
    </row>
    <row r="830" ht="18" customHeight="1">
      <c r="A830" s="6" t="inlineStr">
        <is>
          <t>D007</t>
        </is>
      </c>
      <c r="B830" s="5" t="inlineStr">
        <is>
          <t>稽查科</t>
        </is>
      </c>
      <c r="C830" s="6" t="n">
        <v>114</v>
      </c>
      <c r="D830" s="10">
        <f>J829</f>
        <v/>
      </c>
      <c r="E830" s="4">
        <f>SUMIFS('01_異動主檔'!$F:$F,'01_異動主檔'!$B:$B,114,'01_異動主檔'!$D:$D,B830,'01_異動主檔'!$E:$E,"移入")</f>
        <v/>
      </c>
      <c r="F830" s="4">
        <f>-SUMIFS('01_異動主檔'!$F:$F,'01_異動主檔'!$B:$B,114,'01_異動主檔'!$D:$D,B830,'01_異動主檔'!$E:$E,"移出")</f>
        <v/>
      </c>
      <c r="G830" s="4">
        <f>SUMIFS('01_異動主檔'!$F:$F,'01_異動主檔'!$B:$B,114,'01_異動主檔'!$D:$D,B830,'01_異動主檔'!$E:$E,"新增")</f>
        <v/>
      </c>
      <c r="H830" s="4">
        <f>-SUMIFS('01_異動主檔'!$F:$F,'01_異動主檔'!$B:$B,114,'01_異動主檔'!$D:$D,B830,'01_異動主檔'!$E:$E,"減列")</f>
        <v/>
      </c>
      <c r="I830" s="4">
        <f>-SUMIFS('01_異動主檔'!$F:$F,'01_異動主檔'!$B:$B,114,'01_異動主檔'!$D:$D,B830,'01_異動主檔'!$E:$E,"精簡")</f>
        <v/>
      </c>
      <c r="J830" s="10">
        <f>D830+E830+F830+G830+H830+I830</f>
        <v/>
      </c>
    </row>
    <row r="831" ht="18" customHeight="1">
      <c r="A831" s="4" t="inlineStr">
        <is>
          <t>D007</t>
        </is>
      </c>
      <c r="B831" s="3" t="inlineStr">
        <is>
          <t>稽查科</t>
        </is>
      </c>
      <c r="C831" s="4" t="n">
        <v>115</v>
      </c>
      <c r="D831" s="10">
        <f>J830</f>
        <v/>
      </c>
      <c r="E831" s="4">
        <f>SUMIFS('01_異動主檔'!$F:$F,'01_異動主檔'!$B:$B,115,'01_異動主檔'!$D:$D,B831,'01_異動主檔'!$E:$E,"移入")</f>
        <v/>
      </c>
      <c r="F831" s="4">
        <f>-SUMIFS('01_異動主檔'!$F:$F,'01_異動主檔'!$B:$B,115,'01_異動主檔'!$D:$D,B831,'01_異動主檔'!$E:$E,"移出")</f>
        <v/>
      </c>
      <c r="G831" s="4">
        <f>SUMIFS('01_異動主檔'!$F:$F,'01_異動主檔'!$B:$B,115,'01_異動主檔'!$D:$D,B831,'01_異動主檔'!$E:$E,"新增")</f>
        <v/>
      </c>
      <c r="H831" s="4">
        <f>-SUMIFS('01_異動主檔'!$F:$F,'01_異動主檔'!$B:$B,115,'01_異動主檔'!$D:$D,B831,'01_異動主檔'!$E:$E,"減列")</f>
        <v/>
      </c>
      <c r="I831" s="4">
        <f>-SUMIFS('01_異動主檔'!$F:$F,'01_異動主檔'!$B:$B,115,'01_異動主檔'!$D:$D,B831,'01_異動主檔'!$E:$E,"精簡")</f>
        <v/>
      </c>
      <c r="J831" s="10">
        <f>D831+E831+F831+G831+H831+I831</f>
        <v/>
      </c>
    </row>
    <row r="832" ht="18" customHeight="1">
      <c r="A832" s="6" t="inlineStr">
        <is>
          <t>D007</t>
        </is>
      </c>
      <c r="B832" s="5" t="inlineStr">
        <is>
          <t>稽查科</t>
        </is>
      </c>
      <c r="C832" s="6" t="n">
        <v>116</v>
      </c>
      <c r="D832" s="10">
        <f>J831</f>
        <v/>
      </c>
      <c r="E832" s="4">
        <f>SUMIFS('01_異動主檔'!$F:$F,'01_異動主檔'!$B:$B,116,'01_異動主檔'!$D:$D,B832,'01_異動主檔'!$E:$E,"移入")</f>
        <v/>
      </c>
      <c r="F832" s="4">
        <f>-SUMIFS('01_異動主檔'!$F:$F,'01_異動主檔'!$B:$B,116,'01_異動主檔'!$D:$D,B832,'01_異動主檔'!$E:$E,"移出")</f>
        <v/>
      </c>
      <c r="G832" s="4">
        <f>SUMIFS('01_異動主檔'!$F:$F,'01_異動主檔'!$B:$B,116,'01_異動主檔'!$D:$D,B832,'01_異動主檔'!$E:$E,"新增")</f>
        <v/>
      </c>
      <c r="H832" s="4">
        <f>-SUMIFS('01_異動主檔'!$F:$F,'01_異動主檔'!$B:$B,116,'01_異動主檔'!$D:$D,B832,'01_異動主檔'!$E:$E,"減列")</f>
        <v/>
      </c>
      <c r="I832" s="4">
        <f>-SUMIFS('01_異動主檔'!$F:$F,'01_異動主檔'!$B:$B,116,'01_異動主檔'!$D:$D,B832,'01_異動主檔'!$E:$E,"精簡")</f>
        <v/>
      </c>
      <c r="J832" s="10">
        <f>D832+E832+F832+G832+H832+I832</f>
        <v/>
      </c>
    </row>
    <row r="833" ht="18" customHeight="1">
      <c r="A833" s="4" t="inlineStr">
        <is>
          <t>D007</t>
        </is>
      </c>
      <c r="B833" s="3" t="inlineStr">
        <is>
          <t>稽查科</t>
        </is>
      </c>
      <c r="C833" s="4" t="n">
        <v>117</v>
      </c>
      <c r="D833" s="10">
        <f>J832</f>
        <v/>
      </c>
      <c r="E833" s="4">
        <f>SUMIFS('01_異動主檔'!$F:$F,'01_異動主檔'!$B:$B,117,'01_異動主檔'!$D:$D,B833,'01_異動主檔'!$E:$E,"移入")</f>
        <v/>
      </c>
      <c r="F833" s="4">
        <f>-SUMIFS('01_異動主檔'!$F:$F,'01_異動主檔'!$B:$B,117,'01_異動主檔'!$D:$D,B833,'01_異動主檔'!$E:$E,"移出")</f>
        <v/>
      </c>
      <c r="G833" s="4">
        <f>SUMIFS('01_異動主檔'!$F:$F,'01_異動主檔'!$B:$B,117,'01_異動主檔'!$D:$D,B833,'01_異動主檔'!$E:$E,"新增")</f>
        <v/>
      </c>
      <c r="H833" s="4">
        <f>-SUMIFS('01_異動主檔'!$F:$F,'01_異動主檔'!$B:$B,117,'01_異動主檔'!$D:$D,B833,'01_異動主檔'!$E:$E,"減列")</f>
        <v/>
      </c>
      <c r="I833" s="4">
        <f>-SUMIFS('01_異動主檔'!$F:$F,'01_異動主檔'!$B:$B,117,'01_異動主檔'!$D:$D,B833,'01_異動主檔'!$E:$E,"精簡")</f>
        <v/>
      </c>
      <c r="J833" s="10">
        <f>D833+E833+F833+G833+H833+I833</f>
        <v/>
      </c>
    </row>
    <row r="834" ht="18" customHeight="1">
      <c r="A834" s="6" t="inlineStr">
        <is>
          <t>D007</t>
        </is>
      </c>
      <c r="B834" s="5" t="inlineStr">
        <is>
          <t>稽查科</t>
        </is>
      </c>
      <c r="C834" s="6" t="n">
        <v>118</v>
      </c>
      <c r="D834" s="10">
        <f>J833</f>
        <v/>
      </c>
      <c r="E834" s="4">
        <f>SUMIFS('01_異動主檔'!$F:$F,'01_異動主檔'!$B:$B,118,'01_異動主檔'!$D:$D,B834,'01_異動主檔'!$E:$E,"移入")</f>
        <v/>
      </c>
      <c r="F834" s="4">
        <f>-SUMIFS('01_異動主檔'!$F:$F,'01_異動主檔'!$B:$B,118,'01_異動主檔'!$D:$D,B834,'01_異動主檔'!$E:$E,"移出")</f>
        <v/>
      </c>
      <c r="G834" s="4">
        <f>SUMIFS('01_異動主檔'!$F:$F,'01_異動主檔'!$B:$B,118,'01_異動主檔'!$D:$D,B834,'01_異動主檔'!$E:$E,"新增")</f>
        <v/>
      </c>
      <c r="H834" s="4">
        <f>-SUMIFS('01_異動主檔'!$F:$F,'01_異動主檔'!$B:$B,118,'01_異動主檔'!$D:$D,B834,'01_異動主檔'!$E:$E,"減列")</f>
        <v/>
      </c>
      <c r="I834" s="4">
        <f>-SUMIFS('01_異動主檔'!$F:$F,'01_異動主檔'!$B:$B,118,'01_異動主檔'!$D:$D,B834,'01_異動主檔'!$E:$E,"精簡")</f>
        <v/>
      </c>
      <c r="J834" s="10">
        <f>D834+E834+F834+G834+H834+I834</f>
        <v/>
      </c>
    </row>
    <row r="835" ht="18" customHeight="1">
      <c r="A835" s="4" t="inlineStr">
        <is>
          <t>D007</t>
        </is>
      </c>
      <c r="B835" s="3" t="inlineStr">
        <is>
          <t>稽查科</t>
        </is>
      </c>
      <c r="C835" s="4" t="n">
        <v>119</v>
      </c>
      <c r="D835" s="10">
        <f>J834</f>
        <v/>
      </c>
      <c r="E835" s="4">
        <f>SUMIFS('01_異動主檔'!$F:$F,'01_異動主檔'!$B:$B,119,'01_異動主檔'!$D:$D,B835,'01_異動主檔'!$E:$E,"移入")</f>
        <v/>
      </c>
      <c r="F835" s="4">
        <f>-SUMIFS('01_異動主檔'!$F:$F,'01_異動主檔'!$B:$B,119,'01_異動主檔'!$D:$D,B835,'01_異動主檔'!$E:$E,"移出")</f>
        <v/>
      </c>
      <c r="G835" s="4">
        <f>SUMIFS('01_異動主檔'!$F:$F,'01_異動主檔'!$B:$B,119,'01_異動主檔'!$D:$D,B835,'01_異動主檔'!$E:$E,"新增")</f>
        <v/>
      </c>
      <c r="H835" s="4">
        <f>-SUMIFS('01_異動主檔'!$F:$F,'01_異動主檔'!$B:$B,119,'01_異動主檔'!$D:$D,B835,'01_異動主檔'!$E:$E,"減列")</f>
        <v/>
      </c>
      <c r="I835" s="4">
        <f>-SUMIFS('01_異動主檔'!$F:$F,'01_異動主檔'!$B:$B,119,'01_異動主檔'!$D:$D,B835,'01_異動主檔'!$E:$E,"精簡")</f>
        <v/>
      </c>
      <c r="J835" s="10">
        <f>D835+E835+F835+G835+H835+I835</f>
        <v/>
      </c>
    </row>
    <row r="836" ht="18" customHeight="1">
      <c r="A836" s="6" t="inlineStr">
        <is>
          <t>D007</t>
        </is>
      </c>
      <c r="B836" s="5" t="inlineStr">
        <is>
          <t>稽查科</t>
        </is>
      </c>
      <c r="C836" s="6" t="n">
        <v>120</v>
      </c>
      <c r="D836" s="10">
        <f>J835</f>
        <v/>
      </c>
      <c r="E836" s="4">
        <f>SUMIFS('01_異動主檔'!$F:$F,'01_異動主檔'!$B:$B,120,'01_異動主檔'!$D:$D,B836,'01_異動主檔'!$E:$E,"移入")</f>
        <v/>
      </c>
      <c r="F836" s="4">
        <f>-SUMIFS('01_異動主檔'!$F:$F,'01_異動主檔'!$B:$B,120,'01_異動主檔'!$D:$D,B836,'01_異動主檔'!$E:$E,"移出")</f>
        <v/>
      </c>
      <c r="G836" s="4">
        <f>SUMIFS('01_異動主檔'!$F:$F,'01_異動主檔'!$B:$B,120,'01_異動主檔'!$D:$D,B836,'01_異動主檔'!$E:$E,"新增")</f>
        <v/>
      </c>
      <c r="H836" s="4">
        <f>-SUMIFS('01_異動主檔'!$F:$F,'01_異動主檔'!$B:$B,120,'01_異動主檔'!$D:$D,B836,'01_異動主檔'!$E:$E,"減列")</f>
        <v/>
      </c>
      <c r="I836" s="4">
        <f>-SUMIFS('01_異動主檔'!$F:$F,'01_異動主檔'!$B:$B,120,'01_異動主檔'!$D:$D,B836,'01_異動主檔'!$E:$E,"精簡")</f>
        <v/>
      </c>
      <c r="J836" s="10">
        <f>D836+E836+F836+G836+H836+I836</f>
        <v/>
      </c>
    </row>
    <row r="837" ht="18" customHeight="1">
      <c r="A837" s="4" t="inlineStr">
        <is>
          <t>D007</t>
        </is>
      </c>
      <c r="B837" s="3" t="inlineStr">
        <is>
          <t>稽查科</t>
        </is>
      </c>
      <c r="C837" s="4" t="n">
        <v>121</v>
      </c>
      <c r="D837" s="10">
        <f>J836</f>
        <v/>
      </c>
      <c r="E837" s="4">
        <f>SUMIFS('01_異動主檔'!$F:$F,'01_異動主檔'!$B:$B,121,'01_異動主檔'!$D:$D,B837,'01_異動主檔'!$E:$E,"移入")</f>
        <v/>
      </c>
      <c r="F837" s="4">
        <f>-SUMIFS('01_異動主檔'!$F:$F,'01_異動主檔'!$B:$B,121,'01_異動主檔'!$D:$D,B837,'01_異動主檔'!$E:$E,"移出")</f>
        <v/>
      </c>
      <c r="G837" s="4">
        <f>SUMIFS('01_異動主檔'!$F:$F,'01_異動主檔'!$B:$B,121,'01_異動主檔'!$D:$D,B837,'01_異動主檔'!$E:$E,"新增")</f>
        <v/>
      </c>
      <c r="H837" s="4">
        <f>-SUMIFS('01_異動主檔'!$F:$F,'01_異動主檔'!$B:$B,121,'01_異動主檔'!$D:$D,B837,'01_異動主檔'!$E:$E,"減列")</f>
        <v/>
      </c>
      <c r="I837" s="4">
        <f>-SUMIFS('01_異動主檔'!$F:$F,'01_異動主檔'!$B:$B,121,'01_異動主檔'!$D:$D,B837,'01_異動主檔'!$E:$E,"精簡")</f>
        <v/>
      </c>
      <c r="J837" s="10">
        <f>D837+E837+F837+G837+H837+I837</f>
        <v/>
      </c>
    </row>
    <row r="838" ht="18" customHeight="1">
      <c r="A838" s="6" t="inlineStr">
        <is>
          <t>D007</t>
        </is>
      </c>
      <c r="B838" s="5" t="inlineStr">
        <is>
          <t>稽查科</t>
        </is>
      </c>
      <c r="C838" s="6" t="n">
        <v>122</v>
      </c>
      <c r="D838" s="10">
        <f>J837</f>
        <v/>
      </c>
      <c r="E838" s="4">
        <f>SUMIFS('01_異動主檔'!$F:$F,'01_異動主檔'!$B:$B,122,'01_異動主檔'!$D:$D,B838,'01_異動主檔'!$E:$E,"移入")</f>
        <v/>
      </c>
      <c r="F838" s="4">
        <f>-SUMIFS('01_異動主檔'!$F:$F,'01_異動主檔'!$B:$B,122,'01_異動主檔'!$D:$D,B838,'01_異動主檔'!$E:$E,"移出")</f>
        <v/>
      </c>
      <c r="G838" s="4">
        <f>SUMIFS('01_異動主檔'!$F:$F,'01_異動主檔'!$B:$B,122,'01_異動主檔'!$D:$D,B838,'01_異動主檔'!$E:$E,"新增")</f>
        <v/>
      </c>
      <c r="H838" s="4">
        <f>-SUMIFS('01_異動主檔'!$F:$F,'01_異動主檔'!$B:$B,122,'01_異動主檔'!$D:$D,B838,'01_異動主檔'!$E:$E,"減列")</f>
        <v/>
      </c>
      <c r="I838" s="4">
        <f>-SUMIFS('01_異動主檔'!$F:$F,'01_異動主檔'!$B:$B,122,'01_異動主檔'!$D:$D,B838,'01_異動主檔'!$E:$E,"精簡")</f>
        <v/>
      </c>
      <c r="J838" s="10">
        <f>D838+E838+F838+G838+H838+I838</f>
        <v/>
      </c>
    </row>
    <row r="839" ht="18" customHeight="1">
      <c r="A839" s="4" t="inlineStr">
        <is>
          <t>D007</t>
        </is>
      </c>
      <c r="B839" s="3" t="inlineStr">
        <is>
          <t>稽查科</t>
        </is>
      </c>
      <c r="C839" s="4" t="n">
        <v>123</v>
      </c>
      <c r="D839" s="10">
        <f>J838</f>
        <v/>
      </c>
      <c r="E839" s="4">
        <f>SUMIFS('01_異動主檔'!$F:$F,'01_異動主檔'!$B:$B,123,'01_異動主檔'!$D:$D,B839,'01_異動主檔'!$E:$E,"移入")</f>
        <v/>
      </c>
      <c r="F839" s="4">
        <f>-SUMIFS('01_異動主檔'!$F:$F,'01_異動主檔'!$B:$B,123,'01_異動主檔'!$D:$D,B839,'01_異動主檔'!$E:$E,"移出")</f>
        <v/>
      </c>
      <c r="G839" s="4">
        <f>SUMIFS('01_異動主檔'!$F:$F,'01_異動主檔'!$B:$B,123,'01_異動主檔'!$D:$D,B839,'01_異動主檔'!$E:$E,"新增")</f>
        <v/>
      </c>
      <c r="H839" s="4">
        <f>-SUMIFS('01_異動主檔'!$F:$F,'01_異動主檔'!$B:$B,123,'01_異動主檔'!$D:$D,B839,'01_異動主檔'!$E:$E,"減列")</f>
        <v/>
      </c>
      <c r="I839" s="4">
        <f>-SUMIFS('01_異動主檔'!$F:$F,'01_異動主檔'!$B:$B,123,'01_異動主檔'!$D:$D,B839,'01_異動主檔'!$E:$E,"精簡")</f>
        <v/>
      </c>
      <c r="J839" s="10">
        <f>D839+E839+F839+G839+H839+I839</f>
        <v/>
      </c>
    </row>
    <row r="840" ht="18" customHeight="1">
      <c r="A840" s="6" t="inlineStr">
        <is>
          <t>D007</t>
        </is>
      </c>
      <c r="B840" s="5" t="inlineStr">
        <is>
          <t>稽查科</t>
        </is>
      </c>
      <c r="C840" s="6" t="n">
        <v>124</v>
      </c>
      <c r="D840" s="10">
        <f>J839</f>
        <v/>
      </c>
      <c r="E840" s="4">
        <f>SUMIFS('01_異動主檔'!$F:$F,'01_異動主檔'!$B:$B,124,'01_異動主檔'!$D:$D,B840,'01_異動主檔'!$E:$E,"移入")</f>
        <v/>
      </c>
      <c r="F840" s="4">
        <f>-SUMIFS('01_異動主檔'!$F:$F,'01_異動主檔'!$B:$B,124,'01_異動主檔'!$D:$D,B840,'01_異動主檔'!$E:$E,"移出")</f>
        <v/>
      </c>
      <c r="G840" s="4">
        <f>SUMIFS('01_異動主檔'!$F:$F,'01_異動主檔'!$B:$B,124,'01_異動主檔'!$D:$D,B840,'01_異動主檔'!$E:$E,"新增")</f>
        <v/>
      </c>
      <c r="H840" s="4">
        <f>-SUMIFS('01_異動主檔'!$F:$F,'01_異動主檔'!$B:$B,124,'01_異動主檔'!$D:$D,B840,'01_異動主檔'!$E:$E,"減列")</f>
        <v/>
      </c>
      <c r="I840" s="4">
        <f>-SUMIFS('01_異動主檔'!$F:$F,'01_異動主檔'!$B:$B,124,'01_異動主檔'!$D:$D,B840,'01_異動主檔'!$E:$E,"精簡")</f>
        <v/>
      </c>
      <c r="J840" s="10">
        <f>D840+E840+F840+G840+H840+I840</f>
        <v/>
      </c>
    </row>
    <row r="841" ht="18" customHeight="1">
      <c r="A841" s="4" t="inlineStr">
        <is>
          <t>D007</t>
        </is>
      </c>
      <c r="B841" s="3" t="inlineStr">
        <is>
          <t>稽查科</t>
        </is>
      </c>
      <c r="C841" s="4" t="n">
        <v>125</v>
      </c>
      <c r="D841" s="10">
        <f>J840</f>
        <v/>
      </c>
      <c r="E841" s="4">
        <f>SUMIFS('01_異動主檔'!$F:$F,'01_異動主檔'!$B:$B,125,'01_異動主檔'!$D:$D,B841,'01_異動主檔'!$E:$E,"移入")</f>
        <v/>
      </c>
      <c r="F841" s="4">
        <f>-SUMIFS('01_異動主檔'!$F:$F,'01_異動主檔'!$B:$B,125,'01_異動主檔'!$D:$D,B841,'01_異動主檔'!$E:$E,"移出")</f>
        <v/>
      </c>
      <c r="G841" s="4">
        <f>SUMIFS('01_異動主檔'!$F:$F,'01_異動主檔'!$B:$B,125,'01_異動主檔'!$D:$D,B841,'01_異動主檔'!$E:$E,"新增")</f>
        <v/>
      </c>
      <c r="H841" s="4">
        <f>-SUMIFS('01_異動主檔'!$F:$F,'01_異動主檔'!$B:$B,125,'01_異動主檔'!$D:$D,B841,'01_異動主檔'!$E:$E,"減列")</f>
        <v/>
      </c>
      <c r="I841" s="4">
        <f>-SUMIFS('01_異動主檔'!$F:$F,'01_異動主檔'!$B:$B,125,'01_異動主檔'!$D:$D,B841,'01_異動主檔'!$E:$E,"精簡")</f>
        <v/>
      </c>
      <c r="J841" s="10">
        <f>D841+E841+F841+G841+H841+I841</f>
        <v/>
      </c>
    </row>
    <row r="842" ht="18" customHeight="1">
      <c r="A842" s="6" t="inlineStr">
        <is>
          <t>D008</t>
        </is>
      </c>
      <c r="B842" s="5" t="inlineStr">
        <is>
          <t>核稿科</t>
        </is>
      </c>
      <c r="C842" s="6" t="n">
        <v>99</v>
      </c>
      <c r="D842" s="10">
        <f>'02_年初員額設定'!C36</f>
        <v/>
      </c>
      <c r="E842" s="4">
        <f>SUMIFS('01_異動主檔'!$F:$F,'01_異動主檔'!$B:$B,99,'01_異動主檔'!$D:$D,B842,'01_異動主檔'!$E:$E,"移入")</f>
        <v/>
      </c>
      <c r="F842" s="4">
        <f>-SUMIFS('01_異動主檔'!$F:$F,'01_異動主檔'!$B:$B,99,'01_異動主檔'!$D:$D,B842,'01_異動主檔'!$E:$E,"移出")</f>
        <v/>
      </c>
      <c r="G842" s="4">
        <f>SUMIFS('01_異動主檔'!$F:$F,'01_異動主檔'!$B:$B,99,'01_異動主檔'!$D:$D,B842,'01_異動主檔'!$E:$E,"新增")</f>
        <v/>
      </c>
      <c r="H842" s="4">
        <f>-SUMIFS('01_異動主檔'!$F:$F,'01_異動主檔'!$B:$B,99,'01_異動主檔'!$D:$D,B842,'01_異動主檔'!$E:$E,"減列")</f>
        <v/>
      </c>
      <c r="I842" s="4">
        <f>-SUMIFS('01_異動主檔'!$F:$F,'01_異動主檔'!$B:$B,99,'01_異動主檔'!$D:$D,B842,'01_異動主檔'!$E:$E,"精簡")</f>
        <v/>
      </c>
      <c r="J842" s="10">
        <f>D842+E842+F842+G842+H842+I842</f>
        <v/>
      </c>
    </row>
    <row r="843" ht="18" customHeight="1">
      <c r="A843" s="4" t="inlineStr">
        <is>
          <t>D008</t>
        </is>
      </c>
      <c r="B843" s="3" t="inlineStr">
        <is>
          <t>核稿科</t>
        </is>
      </c>
      <c r="C843" s="4" t="n">
        <v>100</v>
      </c>
      <c r="D843" s="10">
        <f>J842</f>
        <v/>
      </c>
      <c r="E843" s="4">
        <f>SUMIFS('01_異動主檔'!$F:$F,'01_異動主檔'!$B:$B,100,'01_異動主檔'!$D:$D,B843,'01_異動主檔'!$E:$E,"移入")</f>
        <v/>
      </c>
      <c r="F843" s="4">
        <f>-SUMIFS('01_異動主檔'!$F:$F,'01_異動主檔'!$B:$B,100,'01_異動主檔'!$D:$D,B843,'01_異動主檔'!$E:$E,"移出")</f>
        <v/>
      </c>
      <c r="G843" s="4">
        <f>SUMIFS('01_異動主檔'!$F:$F,'01_異動主檔'!$B:$B,100,'01_異動主檔'!$D:$D,B843,'01_異動主檔'!$E:$E,"新增")</f>
        <v/>
      </c>
      <c r="H843" s="4">
        <f>-SUMIFS('01_異動主檔'!$F:$F,'01_異動主檔'!$B:$B,100,'01_異動主檔'!$D:$D,B843,'01_異動主檔'!$E:$E,"減列")</f>
        <v/>
      </c>
      <c r="I843" s="4">
        <f>-SUMIFS('01_異動主檔'!$F:$F,'01_異動主檔'!$B:$B,100,'01_異動主檔'!$D:$D,B843,'01_異動主檔'!$E:$E,"精簡")</f>
        <v/>
      </c>
      <c r="J843" s="10">
        <f>D843+E843+F843+G843+H843+I843</f>
        <v/>
      </c>
    </row>
    <row r="844" ht="18" customHeight="1">
      <c r="A844" s="6" t="inlineStr">
        <is>
          <t>D008</t>
        </is>
      </c>
      <c r="B844" s="5" t="inlineStr">
        <is>
          <t>核稿科</t>
        </is>
      </c>
      <c r="C844" s="6" t="n">
        <v>101</v>
      </c>
      <c r="D844" s="10">
        <f>J843</f>
        <v/>
      </c>
      <c r="E844" s="4">
        <f>SUMIFS('01_異動主檔'!$F:$F,'01_異動主檔'!$B:$B,101,'01_異動主檔'!$D:$D,B844,'01_異動主檔'!$E:$E,"移入")</f>
        <v/>
      </c>
      <c r="F844" s="4">
        <f>-SUMIFS('01_異動主檔'!$F:$F,'01_異動主檔'!$B:$B,101,'01_異動主檔'!$D:$D,B844,'01_異動主檔'!$E:$E,"移出")</f>
        <v/>
      </c>
      <c r="G844" s="4">
        <f>SUMIFS('01_異動主檔'!$F:$F,'01_異動主檔'!$B:$B,101,'01_異動主檔'!$D:$D,B844,'01_異動主檔'!$E:$E,"新增")</f>
        <v/>
      </c>
      <c r="H844" s="4">
        <f>-SUMIFS('01_異動主檔'!$F:$F,'01_異動主檔'!$B:$B,101,'01_異動主檔'!$D:$D,B844,'01_異動主檔'!$E:$E,"減列")</f>
        <v/>
      </c>
      <c r="I844" s="4">
        <f>-SUMIFS('01_異動主檔'!$F:$F,'01_異動主檔'!$B:$B,101,'01_異動主檔'!$D:$D,B844,'01_異動主檔'!$E:$E,"精簡")</f>
        <v/>
      </c>
      <c r="J844" s="10">
        <f>D844+E844+F844+G844+H844+I844</f>
        <v/>
      </c>
    </row>
    <row r="845" ht="18" customHeight="1">
      <c r="A845" s="4" t="inlineStr">
        <is>
          <t>D008</t>
        </is>
      </c>
      <c r="B845" s="3" t="inlineStr">
        <is>
          <t>核稿科</t>
        </is>
      </c>
      <c r="C845" s="4" t="n">
        <v>102</v>
      </c>
      <c r="D845" s="10">
        <f>J844</f>
        <v/>
      </c>
      <c r="E845" s="4">
        <f>SUMIFS('01_異動主檔'!$F:$F,'01_異動主檔'!$B:$B,102,'01_異動主檔'!$D:$D,B845,'01_異動主檔'!$E:$E,"移入")</f>
        <v/>
      </c>
      <c r="F845" s="4">
        <f>-SUMIFS('01_異動主檔'!$F:$F,'01_異動主檔'!$B:$B,102,'01_異動主檔'!$D:$D,B845,'01_異動主檔'!$E:$E,"移出")</f>
        <v/>
      </c>
      <c r="G845" s="4">
        <f>SUMIFS('01_異動主檔'!$F:$F,'01_異動主檔'!$B:$B,102,'01_異動主檔'!$D:$D,B845,'01_異動主檔'!$E:$E,"新增")</f>
        <v/>
      </c>
      <c r="H845" s="4">
        <f>-SUMIFS('01_異動主檔'!$F:$F,'01_異動主檔'!$B:$B,102,'01_異動主檔'!$D:$D,B845,'01_異動主檔'!$E:$E,"減列")</f>
        <v/>
      </c>
      <c r="I845" s="4">
        <f>-SUMIFS('01_異動主檔'!$F:$F,'01_異動主檔'!$B:$B,102,'01_異動主檔'!$D:$D,B845,'01_異動主檔'!$E:$E,"精簡")</f>
        <v/>
      </c>
      <c r="J845" s="10">
        <f>D845+E845+F845+G845+H845+I845</f>
        <v/>
      </c>
    </row>
    <row r="846" ht="18" customHeight="1">
      <c r="A846" s="6" t="inlineStr">
        <is>
          <t>D008</t>
        </is>
      </c>
      <c r="B846" s="5" t="inlineStr">
        <is>
          <t>核稿科</t>
        </is>
      </c>
      <c r="C846" s="6" t="n">
        <v>103</v>
      </c>
      <c r="D846" s="10">
        <f>J845</f>
        <v/>
      </c>
      <c r="E846" s="4">
        <f>SUMIFS('01_異動主檔'!$F:$F,'01_異動主檔'!$B:$B,103,'01_異動主檔'!$D:$D,B846,'01_異動主檔'!$E:$E,"移入")</f>
        <v/>
      </c>
      <c r="F846" s="4">
        <f>-SUMIFS('01_異動主檔'!$F:$F,'01_異動主檔'!$B:$B,103,'01_異動主檔'!$D:$D,B846,'01_異動主檔'!$E:$E,"移出")</f>
        <v/>
      </c>
      <c r="G846" s="4">
        <f>SUMIFS('01_異動主檔'!$F:$F,'01_異動主檔'!$B:$B,103,'01_異動主檔'!$D:$D,B846,'01_異動主檔'!$E:$E,"新增")</f>
        <v/>
      </c>
      <c r="H846" s="4">
        <f>-SUMIFS('01_異動主檔'!$F:$F,'01_異動主檔'!$B:$B,103,'01_異動主檔'!$D:$D,B846,'01_異動主檔'!$E:$E,"減列")</f>
        <v/>
      </c>
      <c r="I846" s="4">
        <f>-SUMIFS('01_異動主檔'!$F:$F,'01_異動主檔'!$B:$B,103,'01_異動主檔'!$D:$D,B846,'01_異動主檔'!$E:$E,"精簡")</f>
        <v/>
      </c>
      <c r="J846" s="10">
        <f>D846+E846+F846+G846+H846+I846</f>
        <v/>
      </c>
    </row>
    <row r="847" ht="18" customHeight="1">
      <c r="A847" s="4" t="inlineStr">
        <is>
          <t>D008</t>
        </is>
      </c>
      <c r="B847" s="3" t="inlineStr">
        <is>
          <t>核稿科</t>
        </is>
      </c>
      <c r="C847" s="4" t="n">
        <v>104</v>
      </c>
      <c r="D847" s="10">
        <f>J846</f>
        <v/>
      </c>
      <c r="E847" s="4">
        <f>SUMIFS('01_異動主檔'!$F:$F,'01_異動主檔'!$B:$B,104,'01_異動主檔'!$D:$D,B847,'01_異動主檔'!$E:$E,"移入")</f>
        <v/>
      </c>
      <c r="F847" s="4">
        <f>-SUMIFS('01_異動主檔'!$F:$F,'01_異動主檔'!$B:$B,104,'01_異動主檔'!$D:$D,B847,'01_異動主檔'!$E:$E,"移出")</f>
        <v/>
      </c>
      <c r="G847" s="4">
        <f>SUMIFS('01_異動主檔'!$F:$F,'01_異動主檔'!$B:$B,104,'01_異動主檔'!$D:$D,B847,'01_異動主檔'!$E:$E,"新增")</f>
        <v/>
      </c>
      <c r="H847" s="4">
        <f>-SUMIFS('01_異動主檔'!$F:$F,'01_異動主檔'!$B:$B,104,'01_異動主檔'!$D:$D,B847,'01_異動主檔'!$E:$E,"減列")</f>
        <v/>
      </c>
      <c r="I847" s="4">
        <f>-SUMIFS('01_異動主檔'!$F:$F,'01_異動主檔'!$B:$B,104,'01_異動主檔'!$D:$D,B847,'01_異動主檔'!$E:$E,"精簡")</f>
        <v/>
      </c>
      <c r="J847" s="10">
        <f>D847+E847+F847+G847+H847+I847</f>
        <v/>
      </c>
    </row>
    <row r="848" ht="18" customHeight="1">
      <c r="A848" s="6" t="inlineStr">
        <is>
          <t>D008</t>
        </is>
      </c>
      <c r="B848" s="5" t="inlineStr">
        <is>
          <t>核稿科</t>
        </is>
      </c>
      <c r="C848" s="6" t="n">
        <v>105</v>
      </c>
      <c r="D848" s="10">
        <f>J847</f>
        <v/>
      </c>
      <c r="E848" s="4">
        <f>SUMIFS('01_異動主檔'!$F:$F,'01_異動主檔'!$B:$B,105,'01_異動主檔'!$D:$D,B848,'01_異動主檔'!$E:$E,"移入")</f>
        <v/>
      </c>
      <c r="F848" s="4">
        <f>-SUMIFS('01_異動主檔'!$F:$F,'01_異動主檔'!$B:$B,105,'01_異動主檔'!$D:$D,B848,'01_異動主檔'!$E:$E,"移出")</f>
        <v/>
      </c>
      <c r="G848" s="4">
        <f>SUMIFS('01_異動主檔'!$F:$F,'01_異動主檔'!$B:$B,105,'01_異動主檔'!$D:$D,B848,'01_異動主檔'!$E:$E,"新增")</f>
        <v/>
      </c>
      <c r="H848" s="4">
        <f>-SUMIFS('01_異動主檔'!$F:$F,'01_異動主檔'!$B:$B,105,'01_異動主檔'!$D:$D,B848,'01_異動主檔'!$E:$E,"減列")</f>
        <v/>
      </c>
      <c r="I848" s="4">
        <f>-SUMIFS('01_異動主檔'!$F:$F,'01_異動主檔'!$B:$B,105,'01_異動主檔'!$D:$D,B848,'01_異動主檔'!$E:$E,"精簡")</f>
        <v/>
      </c>
      <c r="J848" s="10">
        <f>D848+E848+F848+G848+H848+I848</f>
        <v/>
      </c>
    </row>
    <row r="849" ht="18" customHeight="1">
      <c r="A849" s="4" t="inlineStr">
        <is>
          <t>D008</t>
        </is>
      </c>
      <c r="B849" s="3" t="inlineStr">
        <is>
          <t>核稿科</t>
        </is>
      </c>
      <c r="C849" s="4" t="n">
        <v>106</v>
      </c>
      <c r="D849" s="10">
        <f>J848</f>
        <v/>
      </c>
      <c r="E849" s="4">
        <f>SUMIFS('01_異動主檔'!$F:$F,'01_異動主檔'!$B:$B,106,'01_異動主檔'!$D:$D,B849,'01_異動主檔'!$E:$E,"移入")</f>
        <v/>
      </c>
      <c r="F849" s="4">
        <f>-SUMIFS('01_異動主檔'!$F:$F,'01_異動主檔'!$B:$B,106,'01_異動主檔'!$D:$D,B849,'01_異動主檔'!$E:$E,"移出")</f>
        <v/>
      </c>
      <c r="G849" s="4">
        <f>SUMIFS('01_異動主檔'!$F:$F,'01_異動主檔'!$B:$B,106,'01_異動主檔'!$D:$D,B849,'01_異動主檔'!$E:$E,"新增")</f>
        <v/>
      </c>
      <c r="H849" s="4">
        <f>-SUMIFS('01_異動主檔'!$F:$F,'01_異動主檔'!$B:$B,106,'01_異動主檔'!$D:$D,B849,'01_異動主檔'!$E:$E,"減列")</f>
        <v/>
      </c>
      <c r="I849" s="4">
        <f>-SUMIFS('01_異動主檔'!$F:$F,'01_異動主檔'!$B:$B,106,'01_異動主檔'!$D:$D,B849,'01_異動主檔'!$E:$E,"精簡")</f>
        <v/>
      </c>
      <c r="J849" s="10">
        <f>D849+E849+F849+G849+H849+I849</f>
        <v/>
      </c>
    </row>
    <row r="850" ht="18" customHeight="1">
      <c r="A850" s="6" t="inlineStr">
        <is>
          <t>D008</t>
        </is>
      </c>
      <c r="B850" s="5" t="inlineStr">
        <is>
          <t>核稿科</t>
        </is>
      </c>
      <c r="C850" s="6" t="n">
        <v>107</v>
      </c>
      <c r="D850" s="10">
        <f>J849</f>
        <v/>
      </c>
      <c r="E850" s="4">
        <f>SUMIFS('01_異動主檔'!$F:$F,'01_異動主檔'!$B:$B,107,'01_異動主檔'!$D:$D,B850,'01_異動主檔'!$E:$E,"移入")</f>
        <v/>
      </c>
      <c r="F850" s="4">
        <f>-SUMIFS('01_異動主檔'!$F:$F,'01_異動主檔'!$B:$B,107,'01_異動主檔'!$D:$D,B850,'01_異動主檔'!$E:$E,"移出")</f>
        <v/>
      </c>
      <c r="G850" s="4">
        <f>SUMIFS('01_異動主檔'!$F:$F,'01_異動主檔'!$B:$B,107,'01_異動主檔'!$D:$D,B850,'01_異動主檔'!$E:$E,"新增")</f>
        <v/>
      </c>
      <c r="H850" s="4">
        <f>-SUMIFS('01_異動主檔'!$F:$F,'01_異動主檔'!$B:$B,107,'01_異動主檔'!$D:$D,B850,'01_異動主檔'!$E:$E,"減列")</f>
        <v/>
      </c>
      <c r="I850" s="4">
        <f>-SUMIFS('01_異動主檔'!$F:$F,'01_異動主檔'!$B:$B,107,'01_異動主檔'!$D:$D,B850,'01_異動主檔'!$E:$E,"精簡")</f>
        <v/>
      </c>
      <c r="J850" s="10">
        <f>D850+E850+F850+G850+H850+I850</f>
        <v/>
      </c>
    </row>
    <row r="851" ht="18" customHeight="1">
      <c r="A851" s="4" t="inlineStr">
        <is>
          <t>D008</t>
        </is>
      </c>
      <c r="B851" s="3" t="inlineStr">
        <is>
          <t>核稿科</t>
        </is>
      </c>
      <c r="C851" s="4" t="n">
        <v>108</v>
      </c>
      <c r="D851" s="10">
        <f>J850</f>
        <v/>
      </c>
      <c r="E851" s="4">
        <f>SUMIFS('01_異動主檔'!$F:$F,'01_異動主檔'!$B:$B,108,'01_異動主檔'!$D:$D,B851,'01_異動主檔'!$E:$E,"移入")</f>
        <v/>
      </c>
      <c r="F851" s="4">
        <f>-SUMIFS('01_異動主檔'!$F:$F,'01_異動主檔'!$B:$B,108,'01_異動主檔'!$D:$D,B851,'01_異動主檔'!$E:$E,"移出")</f>
        <v/>
      </c>
      <c r="G851" s="4">
        <f>SUMIFS('01_異動主檔'!$F:$F,'01_異動主檔'!$B:$B,108,'01_異動主檔'!$D:$D,B851,'01_異動主檔'!$E:$E,"新增")</f>
        <v/>
      </c>
      <c r="H851" s="4">
        <f>-SUMIFS('01_異動主檔'!$F:$F,'01_異動主檔'!$B:$B,108,'01_異動主檔'!$D:$D,B851,'01_異動主檔'!$E:$E,"減列")</f>
        <v/>
      </c>
      <c r="I851" s="4">
        <f>-SUMIFS('01_異動主檔'!$F:$F,'01_異動主檔'!$B:$B,108,'01_異動主檔'!$D:$D,B851,'01_異動主檔'!$E:$E,"精簡")</f>
        <v/>
      </c>
      <c r="J851" s="10">
        <f>D851+E851+F851+G851+H851+I851</f>
        <v/>
      </c>
    </row>
    <row r="852" ht="18" customHeight="1">
      <c r="A852" s="6" t="inlineStr">
        <is>
          <t>D008</t>
        </is>
      </c>
      <c r="B852" s="5" t="inlineStr">
        <is>
          <t>核稿科</t>
        </is>
      </c>
      <c r="C852" s="6" t="n">
        <v>109</v>
      </c>
      <c r="D852" s="10">
        <f>J851</f>
        <v/>
      </c>
      <c r="E852" s="4">
        <f>SUMIFS('01_異動主檔'!$F:$F,'01_異動主檔'!$B:$B,109,'01_異動主檔'!$D:$D,B852,'01_異動主檔'!$E:$E,"移入")</f>
        <v/>
      </c>
      <c r="F852" s="4">
        <f>-SUMIFS('01_異動主檔'!$F:$F,'01_異動主檔'!$B:$B,109,'01_異動主檔'!$D:$D,B852,'01_異動主檔'!$E:$E,"移出")</f>
        <v/>
      </c>
      <c r="G852" s="4">
        <f>SUMIFS('01_異動主檔'!$F:$F,'01_異動主檔'!$B:$B,109,'01_異動主檔'!$D:$D,B852,'01_異動主檔'!$E:$E,"新增")</f>
        <v/>
      </c>
      <c r="H852" s="4">
        <f>-SUMIFS('01_異動主檔'!$F:$F,'01_異動主檔'!$B:$B,109,'01_異動主檔'!$D:$D,B852,'01_異動主檔'!$E:$E,"減列")</f>
        <v/>
      </c>
      <c r="I852" s="4">
        <f>-SUMIFS('01_異動主檔'!$F:$F,'01_異動主檔'!$B:$B,109,'01_異動主檔'!$D:$D,B852,'01_異動主檔'!$E:$E,"精簡")</f>
        <v/>
      </c>
      <c r="J852" s="10">
        <f>D852+E852+F852+G852+H852+I852</f>
        <v/>
      </c>
    </row>
    <row r="853" ht="18" customHeight="1">
      <c r="A853" s="4" t="inlineStr">
        <is>
          <t>D008</t>
        </is>
      </c>
      <c r="B853" s="3" t="inlineStr">
        <is>
          <t>核稿科</t>
        </is>
      </c>
      <c r="C853" s="4" t="n">
        <v>110</v>
      </c>
      <c r="D853" s="10">
        <f>J852</f>
        <v/>
      </c>
      <c r="E853" s="4">
        <f>SUMIFS('01_異動主檔'!$F:$F,'01_異動主檔'!$B:$B,110,'01_異動主檔'!$D:$D,B853,'01_異動主檔'!$E:$E,"移入")</f>
        <v/>
      </c>
      <c r="F853" s="4">
        <f>-SUMIFS('01_異動主檔'!$F:$F,'01_異動主檔'!$B:$B,110,'01_異動主檔'!$D:$D,B853,'01_異動主檔'!$E:$E,"移出")</f>
        <v/>
      </c>
      <c r="G853" s="4">
        <f>SUMIFS('01_異動主檔'!$F:$F,'01_異動主檔'!$B:$B,110,'01_異動主檔'!$D:$D,B853,'01_異動主檔'!$E:$E,"新增")</f>
        <v/>
      </c>
      <c r="H853" s="4">
        <f>-SUMIFS('01_異動主檔'!$F:$F,'01_異動主檔'!$B:$B,110,'01_異動主檔'!$D:$D,B853,'01_異動主檔'!$E:$E,"減列")</f>
        <v/>
      </c>
      <c r="I853" s="4">
        <f>-SUMIFS('01_異動主檔'!$F:$F,'01_異動主檔'!$B:$B,110,'01_異動主檔'!$D:$D,B853,'01_異動主檔'!$E:$E,"精簡")</f>
        <v/>
      </c>
      <c r="J853" s="10">
        <f>D853+E853+F853+G853+H853+I853</f>
        <v/>
      </c>
    </row>
    <row r="854" ht="18" customHeight="1">
      <c r="A854" s="6" t="inlineStr">
        <is>
          <t>D008</t>
        </is>
      </c>
      <c r="B854" s="5" t="inlineStr">
        <is>
          <t>核稿科</t>
        </is>
      </c>
      <c r="C854" s="6" t="n">
        <v>111</v>
      </c>
      <c r="D854" s="10">
        <f>J853</f>
        <v/>
      </c>
      <c r="E854" s="4">
        <f>SUMIFS('01_異動主檔'!$F:$F,'01_異動主檔'!$B:$B,111,'01_異動主檔'!$D:$D,B854,'01_異動主檔'!$E:$E,"移入")</f>
        <v/>
      </c>
      <c r="F854" s="4">
        <f>-SUMIFS('01_異動主檔'!$F:$F,'01_異動主檔'!$B:$B,111,'01_異動主檔'!$D:$D,B854,'01_異動主檔'!$E:$E,"移出")</f>
        <v/>
      </c>
      <c r="G854" s="4">
        <f>SUMIFS('01_異動主檔'!$F:$F,'01_異動主檔'!$B:$B,111,'01_異動主檔'!$D:$D,B854,'01_異動主檔'!$E:$E,"新增")</f>
        <v/>
      </c>
      <c r="H854" s="4">
        <f>-SUMIFS('01_異動主檔'!$F:$F,'01_異動主檔'!$B:$B,111,'01_異動主檔'!$D:$D,B854,'01_異動主檔'!$E:$E,"減列")</f>
        <v/>
      </c>
      <c r="I854" s="4">
        <f>-SUMIFS('01_異動主檔'!$F:$F,'01_異動主檔'!$B:$B,111,'01_異動主檔'!$D:$D,B854,'01_異動主檔'!$E:$E,"精簡")</f>
        <v/>
      </c>
      <c r="J854" s="10">
        <f>D854+E854+F854+G854+H854+I854</f>
        <v/>
      </c>
    </row>
    <row r="855" ht="18" customHeight="1">
      <c r="A855" s="4" t="inlineStr">
        <is>
          <t>D008</t>
        </is>
      </c>
      <c r="B855" s="3" t="inlineStr">
        <is>
          <t>核稿科</t>
        </is>
      </c>
      <c r="C855" s="4" t="n">
        <v>112</v>
      </c>
      <c r="D855" s="10">
        <f>J854</f>
        <v/>
      </c>
      <c r="E855" s="4">
        <f>SUMIFS('01_異動主檔'!$F:$F,'01_異動主檔'!$B:$B,112,'01_異動主檔'!$D:$D,B855,'01_異動主檔'!$E:$E,"移入")</f>
        <v/>
      </c>
      <c r="F855" s="4">
        <f>-SUMIFS('01_異動主檔'!$F:$F,'01_異動主檔'!$B:$B,112,'01_異動主檔'!$D:$D,B855,'01_異動主檔'!$E:$E,"移出")</f>
        <v/>
      </c>
      <c r="G855" s="4">
        <f>SUMIFS('01_異動主檔'!$F:$F,'01_異動主檔'!$B:$B,112,'01_異動主檔'!$D:$D,B855,'01_異動主檔'!$E:$E,"新增")</f>
        <v/>
      </c>
      <c r="H855" s="4">
        <f>-SUMIFS('01_異動主檔'!$F:$F,'01_異動主檔'!$B:$B,112,'01_異動主檔'!$D:$D,B855,'01_異動主檔'!$E:$E,"減列")</f>
        <v/>
      </c>
      <c r="I855" s="4">
        <f>-SUMIFS('01_異動主檔'!$F:$F,'01_異動主檔'!$B:$B,112,'01_異動主檔'!$D:$D,B855,'01_異動主檔'!$E:$E,"精簡")</f>
        <v/>
      </c>
      <c r="J855" s="10">
        <f>D855+E855+F855+G855+H855+I855</f>
        <v/>
      </c>
    </row>
    <row r="856" ht="18" customHeight="1">
      <c r="A856" s="6" t="inlineStr">
        <is>
          <t>D008</t>
        </is>
      </c>
      <c r="B856" s="5" t="inlineStr">
        <is>
          <t>核稿科</t>
        </is>
      </c>
      <c r="C856" s="6" t="n">
        <v>113</v>
      </c>
      <c r="D856" s="10">
        <f>J855</f>
        <v/>
      </c>
      <c r="E856" s="4">
        <f>SUMIFS('01_異動主檔'!$F:$F,'01_異動主檔'!$B:$B,113,'01_異動主檔'!$D:$D,B856,'01_異動主檔'!$E:$E,"移入")</f>
        <v/>
      </c>
      <c r="F856" s="4">
        <f>-SUMIFS('01_異動主檔'!$F:$F,'01_異動主檔'!$B:$B,113,'01_異動主檔'!$D:$D,B856,'01_異動主檔'!$E:$E,"移出")</f>
        <v/>
      </c>
      <c r="G856" s="4">
        <f>SUMIFS('01_異動主檔'!$F:$F,'01_異動主檔'!$B:$B,113,'01_異動主檔'!$D:$D,B856,'01_異動主檔'!$E:$E,"新增")</f>
        <v/>
      </c>
      <c r="H856" s="4">
        <f>-SUMIFS('01_異動主檔'!$F:$F,'01_異動主檔'!$B:$B,113,'01_異動主檔'!$D:$D,B856,'01_異動主檔'!$E:$E,"減列")</f>
        <v/>
      </c>
      <c r="I856" s="4">
        <f>-SUMIFS('01_異動主檔'!$F:$F,'01_異動主檔'!$B:$B,113,'01_異動主檔'!$D:$D,B856,'01_異動主檔'!$E:$E,"精簡")</f>
        <v/>
      </c>
      <c r="J856" s="10">
        <f>D856+E856+F856+G856+H856+I856</f>
        <v/>
      </c>
    </row>
    <row r="857" ht="18" customHeight="1">
      <c r="A857" s="4" t="inlineStr">
        <is>
          <t>D008</t>
        </is>
      </c>
      <c r="B857" s="3" t="inlineStr">
        <is>
          <t>核稿科</t>
        </is>
      </c>
      <c r="C857" s="4" t="n">
        <v>114</v>
      </c>
      <c r="D857" s="10">
        <f>J856</f>
        <v/>
      </c>
      <c r="E857" s="4">
        <f>SUMIFS('01_異動主檔'!$F:$F,'01_異動主檔'!$B:$B,114,'01_異動主檔'!$D:$D,B857,'01_異動主檔'!$E:$E,"移入")</f>
        <v/>
      </c>
      <c r="F857" s="4">
        <f>-SUMIFS('01_異動主檔'!$F:$F,'01_異動主檔'!$B:$B,114,'01_異動主檔'!$D:$D,B857,'01_異動主檔'!$E:$E,"移出")</f>
        <v/>
      </c>
      <c r="G857" s="4">
        <f>SUMIFS('01_異動主檔'!$F:$F,'01_異動主檔'!$B:$B,114,'01_異動主檔'!$D:$D,B857,'01_異動主檔'!$E:$E,"新增")</f>
        <v/>
      </c>
      <c r="H857" s="4">
        <f>-SUMIFS('01_異動主檔'!$F:$F,'01_異動主檔'!$B:$B,114,'01_異動主檔'!$D:$D,B857,'01_異動主檔'!$E:$E,"減列")</f>
        <v/>
      </c>
      <c r="I857" s="4">
        <f>-SUMIFS('01_異動主檔'!$F:$F,'01_異動主檔'!$B:$B,114,'01_異動主檔'!$D:$D,B857,'01_異動主檔'!$E:$E,"精簡")</f>
        <v/>
      </c>
      <c r="J857" s="10">
        <f>D857+E857+F857+G857+H857+I857</f>
        <v/>
      </c>
    </row>
    <row r="858" ht="18" customHeight="1">
      <c r="A858" s="6" t="inlineStr">
        <is>
          <t>D008</t>
        </is>
      </c>
      <c r="B858" s="5" t="inlineStr">
        <is>
          <t>核稿科</t>
        </is>
      </c>
      <c r="C858" s="6" t="n">
        <v>115</v>
      </c>
      <c r="D858" s="10">
        <f>J857</f>
        <v/>
      </c>
      <c r="E858" s="4">
        <f>SUMIFS('01_異動主檔'!$F:$F,'01_異動主檔'!$B:$B,115,'01_異動主檔'!$D:$D,B858,'01_異動主檔'!$E:$E,"移入")</f>
        <v/>
      </c>
      <c r="F858" s="4">
        <f>-SUMIFS('01_異動主檔'!$F:$F,'01_異動主檔'!$B:$B,115,'01_異動主檔'!$D:$D,B858,'01_異動主檔'!$E:$E,"移出")</f>
        <v/>
      </c>
      <c r="G858" s="4">
        <f>SUMIFS('01_異動主檔'!$F:$F,'01_異動主檔'!$B:$B,115,'01_異動主檔'!$D:$D,B858,'01_異動主檔'!$E:$E,"新增")</f>
        <v/>
      </c>
      <c r="H858" s="4">
        <f>-SUMIFS('01_異動主檔'!$F:$F,'01_異動主檔'!$B:$B,115,'01_異動主檔'!$D:$D,B858,'01_異動主檔'!$E:$E,"減列")</f>
        <v/>
      </c>
      <c r="I858" s="4">
        <f>-SUMIFS('01_異動主檔'!$F:$F,'01_異動主檔'!$B:$B,115,'01_異動主檔'!$D:$D,B858,'01_異動主檔'!$E:$E,"精簡")</f>
        <v/>
      </c>
      <c r="J858" s="10">
        <f>D858+E858+F858+G858+H858+I858</f>
        <v/>
      </c>
    </row>
    <row r="859" ht="18" customHeight="1">
      <c r="A859" s="4" t="inlineStr">
        <is>
          <t>D008</t>
        </is>
      </c>
      <c r="B859" s="3" t="inlineStr">
        <is>
          <t>核稿科</t>
        </is>
      </c>
      <c r="C859" s="4" t="n">
        <v>116</v>
      </c>
      <c r="D859" s="10">
        <f>J858</f>
        <v/>
      </c>
      <c r="E859" s="4">
        <f>SUMIFS('01_異動主檔'!$F:$F,'01_異動主檔'!$B:$B,116,'01_異動主檔'!$D:$D,B859,'01_異動主檔'!$E:$E,"移入")</f>
        <v/>
      </c>
      <c r="F859" s="4">
        <f>-SUMIFS('01_異動主檔'!$F:$F,'01_異動主檔'!$B:$B,116,'01_異動主檔'!$D:$D,B859,'01_異動主檔'!$E:$E,"移出")</f>
        <v/>
      </c>
      <c r="G859" s="4">
        <f>SUMIFS('01_異動主檔'!$F:$F,'01_異動主檔'!$B:$B,116,'01_異動主檔'!$D:$D,B859,'01_異動主檔'!$E:$E,"新增")</f>
        <v/>
      </c>
      <c r="H859" s="4">
        <f>-SUMIFS('01_異動主檔'!$F:$F,'01_異動主檔'!$B:$B,116,'01_異動主檔'!$D:$D,B859,'01_異動主檔'!$E:$E,"減列")</f>
        <v/>
      </c>
      <c r="I859" s="4">
        <f>-SUMIFS('01_異動主檔'!$F:$F,'01_異動主檔'!$B:$B,116,'01_異動主檔'!$D:$D,B859,'01_異動主檔'!$E:$E,"精簡")</f>
        <v/>
      </c>
      <c r="J859" s="10">
        <f>D859+E859+F859+G859+H859+I859</f>
        <v/>
      </c>
    </row>
    <row r="860" ht="18" customHeight="1">
      <c r="A860" s="6" t="inlineStr">
        <is>
          <t>D008</t>
        </is>
      </c>
      <c r="B860" s="5" t="inlineStr">
        <is>
          <t>核稿科</t>
        </is>
      </c>
      <c r="C860" s="6" t="n">
        <v>117</v>
      </c>
      <c r="D860" s="10">
        <f>J859</f>
        <v/>
      </c>
      <c r="E860" s="4">
        <f>SUMIFS('01_異動主檔'!$F:$F,'01_異動主檔'!$B:$B,117,'01_異動主檔'!$D:$D,B860,'01_異動主檔'!$E:$E,"移入")</f>
        <v/>
      </c>
      <c r="F860" s="4">
        <f>-SUMIFS('01_異動主檔'!$F:$F,'01_異動主檔'!$B:$B,117,'01_異動主檔'!$D:$D,B860,'01_異動主檔'!$E:$E,"移出")</f>
        <v/>
      </c>
      <c r="G860" s="4">
        <f>SUMIFS('01_異動主檔'!$F:$F,'01_異動主檔'!$B:$B,117,'01_異動主檔'!$D:$D,B860,'01_異動主檔'!$E:$E,"新增")</f>
        <v/>
      </c>
      <c r="H860" s="4">
        <f>-SUMIFS('01_異動主檔'!$F:$F,'01_異動主檔'!$B:$B,117,'01_異動主檔'!$D:$D,B860,'01_異動主檔'!$E:$E,"減列")</f>
        <v/>
      </c>
      <c r="I860" s="4">
        <f>-SUMIFS('01_異動主檔'!$F:$F,'01_異動主檔'!$B:$B,117,'01_異動主檔'!$D:$D,B860,'01_異動主檔'!$E:$E,"精簡")</f>
        <v/>
      </c>
      <c r="J860" s="10">
        <f>D860+E860+F860+G860+H860+I860</f>
        <v/>
      </c>
    </row>
    <row r="861" ht="18" customHeight="1">
      <c r="A861" s="4" t="inlineStr">
        <is>
          <t>D008</t>
        </is>
      </c>
      <c r="B861" s="3" t="inlineStr">
        <is>
          <t>核稿科</t>
        </is>
      </c>
      <c r="C861" s="4" t="n">
        <v>118</v>
      </c>
      <c r="D861" s="10">
        <f>J860</f>
        <v/>
      </c>
      <c r="E861" s="4">
        <f>SUMIFS('01_異動主檔'!$F:$F,'01_異動主檔'!$B:$B,118,'01_異動主檔'!$D:$D,B861,'01_異動主檔'!$E:$E,"移入")</f>
        <v/>
      </c>
      <c r="F861" s="4">
        <f>-SUMIFS('01_異動主檔'!$F:$F,'01_異動主檔'!$B:$B,118,'01_異動主檔'!$D:$D,B861,'01_異動主檔'!$E:$E,"移出")</f>
        <v/>
      </c>
      <c r="G861" s="4">
        <f>SUMIFS('01_異動主檔'!$F:$F,'01_異動主檔'!$B:$B,118,'01_異動主檔'!$D:$D,B861,'01_異動主檔'!$E:$E,"新增")</f>
        <v/>
      </c>
      <c r="H861" s="4">
        <f>-SUMIFS('01_異動主檔'!$F:$F,'01_異動主檔'!$B:$B,118,'01_異動主檔'!$D:$D,B861,'01_異動主檔'!$E:$E,"減列")</f>
        <v/>
      </c>
      <c r="I861" s="4">
        <f>-SUMIFS('01_異動主檔'!$F:$F,'01_異動主檔'!$B:$B,118,'01_異動主檔'!$D:$D,B861,'01_異動主檔'!$E:$E,"精簡")</f>
        <v/>
      </c>
      <c r="J861" s="10">
        <f>D861+E861+F861+G861+H861+I861</f>
        <v/>
      </c>
    </row>
    <row r="862" ht="18" customHeight="1">
      <c r="A862" s="6" t="inlineStr">
        <is>
          <t>D008</t>
        </is>
      </c>
      <c r="B862" s="5" t="inlineStr">
        <is>
          <t>核稿科</t>
        </is>
      </c>
      <c r="C862" s="6" t="n">
        <v>119</v>
      </c>
      <c r="D862" s="10">
        <f>J861</f>
        <v/>
      </c>
      <c r="E862" s="4">
        <f>SUMIFS('01_異動主檔'!$F:$F,'01_異動主檔'!$B:$B,119,'01_異動主檔'!$D:$D,B862,'01_異動主檔'!$E:$E,"移入")</f>
        <v/>
      </c>
      <c r="F862" s="4">
        <f>-SUMIFS('01_異動主檔'!$F:$F,'01_異動主檔'!$B:$B,119,'01_異動主檔'!$D:$D,B862,'01_異動主檔'!$E:$E,"移出")</f>
        <v/>
      </c>
      <c r="G862" s="4">
        <f>SUMIFS('01_異動主檔'!$F:$F,'01_異動主檔'!$B:$B,119,'01_異動主檔'!$D:$D,B862,'01_異動主檔'!$E:$E,"新增")</f>
        <v/>
      </c>
      <c r="H862" s="4">
        <f>-SUMIFS('01_異動主檔'!$F:$F,'01_異動主檔'!$B:$B,119,'01_異動主檔'!$D:$D,B862,'01_異動主檔'!$E:$E,"減列")</f>
        <v/>
      </c>
      <c r="I862" s="4">
        <f>-SUMIFS('01_異動主檔'!$F:$F,'01_異動主檔'!$B:$B,119,'01_異動主檔'!$D:$D,B862,'01_異動主檔'!$E:$E,"精簡")</f>
        <v/>
      </c>
      <c r="J862" s="10">
        <f>D862+E862+F862+G862+H862+I862</f>
        <v/>
      </c>
    </row>
    <row r="863" ht="18" customHeight="1">
      <c r="A863" s="4" t="inlineStr">
        <is>
          <t>D008</t>
        </is>
      </c>
      <c r="B863" s="3" t="inlineStr">
        <is>
          <t>核稿科</t>
        </is>
      </c>
      <c r="C863" s="4" t="n">
        <v>120</v>
      </c>
      <c r="D863" s="10">
        <f>J862</f>
        <v/>
      </c>
      <c r="E863" s="4">
        <f>SUMIFS('01_異動主檔'!$F:$F,'01_異動主檔'!$B:$B,120,'01_異動主檔'!$D:$D,B863,'01_異動主檔'!$E:$E,"移入")</f>
        <v/>
      </c>
      <c r="F863" s="4">
        <f>-SUMIFS('01_異動主檔'!$F:$F,'01_異動主檔'!$B:$B,120,'01_異動主檔'!$D:$D,B863,'01_異動主檔'!$E:$E,"移出")</f>
        <v/>
      </c>
      <c r="G863" s="4">
        <f>SUMIFS('01_異動主檔'!$F:$F,'01_異動主檔'!$B:$B,120,'01_異動主檔'!$D:$D,B863,'01_異動主檔'!$E:$E,"新增")</f>
        <v/>
      </c>
      <c r="H863" s="4">
        <f>-SUMIFS('01_異動主檔'!$F:$F,'01_異動主檔'!$B:$B,120,'01_異動主檔'!$D:$D,B863,'01_異動主檔'!$E:$E,"減列")</f>
        <v/>
      </c>
      <c r="I863" s="4">
        <f>-SUMIFS('01_異動主檔'!$F:$F,'01_異動主檔'!$B:$B,120,'01_異動主檔'!$D:$D,B863,'01_異動主檔'!$E:$E,"精簡")</f>
        <v/>
      </c>
      <c r="J863" s="10">
        <f>D863+E863+F863+G863+H863+I863</f>
        <v/>
      </c>
    </row>
    <row r="864" ht="18" customHeight="1">
      <c r="A864" s="6" t="inlineStr">
        <is>
          <t>D008</t>
        </is>
      </c>
      <c r="B864" s="5" t="inlineStr">
        <is>
          <t>核稿科</t>
        </is>
      </c>
      <c r="C864" s="6" t="n">
        <v>121</v>
      </c>
      <c r="D864" s="10">
        <f>J863</f>
        <v/>
      </c>
      <c r="E864" s="4">
        <f>SUMIFS('01_異動主檔'!$F:$F,'01_異動主檔'!$B:$B,121,'01_異動主檔'!$D:$D,B864,'01_異動主檔'!$E:$E,"移入")</f>
        <v/>
      </c>
      <c r="F864" s="4">
        <f>-SUMIFS('01_異動主檔'!$F:$F,'01_異動主檔'!$B:$B,121,'01_異動主檔'!$D:$D,B864,'01_異動主檔'!$E:$E,"移出")</f>
        <v/>
      </c>
      <c r="G864" s="4">
        <f>SUMIFS('01_異動主檔'!$F:$F,'01_異動主檔'!$B:$B,121,'01_異動主檔'!$D:$D,B864,'01_異動主檔'!$E:$E,"新增")</f>
        <v/>
      </c>
      <c r="H864" s="4">
        <f>-SUMIFS('01_異動主檔'!$F:$F,'01_異動主檔'!$B:$B,121,'01_異動主檔'!$D:$D,B864,'01_異動主檔'!$E:$E,"減列")</f>
        <v/>
      </c>
      <c r="I864" s="4">
        <f>-SUMIFS('01_異動主檔'!$F:$F,'01_異動主檔'!$B:$B,121,'01_異動主檔'!$D:$D,B864,'01_異動主檔'!$E:$E,"精簡")</f>
        <v/>
      </c>
      <c r="J864" s="10">
        <f>D864+E864+F864+G864+H864+I864</f>
        <v/>
      </c>
    </row>
    <row r="865" ht="18" customHeight="1">
      <c r="A865" s="4" t="inlineStr">
        <is>
          <t>D008</t>
        </is>
      </c>
      <c r="B865" s="3" t="inlineStr">
        <is>
          <t>核稿科</t>
        </is>
      </c>
      <c r="C865" s="4" t="n">
        <v>122</v>
      </c>
      <c r="D865" s="10">
        <f>J864</f>
        <v/>
      </c>
      <c r="E865" s="4">
        <f>SUMIFS('01_異動主檔'!$F:$F,'01_異動主檔'!$B:$B,122,'01_異動主檔'!$D:$D,B865,'01_異動主檔'!$E:$E,"移入")</f>
        <v/>
      </c>
      <c r="F865" s="4">
        <f>-SUMIFS('01_異動主檔'!$F:$F,'01_異動主檔'!$B:$B,122,'01_異動主檔'!$D:$D,B865,'01_異動主檔'!$E:$E,"移出")</f>
        <v/>
      </c>
      <c r="G865" s="4">
        <f>SUMIFS('01_異動主檔'!$F:$F,'01_異動主檔'!$B:$B,122,'01_異動主檔'!$D:$D,B865,'01_異動主檔'!$E:$E,"新增")</f>
        <v/>
      </c>
      <c r="H865" s="4">
        <f>-SUMIFS('01_異動主檔'!$F:$F,'01_異動主檔'!$B:$B,122,'01_異動主檔'!$D:$D,B865,'01_異動主檔'!$E:$E,"減列")</f>
        <v/>
      </c>
      <c r="I865" s="4">
        <f>-SUMIFS('01_異動主檔'!$F:$F,'01_異動主檔'!$B:$B,122,'01_異動主檔'!$D:$D,B865,'01_異動主檔'!$E:$E,"精簡")</f>
        <v/>
      </c>
      <c r="J865" s="10">
        <f>D865+E865+F865+G865+H865+I865</f>
        <v/>
      </c>
    </row>
    <row r="866" ht="18" customHeight="1">
      <c r="A866" s="6" t="inlineStr">
        <is>
          <t>D008</t>
        </is>
      </c>
      <c r="B866" s="5" t="inlineStr">
        <is>
          <t>核稿科</t>
        </is>
      </c>
      <c r="C866" s="6" t="n">
        <v>123</v>
      </c>
      <c r="D866" s="10">
        <f>J865</f>
        <v/>
      </c>
      <c r="E866" s="4">
        <f>SUMIFS('01_異動主檔'!$F:$F,'01_異動主檔'!$B:$B,123,'01_異動主檔'!$D:$D,B866,'01_異動主檔'!$E:$E,"移入")</f>
        <v/>
      </c>
      <c r="F866" s="4">
        <f>-SUMIFS('01_異動主檔'!$F:$F,'01_異動主檔'!$B:$B,123,'01_異動主檔'!$D:$D,B866,'01_異動主檔'!$E:$E,"移出")</f>
        <v/>
      </c>
      <c r="G866" s="4">
        <f>SUMIFS('01_異動主檔'!$F:$F,'01_異動主檔'!$B:$B,123,'01_異動主檔'!$D:$D,B866,'01_異動主檔'!$E:$E,"新增")</f>
        <v/>
      </c>
      <c r="H866" s="4">
        <f>-SUMIFS('01_異動主檔'!$F:$F,'01_異動主檔'!$B:$B,123,'01_異動主檔'!$D:$D,B866,'01_異動主檔'!$E:$E,"減列")</f>
        <v/>
      </c>
      <c r="I866" s="4">
        <f>-SUMIFS('01_異動主檔'!$F:$F,'01_異動主檔'!$B:$B,123,'01_異動主檔'!$D:$D,B866,'01_異動主檔'!$E:$E,"精簡")</f>
        <v/>
      </c>
      <c r="J866" s="10">
        <f>D866+E866+F866+G866+H866+I866</f>
        <v/>
      </c>
    </row>
    <row r="867" ht="18" customHeight="1">
      <c r="A867" s="4" t="inlineStr">
        <is>
          <t>D008</t>
        </is>
      </c>
      <c r="B867" s="3" t="inlineStr">
        <is>
          <t>核稿科</t>
        </is>
      </c>
      <c r="C867" s="4" t="n">
        <v>124</v>
      </c>
      <c r="D867" s="10">
        <f>J866</f>
        <v/>
      </c>
      <c r="E867" s="4">
        <f>SUMIFS('01_異動主檔'!$F:$F,'01_異動主檔'!$B:$B,124,'01_異動主檔'!$D:$D,B867,'01_異動主檔'!$E:$E,"移入")</f>
        <v/>
      </c>
      <c r="F867" s="4">
        <f>-SUMIFS('01_異動主檔'!$F:$F,'01_異動主檔'!$B:$B,124,'01_異動主檔'!$D:$D,B867,'01_異動主檔'!$E:$E,"移出")</f>
        <v/>
      </c>
      <c r="G867" s="4">
        <f>SUMIFS('01_異動主檔'!$F:$F,'01_異動主檔'!$B:$B,124,'01_異動主檔'!$D:$D,B867,'01_異動主檔'!$E:$E,"新增")</f>
        <v/>
      </c>
      <c r="H867" s="4">
        <f>-SUMIFS('01_異動主檔'!$F:$F,'01_異動主檔'!$B:$B,124,'01_異動主檔'!$D:$D,B867,'01_異動主檔'!$E:$E,"減列")</f>
        <v/>
      </c>
      <c r="I867" s="4">
        <f>-SUMIFS('01_異動主檔'!$F:$F,'01_異動主檔'!$B:$B,124,'01_異動主檔'!$D:$D,B867,'01_異動主檔'!$E:$E,"精簡")</f>
        <v/>
      </c>
      <c r="J867" s="10">
        <f>D867+E867+F867+G867+H867+I867</f>
        <v/>
      </c>
    </row>
    <row r="868" ht="18" customHeight="1">
      <c r="A868" s="6" t="inlineStr">
        <is>
          <t>D008</t>
        </is>
      </c>
      <c r="B868" s="5" t="inlineStr">
        <is>
          <t>核稿科</t>
        </is>
      </c>
      <c r="C868" s="6" t="n">
        <v>125</v>
      </c>
      <c r="D868" s="10">
        <f>J867</f>
        <v/>
      </c>
      <c r="E868" s="4">
        <f>SUMIFS('01_異動主檔'!$F:$F,'01_異動主檔'!$B:$B,125,'01_異動主檔'!$D:$D,B868,'01_異動主檔'!$E:$E,"移入")</f>
        <v/>
      </c>
      <c r="F868" s="4">
        <f>-SUMIFS('01_異動主檔'!$F:$F,'01_異動主檔'!$B:$B,125,'01_異動主檔'!$D:$D,B868,'01_異動主檔'!$E:$E,"移出")</f>
        <v/>
      </c>
      <c r="G868" s="4">
        <f>SUMIFS('01_異動主檔'!$F:$F,'01_異動主檔'!$B:$B,125,'01_異動主檔'!$D:$D,B868,'01_異動主檔'!$E:$E,"新增")</f>
        <v/>
      </c>
      <c r="H868" s="4">
        <f>-SUMIFS('01_異動主檔'!$F:$F,'01_異動主檔'!$B:$B,125,'01_異動主檔'!$D:$D,B868,'01_異動主檔'!$E:$E,"減列")</f>
        <v/>
      </c>
      <c r="I868" s="4">
        <f>-SUMIFS('01_異動主檔'!$F:$F,'01_異動主檔'!$B:$B,125,'01_異動主檔'!$D:$D,B868,'01_異動主檔'!$E:$E,"精簡")</f>
        <v/>
      </c>
      <c r="J868" s="10">
        <f>D868+E868+F868+G868+H868+I868</f>
        <v/>
      </c>
    </row>
    <row r="869" ht="18" customHeight="1">
      <c r="A869" s="4" t="inlineStr">
        <is>
          <t>E001</t>
        </is>
      </c>
      <c r="B869" s="3" t="inlineStr">
        <is>
          <t>訓練中心</t>
        </is>
      </c>
      <c r="C869" s="4" t="n">
        <v>99</v>
      </c>
      <c r="D869" s="10">
        <f>'02_年初員額設定'!C37</f>
        <v/>
      </c>
      <c r="E869" s="4">
        <f>SUMIFS('01_異動主檔'!$F:$F,'01_異動主檔'!$B:$B,99,'01_異動主檔'!$D:$D,B869,'01_異動主檔'!$E:$E,"移入")</f>
        <v/>
      </c>
      <c r="F869" s="4">
        <f>-SUMIFS('01_異動主檔'!$F:$F,'01_異動主檔'!$B:$B,99,'01_異動主檔'!$D:$D,B869,'01_異動主檔'!$E:$E,"移出")</f>
        <v/>
      </c>
      <c r="G869" s="4">
        <f>SUMIFS('01_異動主檔'!$F:$F,'01_異動主檔'!$B:$B,99,'01_異動主檔'!$D:$D,B869,'01_異動主檔'!$E:$E,"新增")</f>
        <v/>
      </c>
      <c r="H869" s="4">
        <f>-SUMIFS('01_異動主檔'!$F:$F,'01_異動主檔'!$B:$B,99,'01_異動主檔'!$D:$D,B869,'01_異動主檔'!$E:$E,"減列")</f>
        <v/>
      </c>
      <c r="I869" s="4">
        <f>-SUMIFS('01_異動主檔'!$F:$F,'01_異動主檔'!$B:$B,99,'01_異動主檔'!$D:$D,B869,'01_異動主檔'!$E:$E,"精簡")</f>
        <v/>
      </c>
      <c r="J869" s="10">
        <f>D869+E869+F869+G869+H869+I869</f>
        <v/>
      </c>
    </row>
    <row r="870" ht="18" customHeight="1">
      <c r="A870" s="6" t="inlineStr">
        <is>
          <t>E001</t>
        </is>
      </c>
      <c r="B870" s="5" t="inlineStr">
        <is>
          <t>訓練中心</t>
        </is>
      </c>
      <c r="C870" s="6" t="n">
        <v>100</v>
      </c>
      <c r="D870" s="10">
        <f>J869</f>
        <v/>
      </c>
      <c r="E870" s="4">
        <f>SUMIFS('01_異動主檔'!$F:$F,'01_異動主檔'!$B:$B,100,'01_異動主檔'!$D:$D,B870,'01_異動主檔'!$E:$E,"移入")</f>
        <v/>
      </c>
      <c r="F870" s="4">
        <f>-SUMIFS('01_異動主檔'!$F:$F,'01_異動主檔'!$B:$B,100,'01_異動主檔'!$D:$D,B870,'01_異動主檔'!$E:$E,"移出")</f>
        <v/>
      </c>
      <c r="G870" s="4">
        <f>SUMIFS('01_異動主檔'!$F:$F,'01_異動主檔'!$B:$B,100,'01_異動主檔'!$D:$D,B870,'01_異動主檔'!$E:$E,"新增")</f>
        <v/>
      </c>
      <c r="H870" s="4">
        <f>-SUMIFS('01_異動主檔'!$F:$F,'01_異動主檔'!$B:$B,100,'01_異動主檔'!$D:$D,B870,'01_異動主檔'!$E:$E,"減列")</f>
        <v/>
      </c>
      <c r="I870" s="4">
        <f>-SUMIFS('01_異動主檔'!$F:$F,'01_異動主檔'!$B:$B,100,'01_異動主檔'!$D:$D,B870,'01_異動主檔'!$E:$E,"精簡")</f>
        <v/>
      </c>
      <c r="J870" s="10">
        <f>D870+E870+F870+G870+H870+I870</f>
        <v/>
      </c>
    </row>
    <row r="871" ht="18" customHeight="1">
      <c r="A871" s="4" t="inlineStr">
        <is>
          <t>E001</t>
        </is>
      </c>
      <c r="B871" s="3" t="inlineStr">
        <is>
          <t>訓練中心</t>
        </is>
      </c>
      <c r="C871" s="4" t="n">
        <v>101</v>
      </c>
      <c r="D871" s="10">
        <f>J870</f>
        <v/>
      </c>
      <c r="E871" s="4">
        <f>SUMIFS('01_異動主檔'!$F:$F,'01_異動主檔'!$B:$B,101,'01_異動主檔'!$D:$D,B871,'01_異動主檔'!$E:$E,"移入")</f>
        <v/>
      </c>
      <c r="F871" s="4">
        <f>-SUMIFS('01_異動主檔'!$F:$F,'01_異動主檔'!$B:$B,101,'01_異動主檔'!$D:$D,B871,'01_異動主檔'!$E:$E,"移出")</f>
        <v/>
      </c>
      <c r="G871" s="4">
        <f>SUMIFS('01_異動主檔'!$F:$F,'01_異動主檔'!$B:$B,101,'01_異動主檔'!$D:$D,B871,'01_異動主檔'!$E:$E,"新增")</f>
        <v/>
      </c>
      <c r="H871" s="4">
        <f>-SUMIFS('01_異動主檔'!$F:$F,'01_異動主檔'!$B:$B,101,'01_異動主檔'!$D:$D,B871,'01_異動主檔'!$E:$E,"減列")</f>
        <v/>
      </c>
      <c r="I871" s="4">
        <f>-SUMIFS('01_異動主檔'!$F:$F,'01_異動主檔'!$B:$B,101,'01_異動主檔'!$D:$D,B871,'01_異動主檔'!$E:$E,"精簡")</f>
        <v/>
      </c>
      <c r="J871" s="10">
        <f>D871+E871+F871+G871+H871+I871</f>
        <v/>
      </c>
    </row>
    <row r="872" ht="18" customHeight="1">
      <c r="A872" s="6" t="inlineStr">
        <is>
          <t>E001</t>
        </is>
      </c>
      <c r="B872" s="5" t="inlineStr">
        <is>
          <t>訓練中心</t>
        </is>
      </c>
      <c r="C872" s="6" t="n">
        <v>102</v>
      </c>
      <c r="D872" s="10">
        <f>J871</f>
        <v/>
      </c>
      <c r="E872" s="4">
        <f>SUMIFS('01_異動主檔'!$F:$F,'01_異動主檔'!$B:$B,102,'01_異動主檔'!$D:$D,B872,'01_異動主檔'!$E:$E,"移入")</f>
        <v/>
      </c>
      <c r="F872" s="4">
        <f>-SUMIFS('01_異動主檔'!$F:$F,'01_異動主檔'!$B:$B,102,'01_異動主檔'!$D:$D,B872,'01_異動主檔'!$E:$E,"移出")</f>
        <v/>
      </c>
      <c r="G872" s="4">
        <f>SUMIFS('01_異動主檔'!$F:$F,'01_異動主檔'!$B:$B,102,'01_異動主檔'!$D:$D,B872,'01_異動主檔'!$E:$E,"新增")</f>
        <v/>
      </c>
      <c r="H872" s="4">
        <f>-SUMIFS('01_異動主檔'!$F:$F,'01_異動主檔'!$B:$B,102,'01_異動主檔'!$D:$D,B872,'01_異動主檔'!$E:$E,"減列")</f>
        <v/>
      </c>
      <c r="I872" s="4">
        <f>-SUMIFS('01_異動主檔'!$F:$F,'01_異動主檔'!$B:$B,102,'01_異動主檔'!$D:$D,B872,'01_異動主檔'!$E:$E,"精簡")</f>
        <v/>
      </c>
      <c r="J872" s="10">
        <f>D872+E872+F872+G872+H872+I872</f>
        <v/>
      </c>
    </row>
    <row r="873" ht="18" customHeight="1">
      <c r="A873" s="4" t="inlineStr">
        <is>
          <t>E001</t>
        </is>
      </c>
      <c r="B873" s="3" t="inlineStr">
        <is>
          <t>訓練中心</t>
        </is>
      </c>
      <c r="C873" s="4" t="n">
        <v>103</v>
      </c>
      <c r="D873" s="10">
        <f>J872</f>
        <v/>
      </c>
      <c r="E873" s="4">
        <f>SUMIFS('01_異動主檔'!$F:$F,'01_異動主檔'!$B:$B,103,'01_異動主檔'!$D:$D,B873,'01_異動主檔'!$E:$E,"移入")</f>
        <v/>
      </c>
      <c r="F873" s="4">
        <f>-SUMIFS('01_異動主檔'!$F:$F,'01_異動主檔'!$B:$B,103,'01_異動主檔'!$D:$D,B873,'01_異動主檔'!$E:$E,"移出")</f>
        <v/>
      </c>
      <c r="G873" s="4">
        <f>SUMIFS('01_異動主檔'!$F:$F,'01_異動主檔'!$B:$B,103,'01_異動主檔'!$D:$D,B873,'01_異動主檔'!$E:$E,"新增")</f>
        <v/>
      </c>
      <c r="H873" s="4">
        <f>-SUMIFS('01_異動主檔'!$F:$F,'01_異動主檔'!$B:$B,103,'01_異動主檔'!$D:$D,B873,'01_異動主檔'!$E:$E,"減列")</f>
        <v/>
      </c>
      <c r="I873" s="4">
        <f>-SUMIFS('01_異動主檔'!$F:$F,'01_異動主檔'!$B:$B,103,'01_異動主檔'!$D:$D,B873,'01_異動主檔'!$E:$E,"精簡")</f>
        <v/>
      </c>
      <c r="J873" s="10">
        <f>D873+E873+F873+G873+H873+I873</f>
        <v/>
      </c>
    </row>
    <row r="874" ht="18" customHeight="1">
      <c r="A874" s="6" t="inlineStr">
        <is>
          <t>E001</t>
        </is>
      </c>
      <c r="B874" s="5" t="inlineStr">
        <is>
          <t>訓練中心</t>
        </is>
      </c>
      <c r="C874" s="6" t="n">
        <v>104</v>
      </c>
      <c r="D874" s="10">
        <f>J873</f>
        <v/>
      </c>
      <c r="E874" s="4">
        <f>SUMIFS('01_異動主檔'!$F:$F,'01_異動主檔'!$B:$B,104,'01_異動主檔'!$D:$D,B874,'01_異動主檔'!$E:$E,"移入")</f>
        <v/>
      </c>
      <c r="F874" s="4">
        <f>-SUMIFS('01_異動主檔'!$F:$F,'01_異動主檔'!$B:$B,104,'01_異動主檔'!$D:$D,B874,'01_異動主檔'!$E:$E,"移出")</f>
        <v/>
      </c>
      <c r="G874" s="4">
        <f>SUMIFS('01_異動主檔'!$F:$F,'01_異動主檔'!$B:$B,104,'01_異動主檔'!$D:$D,B874,'01_異動主檔'!$E:$E,"新增")</f>
        <v/>
      </c>
      <c r="H874" s="4">
        <f>-SUMIFS('01_異動主檔'!$F:$F,'01_異動主檔'!$B:$B,104,'01_異動主檔'!$D:$D,B874,'01_異動主檔'!$E:$E,"減列")</f>
        <v/>
      </c>
      <c r="I874" s="4">
        <f>-SUMIFS('01_異動主檔'!$F:$F,'01_異動主檔'!$B:$B,104,'01_異動主檔'!$D:$D,B874,'01_異動主檔'!$E:$E,"精簡")</f>
        <v/>
      </c>
      <c r="J874" s="10">
        <f>D874+E874+F874+G874+H874+I874</f>
        <v/>
      </c>
    </row>
    <row r="875" ht="18" customHeight="1">
      <c r="A875" s="4" t="inlineStr">
        <is>
          <t>E001</t>
        </is>
      </c>
      <c r="B875" s="3" t="inlineStr">
        <is>
          <t>訓練中心</t>
        </is>
      </c>
      <c r="C875" s="4" t="n">
        <v>105</v>
      </c>
      <c r="D875" s="10">
        <f>J874</f>
        <v/>
      </c>
      <c r="E875" s="4">
        <f>SUMIFS('01_異動主檔'!$F:$F,'01_異動主檔'!$B:$B,105,'01_異動主檔'!$D:$D,B875,'01_異動主檔'!$E:$E,"移入")</f>
        <v/>
      </c>
      <c r="F875" s="4">
        <f>-SUMIFS('01_異動主檔'!$F:$F,'01_異動主檔'!$B:$B,105,'01_異動主檔'!$D:$D,B875,'01_異動主檔'!$E:$E,"移出")</f>
        <v/>
      </c>
      <c r="G875" s="4">
        <f>SUMIFS('01_異動主檔'!$F:$F,'01_異動主檔'!$B:$B,105,'01_異動主檔'!$D:$D,B875,'01_異動主檔'!$E:$E,"新增")</f>
        <v/>
      </c>
      <c r="H875" s="4">
        <f>-SUMIFS('01_異動主檔'!$F:$F,'01_異動主檔'!$B:$B,105,'01_異動主檔'!$D:$D,B875,'01_異動主檔'!$E:$E,"減列")</f>
        <v/>
      </c>
      <c r="I875" s="4">
        <f>-SUMIFS('01_異動主檔'!$F:$F,'01_異動主檔'!$B:$B,105,'01_異動主檔'!$D:$D,B875,'01_異動主檔'!$E:$E,"精簡")</f>
        <v/>
      </c>
      <c r="J875" s="10">
        <f>D875+E875+F875+G875+H875+I875</f>
        <v/>
      </c>
    </row>
    <row r="876" ht="18" customHeight="1">
      <c r="A876" s="6" t="inlineStr">
        <is>
          <t>E001</t>
        </is>
      </c>
      <c r="B876" s="5" t="inlineStr">
        <is>
          <t>訓練中心</t>
        </is>
      </c>
      <c r="C876" s="6" t="n">
        <v>106</v>
      </c>
      <c r="D876" s="10">
        <f>J875</f>
        <v/>
      </c>
      <c r="E876" s="4">
        <f>SUMIFS('01_異動主檔'!$F:$F,'01_異動主檔'!$B:$B,106,'01_異動主檔'!$D:$D,B876,'01_異動主檔'!$E:$E,"移入")</f>
        <v/>
      </c>
      <c r="F876" s="4">
        <f>-SUMIFS('01_異動主檔'!$F:$F,'01_異動主檔'!$B:$B,106,'01_異動主檔'!$D:$D,B876,'01_異動主檔'!$E:$E,"移出")</f>
        <v/>
      </c>
      <c r="G876" s="4">
        <f>SUMIFS('01_異動主檔'!$F:$F,'01_異動主檔'!$B:$B,106,'01_異動主檔'!$D:$D,B876,'01_異動主檔'!$E:$E,"新增")</f>
        <v/>
      </c>
      <c r="H876" s="4">
        <f>-SUMIFS('01_異動主檔'!$F:$F,'01_異動主檔'!$B:$B,106,'01_異動主檔'!$D:$D,B876,'01_異動主檔'!$E:$E,"減列")</f>
        <v/>
      </c>
      <c r="I876" s="4">
        <f>-SUMIFS('01_異動主檔'!$F:$F,'01_異動主檔'!$B:$B,106,'01_異動主檔'!$D:$D,B876,'01_異動主檔'!$E:$E,"精簡")</f>
        <v/>
      </c>
      <c r="J876" s="10">
        <f>D876+E876+F876+G876+H876+I876</f>
        <v/>
      </c>
    </row>
    <row r="877" ht="18" customHeight="1">
      <c r="A877" s="4" t="inlineStr">
        <is>
          <t>E001</t>
        </is>
      </c>
      <c r="B877" s="3" t="inlineStr">
        <is>
          <t>訓練中心</t>
        </is>
      </c>
      <c r="C877" s="4" t="n">
        <v>107</v>
      </c>
      <c r="D877" s="10">
        <f>J876</f>
        <v/>
      </c>
      <c r="E877" s="4">
        <f>SUMIFS('01_異動主檔'!$F:$F,'01_異動主檔'!$B:$B,107,'01_異動主檔'!$D:$D,B877,'01_異動主檔'!$E:$E,"移入")</f>
        <v/>
      </c>
      <c r="F877" s="4">
        <f>-SUMIFS('01_異動主檔'!$F:$F,'01_異動主檔'!$B:$B,107,'01_異動主檔'!$D:$D,B877,'01_異動主檔'!$E:$E,"移出")</f>
        <v/>
      </c>
      <c r="G877" s="4">
        <f>SUMIFS('01_異動主檔'!$F:$F,'01_異動主檔'!$B:$B,107,'01_異動主檔'!$D:$D,B877,'01_異動主檔'!$E:$E,"新增")</f>
        <v/>
      </c>
      <c r="H877" s="4">
        <f>-SUMIFS('01_異動主檔'!$F:$F,'01_異動主檔'!$B:$B,107,'01_異動主檔'!$D:$D,B877,'01_異動主檔'!$E:$E,"減列")</f>
        <v/>
      </c>
      <c r="I877" s="4">
        <f>-SUMIFS('01_異動主檔'!$F:$F,'01_異動主檔'!$B:$B,107,'01_異動主檔'!$D:$D,B877,'01_異動主檔'!$E:$E,"精簡")</f>
        <v/>
      </c>
      <c r="J877" s="10">
        <f>D877+E877+F877+G877+H877+I877</f>
        <v/>
      </c>
    </row>
    <row r="878" ht="18" customHeight="1">
      <c r="A878" s="6" t="inlineStr">
        <is>
          <t>E001</t>
        </is>
      </c>
      <c r="B878" s="5" t="inlineStr">
        <is>
          <t>訓練中心</t>
        </is>
      </c>
      <c r="C878" s="6" t="n">
        <v>108</v>
      </c>
      <c r="D878" s="10">
        <f>J877</f>
        <v/>
      </c>
      <c r="E878" s="4">
        <f>SUMIFS('01_異動主檔'!$F:$F,'01_異動主檔'!$B:$B,108,'01_異動主檔'!$D:$D,B878,'01_異動主檔'!$E:$E,"移入")</f>
        <v/>
      </c>
      <c r="F878" s="4">
        <f>-SUMIFS('01_異動主檔'!$F:$F,'01_異動主檔'!$B:$B,108,'01_異動主檔'!$D:$D,B878,'01_異動主檔'!$E:$E,"移出")</f>
        <v/>
      </c>
      <c r="G878" s="4">
        <f>SUMIFS('01_異動主檔'!$F:$F,'01_異動主檔'!$B:$B,108,'01_異動主檔'!$D:$D,B878,'01_異動主檔'!$E:$E,"新增")</f>
        <v/>
      </c>
      <c r="H878" s="4">
        <f>-SUMIFS('01_異動主檔'!$F:$F,'01_異動主檔'!$B:$B,108,'01_異動主檔'!$D:$D,B878,'01_異動主檔'!$E:$E,"減列")</f>
        <v/>
      </c>
      <c r="I878" s="4">
        <f>-SUMIFS('01_異動主檔'!$F:$F,'01_異動主檔'!$B:$B,108,'01_異動主檔'!$D:$D,B878,'01_異動主檔'!$E:$E,"精簡")</f>
        <v/>
      </c>
      <c r="J878" s="10">
        <f>D878+E878+F878+G878+H878+I878</f>
        <v/>
      </c>
    </row>
    <row r="879" ht="18" customHeight="1">
      <c r="A879" s="4" t="inlineStr">
        <is>
          <t>E001</t>
        </is>
      </c>
      <c r="B879" s="3" t="inlineStr">
        <is>
          <t>訓練中心</t>
        </is>
      </c>
      <c r="C879" s="4" t="n">
        <v>109</v>
      </c>
      <c r="D879" s="10">
        <f>J878</f>
        <v/>
      </c>
      <c r="E879" s="4">
        <f>SUMIFS('01_異動主檔'!$F:$F,'01_異動主檔'!$B:$B,109,'01_異動主檔'!$D:$D,B879,'01_異動主檔'!$E:$E,"移入")</f>
        <v/>
      </c>
      <c r="F879" s="4">
        <f>-SUMIFS('01_異動主檔'!$F:$F,'01_異動主檔'!$B:$B,109,'01_異動主檔'!$D:$D,B879,'01_異動主檔'!$E:$E,"移出")</f>
        <v/>
      </c>
      <c r="G879" s="4">
        <f>SUMIFS('01_異動主檔'!$F:$F,'01_異動主檔'!$B:$B,109,'01_異動主檔'!$D:$D,B879,'01_異動主檔'!$E:$E,"新增")</f>
        <v/>
      </c>
      <c r="H879" s="4">
        <f>-SUMIFS('01_異動主檔'!$F:$F,'01_異動主檔'!$B:$B,109,'01_異動主檔'!$D:$D,B879,'01_異動主檔'!$E:$E,"減列")</f>
        <v/>
      </c>
      <c r="I879" s="4">
        <f>-SUMIFS('01_異動主檔'!$F:$F,'01_異動主檔'!$B:$B,109,'01_異動主檔'!$D:$D,B879,'01_異動主檔'!$E:$E,"精簡")</f>
        <v/>
      </c>
      <c r="J879" s="10">
        <f>D879+E879+F879+G879+H879+I879</f>
        <v/>
      </c>
    </row>
    <row r="880" ht="18" customHeight="1">
      <c r="A880" s="6" t="inlineStr">
        <is>
          <t>E001</t>
        </is>
      </c>
      <c r="B880" s="5" t="inlineStr">
        <is>
          <t>訓練中心</t>
        </is>
      </c>
      <c r="C880" s="6" t="n">
        <v>110</v>
      </c>
      <c r="D880" s="10">
        <f>J879</f>
        <v/>
      </c>
      <c r="E880" s="4">
        <f>SUMIFS('01_異動主檔'!$F:$F,'01_異動主檔'!$B:$B,110,'01_異動主檔'!$D:$D,B880,'01_異動主檔'!$E:$E,"移入")</f>
        <v/>
      </c>
      <c r="F880" s="4">
        <f>-SUMIFS('01_異動主檔'!$F:$F,'01_異動主檔'!$B:$B,110,'01_異動主檔'!$D:$D,B880,'01_異動主檔'!$E:$E,"移出")</f>
        <v/>
      </c>
      <c r="G880" s="4">
        <f>SUMIFS('01_異動主檔'!$F:$F,'01_異動主檔'!$B:$B,110,'01_異動主檔'!$D:$D,B880,'01_異動主檔'!$E:$E,"新增")</f>
        <v/>
      </c>
      <c r="H880" s="4">
        <f>-SUMIFS('01_異動主檔'!$F:$F,'01_異動主檔'!$B:$B,110,'01_異動主檔'!$D:$D,B880,'01_異動主檔'!$E:$E,"減列")</f>
        <v/>
      </c>
      <c r="I880" s="4">
        <f>-SUMIFS('01_異動主檔'!$F:$F,'01_異動主檔'!$B:$B,110,'01_異動主檔'!$D:$D,B880,'01_異動主檔'!$E:$E,"精簡")</f>
        <v/>
      </c>
      <c r="J880" s="10">
        <f>D880+E880+F880+G880+H880+I880</f>
        <v/>
      </c>
    </row>
    <row r="881" ht="18" customHeight="1">
      <c r="A881" s="4" t="inlineStr">
        <is>
          <t>E001</t>
        </is>
      </c>
      <c r="B881" s="3" t="inlineStr">
        <is>
          <t>訓練中心</t>
        </is>
      </c>
      <c r="C881" s="4" t="n">
        <v>111</v>
      </c>
      <c r="D881" s="10">
        <f>J880</f>
        <v/>
      </c>
      <c r="E881" s="4">
        <f>SUMIFS('01_異動主檔'!$F:$F,'01_異動主檔'!$B:$B,111,'01_異動主檔'!$D:$D,B881,'01_異動主檔'!$E:$E,"移入")</f>
        <v/>
      </c>
      <c r="F881" s="4">
        <f>-SUMIFS('01_異動主檔'!$F:$F,'01_異動主檔'!$B:$B,111,'01_異動主檔'!$D:$D,B881,'01_異動主檔'!$E:$E,"移出")</f>
        <v/>
      </c>
      <c r="G881" s="4">
        <f>SUMIFS('01_異動主檔'!$F:$F,'01_異動主檔'!$B:$B,111,'01_異動主檔'!$D:$D,B881,'01_異動主檔'!$E:$E,"新增")</f>
        <v/>
      </c>
      <c r="H881" s="4">
        <f>-SUMIFS('01_異動主檔'!$F:$F,'01_異動主檔'!$B:$B,111,'01_異動主檔'!$D:$D,B881,'01_異動主檔'!$E:$E,"減列")</f>
        <v/>
      </c>
      <c r="I881" s="4">
        <f>-SUMIFS('01_異動主檔'!$F:$F,'01_異動主檔'!$B:$B,111,'01_異動主檔'!$D:$D,B881,'01_異動主檔'!$E:$E,"精簡")</f>
        <v/>
      </c>
      <c r="J881" s="10">
        <f>D881+E881+F881+G881+H881+I881</f>
        <v/>
      </c>
    </row>
    <row r="882" ht="18" customHeight="1">
      <c r="A882" s="6" t="inlineStr">
        <is>
          <t>E001</t>
        </is>
      </c>
      <c r="B882" s="5" t="inlineStr">
        <is>
          <t>訓練中心</t>
        </is>
      </c>
      <c r="C882" s="6" t="n">
        <v>112</v>
      </c>
      <c r="D882" s="10">
        <f>J881</f>
        <v/>
      </c>
      <c r="E882" s="4">
        <f>SUMIFS('01_異動主檔'!$F:$F,'01_異動主檔'!$B:$B,112,'01_異動主檔'!$D:$D,B882,'01_異動主檔'!$E:$E,"移入")</f>
        <v/>
      </c>
      <c r="F882" s="4">
        <f>-SUMIFS('01_異動主檔'!$F:$F,'01_異動主檔'!$B:$B,112,'01_異動主檔'!$D:$D,B882,'01_異動主檔'!$E:$E,"移出")</f>
        <v/>
      </c>
      <c r="G882" s="4">
        <f>SUMIFS('01_異動主檔'!$F:$F,'01_異動主檔'!$B:$B,112,'01_異動主檔'!$D:$D,B882,'01_異動主檔'!$E:$E,"新增")</f>
        <v/>
      </c>
      <c r="H882" s="4">
        <f>-SUMIFS('01_異動主檔'!$F:$F,'01_異動主檔'!$B:$B,112,'01_異動主檔'!$D:$D,B882,'01_異動主檔'!$E:$E,"減列")</f>
        <v/>
      </c>
      <c r="I882" s="4">
        <f>-SUMIFS('01_異動主檔'!$F:$F,'01_異動主檔'!$B:$B,112,'01_異動主檔'!$D:$D,B882,'01_異動主檔'!$E:$E,"精簡")</f>
        <v/>
      </c>
      <c r="J882" s="10">
        <f>D882+E882+F882+G882+H882+I882</f>
        <v/>
      </c>
    </row>
    <row r="883" ht="18" customHeight="1">
      <c r="A883" s="4" t="inlineStr">
        <is>
          <t>E001</t>
        </is>
      </c>
      <c r="B883" s="3" t="inlineStr">
        <is>
          <t>訓練中心</t>
        </is>
      </c>
      <c r="C883" s="4" t="n">
        <v>113</v>
      </c>
      <c r="D883" s="10">
        <f>J882</f>
        <v/>
      </c>
      <c r="E883" s="4">
        <f>SUMIFS('01_異動主檔'!$F:$F,'01_異動主檔'!$B:$B,113,'01_異動主檔'!$D:$D,B883,'01_異動主檔'!$E:$E,"移入")</f>
        <v/>
      </c>
      <c r="F883" s="4">
        <f>-SUMIFS('01_異動主檔'!$F:$F,'01_異動主檔'!$B:$B,113,'01_異動主檔'!$D:$D,B883,'01_異動主檔'!$E:$E,"移出")</f>
        <v/>
      </c>
      <c r="G883" s="4">
        <f>SUMIFS('01_異動主檔'!$F:$F,'01_異動主檔'!$B:$B,113,'01_異動主檔'!$D:$D,B883,'01_異動主檔'!$E:$E,"新增")</f>
        <v/>
      </c>
      <c r="H883" s="4">
        <f>-SUMIFS('01_異動主檔'!$F:$F,'01_異動主檔'!$B:$B,113,'01_異動主檔'!$D:$D,B883,'01_異動主檔'!$E:$E,"減列")</f>
        <v/>
      </c>
      <c r="I883" s="4">
        <f>-SUMIFS('01_異動主檔'!$F:$F,'01_異動主檔'!$B:$B,113,'01_異動主檔'!$D:$D,B883,'01_異動主檔'!$E:$E,"精簡")</f>
        <v/>
      </c>
      <c r="J883" s="10">
        <f>D883+E883+F883+G883+H883+I883</f>
        <v/>
      </c>
    </row>
    <row r="884" ht="18" customHeight="1">
      <c r="A884" s="6" t="inlineStr">
        <is>
          <t>E001</t>
        </is>
      </c>
      <c r="B884" s="5" t="inlineStr">
        <is>
          <t>訓練中心</t>
        </is>
      </c>
      <c r="C884" s="6" t="n">
        <v>114</v>
      </c>
      <c r="D884" s="10">
        <f>J883</f>
        <v/>
      </c>
      <c r="E884" s="4">
        <f>SUMIFS('01_異動主檔'!$F:$F,'01_異動主檔'!$B:$B,114,'01_異動主檔'!$D:$D,B884,'01_異動主檔'!$E:$E,"移入")</f>
        <v/>
      </c>
      <c r="F884" s="4">
        <f>-SUMIFS('01_異動主檔'!$F:$F,'01_異動主檔'!$B:$B,114,'01_異動主檔'!$D:$D,B884,'01_異動主檔'!$E:$E,"移出")</f>
        <v/>
      </c>
      <c r="G884" s="4">
        <f>SUMIFS('01_異動主檔'!$F:$F,'01_異動主檔'!$B:$B,114,'01_異動主檔'!$D:$D,B884,'01_異動主檔'!$E:$E,"新增")</f>
        <v/>
      </c>
      <c r="H884" s="4">
        <f>-SUMIFS('01_異動主檔'!$F:$F,'01_異動主檔'!$B:$B,114,'01_異動主檔'!$D:$D,B884,'01_異動主檔'!$E:$E,"減列")</f>
        <v/>
      </c>
      <c r="I884" s="4">
        <f>-SUMIFS('01_異動主檔'!$F:$F,'01_異動主檔'!$B:$B,114,'01_異動主檔'!$D:$D,B884,'01_異動主檔'!$E:$E,"精簡")</f>
        <v/>
      </c>
      <c r="J884" s="10">
        <f>D884+E884+F884+G884+H884+I884</f>
        <v/>
      </c>
    </row>
    <row r="885" ht="18" customHeight="1">
      <c r="A885" s="4" t="inlineStr">
        <is>
          <t>E001</t>
        </is>
      </c>
      <c r="B885" s="3" t="inlineStr">
        <is>
          <t>訓練中心</t>
        </is>
      </c>
      <c r="C885" s="4" t="n">
        <v>115</v>
      </c>
      <c r="D885" s="10">
        <f>J884</f>
        <v/>
      </c>
      <c r="E885" s="4">
        <f>SUMIFS('01_異動主檔'!$F:$F,'01_異動主檔'!$B:$B,115,'01_異動主檔'!$D:$D,B885,'01_異動主檔'!$E:$E,"移入")</f>
        <v/>
      </c>
      <c r="F885" s="4">
        <f>-SUMIFS('01_異動主檔'!$F:$F,'01_異動主檔'!$B:$B,115,'01_異動主檔'!$D:$D,B885,'01_異動主檔'!$E:$E,"移出")</f>
        <v/>
      </c>
      <c r="G885" s="4">
        <f>SUMIFS('01_異動主檔'!$F:$F,'01_異動主檔'!$B:$B,115,'01_異動主檔'!$D:$D,B885,'01_異動主檔'!$E:$E,"新增")</f>
        <v/>
      </c>
      <c r="H885" s="4">
        <f>-SUMIFS('01_異動主檔'!$F:$F,'01_異動主檔'!$B:$B,115,'01_異動主檔'!$D:$D,B885,'01_異動主檔'!$E:$E,"減列")</f>
        <v/>
      </c>
      <c r="I885" s="4">
        <f>-SUMIFS('01_異動主檔'!$F:$F,'01_異動主檔'!$B:$B,115,'01_異動主檔'!$D:$D,B885,'01_異動主檔'!$E:$E,"精簡")</f>
        <v/>
      </c>
      <c r="J885" s="10">
        <f>D885+E885+F885+G885+H885+I885</f>
        <v/>
      </c>
    </row>
    <row r="886" ht="18" customHeight="1">
      <c r="A886" s="6" t="inlineStr">
        <is>
          <t>E001</t>
        </is>
      </c>
      <c r="B886" s="5" t="inlineStr">
        <is>
          <t>訓練中心</t>
        </is>
      </c>
      <c r="C886" s="6" t="n">
        <v>116</v>
      </c>
      <c r="D886" s="10">
        <f>J885</f>
        <v/>
      </c>
      <c r="E886" s="4">
        <f>SUMIFS('01_異動主檔'!$F:$F,'01_異動主檔'!$B:$B,116,'01_異動主檔'!$D:$D,B886,'01_異動主檔'!$E:$E,"移入")</f>
        <v/>
      </c>
      <c r="F886" s="4">
        <f>-SUMIFS('01_異動主檔'!$F:$F,'01_異動主檔'!$B:$B,116,'01_異動主檔'!$D:$D,B886,'01_異動主檔'!$E:$E,"移出")</f>
        <v/>
      </c>
      <c r="G886" s="4">
        <f>SUMIFS('01_異動主檔'!$F:$F,'01_異動主檔'!$B:$B,116,'01_異動主檔'!$D:$D,B886,'01_異動主檔'!$E:$E,"新增")</f>
        <v/>
      </c>
      <c r="H886" s="4">
        <f>-SUMIFS('01_異動主檔'!$F:$F,'01_異動主檔'!$B:$B,116,'01_異動主檔'!$D:$D,B886,'01_異動主檔'!$E:$E,"減列")</f>
        <v/>
      </c>
      <c r="I886" s="4">
        <f>-SUMIFS('01_異動主檔'!$F:$F,'01_異動主檔'!$B:$B,116,'01_異動主檔'!$D:$D,B886,'01_異動主檔'!$E:$E,"精簡")</f>
        <v/>
      </c>
      <c r="J886" s="10">
        <f>D886+E886+F886+G886+H886+I886</f>
        <v/>
      </c>
    </row>
    <row r="887" ht="18" customHeight="1">
      <c r="A887" s="4" t="inlineStr">
        <is>
          <t>E001</t>
        </is>
      </c>
      <c r="B887" s="3" t="inlineStr">
        <is>
          <t>訓練中心</t>
        </is>
      </c>
      <c r="C887" s="4" t="n">
        <v>117</v>
      </c>
      <c r="D887" s="10">
        <f>J886</f>
        <v/>
      </c>
      <c r="E887" s="4">
        <f>SUMIFS('01_異動主檔'!$F:$F,'01_異動主檔'!$B:$B,117,'01_異動主檔'!$D:$D,B887,'01_異動主檔'!$E:$E,"移入")</f>
        <v/>
      </c>
      <c r="F887" s="4">
        <f>-SUMIFS('01_異動主檔'!$F:$F,'01_異動主檔'!$B:$B,117,'01_異動主檔'!$D:$D,B887,'01_異動主檔'!$E:$E,"移出")</f>
        <v/>
      </c>
      <c r="G887" s="4">
        <f>SUMIFS('01_異動主檔'!$F:$F,'01_異動主檔'!$B:$B,117,'01_異動主檔'!$D:$D,B887,'01_異動主檔'!$E:$E,"新增")</f>
        <v/>
      </c>
      <c r="H887" s="4">
        <f>-SUMIFS('01_異動主檔'!$F:$F,'01_異動主檔'!$B:$B,117,'01_異動主檔'!$D:$D,B887,'01_異動主檔'!$E:$E,"減列")</f>
        <v/>
      </c>
      <c r="I887" s="4">
        <f>-SUMIFS('01_異動主檔'!$F:$F,'01_異動主檔'!$B:$B,117,'01_異動主檔'!$D:$D,B887,'01_異動主檔'!$E:$E,"精簡")</f>
        <v/>
      </c>
      <c r="J887" s="10">
        <f>D887+E887+F887+G887+H887+I887</f>
        <v/>
      </c>
    </row>
    <row r="888" ht="18" customHeight="1">
      <c r="A888" s="6" t="inlineStr">
        <is>
          <t>E001</t>
        </is>
      </c>
      <c r="B888" s="5" t="inlineStr">
        <is>
          <t>訓練中心</t>
        </is>
      </c>
      <c r="C888" s="6" t="n">
        <v>118</v>
      </c>
      <c r="D888" s="10">
        <f>J887</f>
        <v/>
      </c>
      <c r="E888" s="4">
        <f>SUMIFS('01_異動主檔'!$F:$F,'01_異動主檔'!$B:$B,118,'01_異動主檔'!$D:$D,B888,'01_異動主檔'!$E:$E,"移入")</f>
        <v/>
      </c>
      <c r="F888" s="4">
        <f>-SUMIFS('01_異動主檔'!$F:$F,'01_異動主檔'!$B:$B,118,'01_異動主檔'!$D:$D,B888,'01_異動主檔'!$E:$E,"移出")</f>
        <v/>
      </c>
      <c r="G888" s="4">
        <f>SUMIFS('01_異動主檔'!$F:$F,'01_異動主檔'!$B:$B,118,'01_異動主檔'!$D:$D,B888,'01_異動主檔'!$E:$E,"新增")</f>
        <v/>
      </c>
      <c r="H888" s="4">
        <f>-SUMIFS('01_異動主檔'!$F:$F,'01_異動主檔'!$B:$B,118,'01_異動主檔'!$D:$D,B888,'01_異動主檔'!$E:$E,"減列")</f>
        <v/>
      </c>
      <c r="I888" s="4">
        <f>-SUMIFS('01_異動主檔'!$F:$F,'01_異動主檔'!$B:$B,118,'01_異動主檔'!$D:$D,B888,'01_異動主檔'!$E:$E,"精簡")</f>
        <v/>
      </c>
      <c r="J888" s="10">
        <f>D888+E888+F888+G888+H888+I888</f>
        <v/>
      </c>
    </row>
    <row r="889" ht="18" customHeight="1">
      <c r="A889" s="4" t="inlineStr">
        <is>
          <t>E001</t>
        </is>
      </c>
      <c r="B889" s="3" t="inlineStr">
        <is>
          <t>訓練中心</t>
        </is>
      </c>
      <c r="C889" s="4" t="n">
        <v>119</v>
      </c>
      <c r="D889" s="10">
        <f>J888</f>
        <v/>
      </c>
      <c r="E889" s="4">
        <f>SUMIFS('01_異動主檔'!$F:$F,'01_異動主檔'!$B:$B,119,'01_異動主檔'!$D:$D,B889,'01_異動主檔'!$E:$E,"移入")</f>
        <v/>
      </c>
      <c r="F889" s="4">
        <f>-SUMIFS('01_異動主檔'!$F:$F,'01_異動主檔'!$B:$B,119,'01_異動主檔'!$D:$D,B889,'01_異動主檔'!$E:$E,"移出")</f>
        <v/>
      </c>
      <c r="G889" s="4">
        <f>SUMIFS('01_異動主檔'!$F:$F,'01_異動主檔'!$B:$B,119,'01_異動主檔'!$D:$D,B889,'01_異動主檔'!$E:$E,"新增")</f>
        <v/>
      </c>
      <c r="H889" s="4">
        <f>-SUMIFS('01_異動主檔'!$F:$F,'01_異動主檔'!$B:$B,119,'01_異動主檔'!$D:$D,B889,'01_異動主檔'!$E:$E,"減列")</f>
        <v/>
      </c>
      <c r="I889" s="4">
        <f>-SUMIFS('01_異動主檔'!$F:$F,'01_異動主檔'!$B:$B,119,'01_異動主檔'!$D:$D,B889,'01_異動主檔'!$E:$E,"精簡")</f>
        <v/>
      </c>
      <c r="J889" s="10">
        <f>D889+E889+F889+G889+H889+I889</f>
        <v/>
      </c>
    </row>
    <row r="890" ht="18" customHeight="1">
      <c r="A890" s="6" t="inlineStr">
        <is>
          <t>E001</t>
        </is>
      </c>
      <c r="B890" s="5" t="inlineStr">
        <is>
          <t>訓練中心</t>
        </is>
      </c>
      <c r="C890" s="6" t="n">
        <v>120</v>
      </c>
      <c r="D890" s="10">
        <f>J889</f>
        <v/>
      </c>
      <c r="E890" s="4">
        <f>SUMIFS('01_異動主檔'!$F:$F,'01_異動主檔'!$B:$B,120,'01_異動主檔'!$D:$D,B890,'01_異動主檔'!$E:$E,"移入")</f>
        <v/>
      </c>
      <c r="F890" s="4">
        <f>-SUMIFS('01_異動主檔'!$F:$F,'01_異動主檔'!$B:$B,120,'01_異動主檔'!$D:$D,B890,'01_異動主檔'!$E:$E,"移出")</f>
        <v/>
      </c>
      <c r="G890" s="4">
        <f>SUMIFS('01_異動主檔'!$F:$F,'01_異動主檔'!$B:$B,120,'01_異動主檔'!$D:$D,B890,'01_異動主檔'!$E:$E,"新增")</f>
        <v/>
      </c>
      <c r="H890" s="4">
        <f>-SUMIFS('01_異動主檔'!$F:$F,'01_異動主檔'!$B:$B,120,'01_異動主檔'!$D:$D,B890,'01_異動主檔'!$E:$E,"減列")</f>
        <v/>
      </c>
      <c r="I890" s="4">
        <f>-SUMIFS('01_異動主檔'!$F:$F,'01_異動主檔'!$B:$B,120,'01_異動主檔'!$D:$D,B890,'01_異動主檔'!$E:$E,"精簡")</f>
        <v/>
      </c>
      <c r="J890" s="10">
        <f>D890+E890+F890+G890+H890+I890</f>
        <v/>
      </c>
    </row>
    <row r="891" ht="18" customHeight="1">
      <c r="A891" s="4" t="inlineStr">
        <is>
          <t>E001</t>
        </is>
      </c>
      <c r="B891" s="3" t="inlineStr">
        <is>
          <t>訓練中心</t>
        </is>
      </c>
      <c r="C891" s="4" t="n">
        <v>121</v>
      </c>
      <c r="D891" s="10">
        <f>J890</f>
        <v/>
      </c>
      <c r="E891" s="4">
        <f>SUMIFS('01_異動主檔'!$F:$F,'01_異動主檔'!$B:$B,121,'01_異動主檔'!$D:$D,B891,'01_異動主檔'!$E:$E,"移入")</f>
        <v/>
      </c>
      <c r="F891" s="4">
        <f>-SUMIFS('01_異動主檔'!$F:$F,'01_異動主檔'!$B:$B,121,'01_異動主檔'!$D:$D,B891,'01_異動主檔'!$E:$E,"移出")</f>
        <v/>
      </c>
      <c r="G891" s="4">
        <f>SUMIFS('01_異動主檔'!$F:$F,'01_異動主檔'!$B:$B,121,'01_異動主檔'!$D:$D,B891,'01_異動主檔'!$E:$E,"新增")</f>
        <v/>
      </c>
      <c r="H891" s="4">
        <f>-SUMIFS('01_異動主檔'!$F:$F,'01_異動主檔'!$B:$B,121,'01_異動主檔'!$D:$D,B891,'01_異動主檔'!$E:$E,"減列")</f>
        <v/>
      </c>
      <c r="I891" s="4">
        <f>-SUMIFS('01_異動主檔'!$F:$F,'01_異動主檔'!$B:$B,121,'01_異動主檔'!$D:$D,B891,'01_異動主檔'!$E:$E,"精簡")</f>
        <v/>
      </c>
      <c r="J891" s="10">
        <f>D891+E891+F891+G891+H891+I891</f>
        <v/>
      </c>
    </row>
    <row r="892" ht="18" customHeight="1">
      <c r="A892" s="6" t="inlineStr">
        <is>
          <t>E001</t>
        </is>
      </c>
      <c r="B892" s="5" t="inlineStr">
        <is>
          <t>訓練中心</t>
        </is>
      </c>
      <c r="C892" s="6" t="n">
        <v>122</v>
      </c>
      <c r="D892" s="10">
        <f>J891</f>
        <v/>
      </c>
      <c r="E892" s="4">
        <f>SUMIFS('01_異動主檔'!$F:$F,'01_異動主檔'!$B:$B,122,'01_異動主檔'!$D:$D,B892,'01_異動主檔'!$E:$E,"移入")</f>
        <v/>
      </c>
      <c r="F892" s="4">
        <f>-SUMIFS('01_異動主檔'!$F:$F,'01_異動主檔'!$B:$B,122,'01_異動主檔'!$D:$D,B892,'01_異動主檔'!$E:$E,"移出")</f>
        <v/>
      </c>
      <c r="G892" s="4">
        <f>SUMIFS('01_異動主檔'!$F:$F,'01_異動主檔'!$B:$B,122,'01_異動主檔'!$D:$D,B892,'01_異動主檔'!$E:$E,"新增")</f>
        <v/>
      </c>
      <c r="H892" s="4">
        <f>-SUMIFS('01_異動主檔'!$F:$F,'01_異動主檔'!$B:$B,122,'01_異動主檔'!$D:$D,B892,'01_異動主檔'!$E:$E,"減列")</f>
        <v/>
      </c>
      <c r="I892" s="4">
        <f>-SUMIFS('01_異動主檔'!$F:$F,'01_異動主檔'!$B:$B,122,'01_異動主檔'!$D:$D,B892,'01_異動主檔'!$E:$E,"精簡")</f>
        <v/>
      </c>
      <c r="J892" s="10">
        <f>D892+E892+F892+G892+H892+I892</f>
        <v/>
      </c>
    </row>
    <row r="893" ht="18" customHeight="1">
      <c r="A893" s="4" t="inlineStr">
        <is>
          <t>E001</t>
        </is>
      </c>
      <c r="B893" s="3" t="inlineStr">
        <is>
          <t>訓練中心</t>
        </is>
      </c>
      <c r="C893" s="4" t="n">
        <v>123</v>
      </c>
      <c r="D893" s="10">
        <f>J892</f>
        <v/>
      </c>
      <c r="E893" s="4">
        <f>SUMIFS('01_異動主檔'!$F:$F,'01_異動主檔'!$B:$B,123,'01_異動主檔'!$D:$D,B893,'01_異動主檔'!$E:$E,"移入")</f>
        <v/>
      </c>
      <c r="F893" s="4">
        <f>-SUMIFS('01_異動主檔'!$F:$F,'01_異動主檔'!$B:$B,123,'01_異動主檔'!$D:$D,B893,'01_異動主檔'!$E:$E,"移出")</f>
        <v/>
      </c>
      <c r="G893" s="4">
        <f>SUMIFS('01_異動主檔'!$F:$F,'01_異動主檔'!$B:$B,123,'01_異動主檔'!$D:$D,B893,'01_異動主檔'!$E:$E,"新增")</f>
        <v/>
      </c>
      <c r="H893" s="4">
        <f>-SUMIFS('01_異動主檔'!$F:$F,'01_異動主檔'!$B:$B,123,'01_異動主檔'!$D:$D,B893,'01_異動主檔'!$E:$E,"減列")</f>
        <v/>
      </c>
      <c r="I893" s="4">
        <f>-SUMIFS('01_異動主檔'!$F:$F,'01_異動主檔'!$B:$B,123,'01_異動主檔'!$D:$D,B893,'01_異動主檔'!$E:$E,"精簡")</f>
        <v/>
      </c>
      <c r="J893" s="10">
        <f>D893+E893+F893+G893+H893+I893</f>
        <v/>
      </c>
    </row>
    <row r="894" ht="18" customHeight="1">
      <c r="A894" s="6" t="inlineStr">
        <is>
          <t>E001</t>
        </is>
      </c>
      <c r="B894" s="5" t="inlineStr">
        <is>
          <t>訓練中心</t>
        </is>
      </c>
      <c r="C894" s="6" t="n">
        <v>124</v>
      </c>
      <c r="D894" s="10">
        <f>J893</f>
        <v/>
      </c>
      <c r="E894" s="4">
        <f>SUMIFS('01_異動主檔'!$F:$F,'01_異動主檔'!$B:$B,124,'01_異動主檔'!$D:$D,B894,'01_異動主檔'!$E:$E,"移入")</f>
        <v/>
      </c>
      <c r="F894" s="4">
        <f>-SUMIFS('01_異動主檔'!$F:$F,'01_異動主檔'!$B:$B,124,'01_異動主檔'!$D:$D,B894,'01_異動主檔'!$E:$E,"移出")</f>
        <v/>
      </c>
      <c r="G894" s="4">
        <f>SUMIFS('01_異動主檔'!$F:$F,'01_異動主檔'!$B:$B,124,'01_異動主檔'!$D:$D,B894,'01_異動主檔'!$E:$E,"新增")</f>
        <v/>
      </c>
      <c r="H894" s="4">
        <f>-SUMIFS('01_異動主檔'!$F:$F,'01_異動主檔'!$B:$B,124,'01_異動主檔'!$D:$D,B894,'01_異動主檔'!$E:$E,"減列")</f>
        <v/>
      </c>
      <c r="I894" s="4">
        <f>-SUMIFS('01_異動主檔'!$F:$F,'01_異動主檔'!$B:$B,124,'01_異動主檔'!$D:$D,B894,'01_異動主檔'!$E:$E,"精簡")</f>
        <v/>
      </c>
      <c r="J894" s="10">
        <f>D894+E894+F894+G894+H894+I894</f>
        <v/>
      </c>
    </row>
    <row r="895" ht="18" customHeight="1">
      <c r="A895" s="4" t="inlineStr">
        <is>
          <t>E001</t>
        </is>
      </c>
      <c r="B895" s="3" t="inlineStr">
        <is>
          <t>訓練中心</t>
        </is>
      </c>
      <c r="C895" s="4" t="n">
        <v>125</v>
      </c>
      <c r="D895" s="10">
        <f>J894</f>
        <v/>
      </c>
      <c r="E895" s="4">
        <f>SUMIFS('01_異動主檔'!$F:$F,'01_異動主檔'!$B:$B,125,'01_異動主檔'!$D:$D,B895,'01_異動主檔'!$E:$E,"移入")</f>
        <v/>
      </c>
      <c r="F895" s="4">
        <f>-SUMIFS('01_異動主檔'!$F:$F,'01_異動主檔'!$B:$B,125,'01_異動主檔'!$D:$D,B895,'01_異動主檔'!$E:$E,"移出")</f>
        <v/>
      </c>
      <c r="G895" s="4">
        <f>SUMIFS('01_異動主檔'!$F:$F,'01_異動主檔'!$B:$B,125,'01_異動主檔'!$D:$D,B895,'01_異動主檔'!$E:$E,"新增")</f>
        <v/>
      </c>
      <c r="H895" s="4">
        <f>-SUMIFS('01_異動主檔'!$F:$F,'01_異動主檔'!$B:$B,125,'01_異動主檔'!$D:$D,B895,'01_異動主檔'!$E:$E,"減列")</f>
        <v/>
      </c>
      <c r="I895" s="4">
        <f>-SUMIFS('01_異動主檔'!$F:$F,'01_異動主檔'!$B:$B,125,'01_異動主檔'!$D:$D,B895,'01_異動主檔'!$E:$E,"精簡")</f>
        <v/>
      </c>
      <c r="J895" s="10">
        <f>D895+E895+F895+G895+H895+I895</f>
        <v/>
      </c>
    </row>
    <row r="896" ht="18" customHeight="1">
      <c r="A896" s="6" t="inlineStr">
        <is>
          <t>E002</t>
        </is>
      </c>
      <c r="B896" s="5" t="inlineStr">
        <is>
          <t>研發中心</t>
        </is>
      </c>
      <c r="C896" s="6" t="n">
        <v>99</v>
      </c>
      <c r="D896" s="10">
        <f>'02_年初員額設定'!C38</f>
        <v/>
      </c>
      <c r="E896" s="4">
        <f>SUMIFS('01_異動主檔'!$F:$F,'01_異動主檔'!$B:$B,99,'01_異動主檔'!$D:$D,B896,'01_異動主檔'!$E:$E,"移入")</f>
        <v/>
      </c>
      <c r="F896" s="4">
        <f>-SUMIFS('01_異動主檔'!$F:$F,'01_異動主檔'!$B:$B,99,'01_異動主檔'!$D:$D,B896,'01_異動主檔'!$E:$E,"移出")</f>
        <v/>
      </c>
      <c r="G896" s="4">
        <f>SUMIFS('01_異動主檔'!$F:$F,'01_異動主檔'!$B:$B,99,'01_異動主檔'!$D:$D,B896,'01_異動主檔'!$E:$E,"新增")</f>
        <v/>
      </c>
      <c r="H896" s="4">
        <f>-SUMIFS('01_異動主檔'!$F:$F,'01_異動主檔'!$B:$B,99,'01_異動主檔'!$D:$D,B896,'01_異動主檔'!$E:$E,"減列")</f>
        <v/>
      </c>
      <c r="I896" s="4">
        <f>-SUMIFS('01_異動主檔'!$F:$F,'01_異動主檔'!$B:$B,99,'01_異動主檔'!$D:$D,B896,'01_異動主檔'!$E:$E,"精簡")</f>
        <v/>
      </c>
      <c r="J896" s="10">
        <f>D896+E896+F896+G896+H896+I896</f>
        <v/>
      </c>
    </row>
    <row r="897" ht="18" customHeight="1">
      <c r="A897" s="4" t="inlineStr">
        <is>
          <t>E002</t>
        </is>
      </c>
      <c r="B897" s="3" t="inlineStr">
        <is>
          <t>研發中心</t>
        </is>
      </c>
      <c r="C897" s="4" t="n">
        <v>100</v>
      </c>
      <c r="D897" s="10">
        <f>J896</f>
        <v/>
      </c>
      <c r="E897" s="4">
        <f>SUMIFS('01_異動主檔'!$F:$F,'01_異動主檔'!$B:$B,100,'01_異動主檔'!$D:$D,B897,'01_異動主檔'!$E:$E,"移入")</f>
        <v/>
      </c>
      <c r="F897" s="4">
        <f>-SUMIFS('01_異動主檔'!$F:$F,'01_異動主檔'!$B:$B,100,'01_異動主檔'!$D:$D,B897,'01_異動主檔'!$E:$E,"移出")</f>
        <v/>
      </c>
      <c r="G897" s="4">
        <f>SUMIFS('01_異動主檔'!$F:$F,'01_異動主檔'!$B:$B,100,'01_異動主檔'!$D:$D,B897,'01_異動主檔'!$E:$E,"新增")</f>
        <v/>
      </c>
      <c r="H897" s="4">
        <f>-SUMIFS('01_異動主檔'!$F:$F,'01_異動主檔'!$B:$B,100,'01_異動主檔'!$D:$D,B897,'01_異動主檔'!$E:$E,"減列")</f>
        <v/>
      </c>
      <c r="I897" s="4">
        <f>-SUMIFS('01_異動主檔'!$F:$F,'01_異動主檔'!$B:$B,100,'01_異動主檔'!$D:$D,B897,'01_異動主檔'!$E:$E,"精簡")</f>
        <v/>
      </c>
      <c r="J897" s="10">
        <f>D897+E897+F897+G897+H897+I897</f>
        <v/>
      </c>
    </row>
    <row r="898" ht="18" customHeight="1">
      <c r="A898" s="6" t="inlineStr">
        <is>
          <t>E002</t>
        </is>
      </c>
      <c r="B898" s="5" t="inlineStr">
        <is>
          <t>研發中心</t>
        </is>
      </c>
      <c r="C898" s="6" t="n">
        <v>101</v>
      </c>
      <c r="D898" s="10">
        <f>J897</f>
        <v/>
      </c>
      <c r="E898" s="4">
        <f>SUMIFS('01_異動主檔'!$F:$F,'01_異動主檔'!$B:$B,101,'01_異動主檔'!$D:$D,B898,'01_異動主檔'!$E:$E,"移入")</f>
        <v/>
      </c>
      <c r="F898" s="4">
        <f>-SUMIFS('01_異動主檔'!$F:$F,'01_異動主檔'!$B:$B,101,'01_異動主檔'!$D:$D,B898,'01_異動主檔'!$E:$E,"移出")</f>
        <v/>
      </c>
      <c r="G898" s="4">
        <f>SUMIFS('01_異動主檔'!$F:$F,'01_異動主檔'!$B:$B,101,'01_異動主檔'!$D:$D,B898,'01_異動主檔'!$E:$E,"新增")</f>
        <v/>
      </c>
      <c r="H898" s="4">
        <f>-SUMIFS('01_異動主檔'!$F:$F,'01_異動主檔'!$B:$B,101,'01_異動主檔'!$D:$D,B898,'01_異動主檔'!$E:$E,"減列")</f>
        <v/>
      </c>
      <c r="I898" s="4">
        <f>-SUMIFS('01_異動主檔'!$F:$F,'01_異動主檔'!$B:$B,101,'01_異動主檔'!$D:$D,B898,'01_異動主檔'!$E:$E,"精簡")</f>
        <v/>
      </c>
      <c r="J898" s="10">
        <f>D898+E898+F898+G898+H898+I898</f>
        <v/>
      </c>
    </row>
    <row r="899" ht="18" customHeight="1">
      <c r="A899" s="4" t="inlineStr">
        <is>
          <t>E002</t>
        </is>
      </c>
      <c r="B899" s="3" t="inlineStr">
        <is>
          <t>研發中心</t>
        </is>
      </c>
      <c r="C899" s="4" t="n">
        <v>102</v>
      </c>
      <c r="D899" s="10">
        <f>J898</f>
        <v/>
      </c>
      <c r="E899" s="4">
        <f>SUMIFS('01_異動主檔'!$F:$F,'01_異動主檔'!$B:$B,102,'01_異動主檔'!$D:$D,B899,'01_異動主檔'!$E:$E,"移入")</f>
        <v/>
      </c>
      <c r="F899" s="4">
        <f>-SUMIFS('01_異動主檔'!$F:$F,'01_異動主檔'!$B:$B,102,'01_異動主檔'!$D:$D,B899,'01_異動主檔'!$E:$E,"移出")</f>
        <v/>
      </c>
      <c r="G899" s="4">
        <f>SUMIFS('01_異動主檔'!$F:$F,'01_異動主檔'!$B:$B,102,'01_異動主檔'!$D:$D,B899,'01_異動主檔'!$E:$E,"新增")</f>
        <v/>
      </c>
      <c r="H899" s="4">
        <f>-SUMIFS('01_異動主檔'!$F:$F,'01_異動主檔'!$B:$B,102,'01_異動主檔'!$D:$D,B899,'01_異動主檔'!$E:$E,"減列")</f>
        <v/>
      </c>
      <c r="I899" s="4">
        <f>-SUMIFS('01_異動主檔'!$F:$F,'01_異動主檔'!$B:$B,102,'01_異動主檔'!$D:$D,B899,'01_異動主檔'!$E:$E,"精簡")</f>
        <v/>
      </c>
      <c r="J899" s="10">
        <f>D899+E899+F899+G899+H899+I899</f>
        <v/>
      </c>
    </row>
    <row r="900" ht="18" customHeight="1">
      <c r="A900" s="6" t="inlineStr">
        <is>
          <t>E002</t>
        </is>
      </c>
      <c r="B900" s="5" t="inlineStr">
        <is>
          <t>研發中心</t>
        </is>
      </c>
      <c r="C900" s="6" t="n">
        <v>103</v>
      </c>
      <c r="D900" s="10">
        <f>J899</f>
        <v/>
      </c>
      <c r="E900" s="4">
        <f>SUMIFS('01_異動主檔'!$F:$F,'01_異動主檔'!$B:$B,103,'01_異動主檔'!$D:$D,B900,'01_異動主檔'!$E:$E,"移入")</f>
        <v/>
      </c>
      <c r="F900" s="4">
        <f>-SUMIFS('01_異動主檔'!$F:$F,'01_異動主檔'!$B:$B,103,'01_異動主檔'!$D:$D,B900,'01_異動主檔'!$E:$E,"移出")</f>
        <v/>
      </c>
      <c r="G900" s="4">
        <f>SUMIFS('01_異動主檔'!$F:$F,'01_異動主檔'!$B:$B,103,'01_異動主檔'!$D:$D,B900,'01_異動主檔'!$E:$E,"新增")</f>
        <v/>
      </c>
      <c r="H900" s="4">
        <f>-SUMIFS('01_異動主檔'!$F:$F,'01_異動主檔'!$B:$B,103,'01_異動主檔'!$D:$D,B900,'01_異動主檔'!$E:$E,"減列")</f>
        <v/>
      </c>
      <c r="I900" s="4">
        <f>-SUMIFS('01_異動主檔'!$F:$F,'01_異動主檔'!$B:$B,103,'01_異動主檔'!$D:$D,B900,'01_異動主檔'!$E:$E,"精簡")</f>
        <v/>
      </c>
      <c r="J900" s="10">
        <f>D900+E900+F900+G900+H900+I900</f>
        <v/>
      </c>
    </row>
    <row r="901" ht="18" customHeight="1">
      <c r="A901" s="4" t="inlineStr">
        <is>
          <t>E002</t>
        </is>
      </c>
      <c r="B901" s="3" t="inlineStr">
        <is>
          <t>研發中心</t>
        </is>
      </c>
      <c r="C901" s="4" t="n">
        <v>104</v>
      </c>
      <c r="D901" s="10">
        <f>J900</f>
        <v/>
      </c>
      <c r="E901" s="4">
        <f>SUMIFS('01_異動主檔'!$F:$F,'01_異動主檔'!$B:$B,104,'01_異動主檔'!$D:$D,B901,'01_異動主檔'!$E:$E,"移入")</f>
        <v/>
      </c>
      <c r="F901" s="4">
        <f>-SUMIFS('01_異動主檔'!$F:$F,'01_異動主檔'!$B:$B,104,'01_異動主檔'!$D:$D,B901,'01_異動主檔'!$E:$E,"移出")</f>
        <v/>
      </c>
      <c r="G901" s="4">
        <f>SUMIFS('01_異動主檔'!$F:$F,'01_異動主檔'!$B:$B,104,'01_異動主檔'!$D:$D,B901,'01_異動主檔'!$E:$E,"新增")</f>
        <v/>
      </c>
      <c r="H901" s="4">
        <f>-SUMIFS('01_異動主檔'!$F:$F,'01_異動主檔'!$B:$B,104,'01_異動主檔'!$D:$D,B901,'01_異動主檔'!$E:$E,"減列")</f>
        <v/>
      </c>
      <c r="I901" s="4">
        <f>-SUMIFS('01_異動主檔'!$F:$F,'01_異動主檔'!$B:$B,104,'01_異動主檔'!$D:$D,B901,'01_異動主檔'!$E:$E,"精簡")</f>
        <v/>
      </c>
      <c r="J901" s="10">
        <f>D901+E901+F901+G901+H901+I901</f>
        <v/>
      </c>
    </row>
    <row r="902" ht="18" customHeight="1">
      <c r="A902" s="6" t="inlineStr">
        <is>
          <t>E002</t>
        </is>
      </c>
      <c r="B902" s="5" t="inlineStr">
        <is>
          <t>研發中心</t>
        </is>
      </c>
      <c r="C902" s="6" t="n">
        <v>105</v>
      </c>
      <c r="D902" s="10">
        <f>J901</f>
        <v/>
      </c>
      <c r="E902" s="4">
        <f>SUMIFS('01_異動主檔'!$F:$F,'01_異動主檔'!$B:$B,105,'01_異動主檔'!$D:$D,B902,'01_異動主檔'!$E:$E,"移入")</f>
        <v/>
      </c>
      <c r="F902" s="4">
        <f>-SUMIFS('01_異動主檔'!$F:$F,'01_異動主檔'!$B:$B,105,'01_異動主檔'!$D:$D,B902,'01_異動主檔'!$E:$E,"移出")</f>
        <v/>
      </c>
      <c r="G902" s="4">
        <f>SUMIFS('01_異動主檔'!$F:$F,'01_異動主檔'!$B:$B,105,'01_異動主檔'!$D:$D,B902,'01_異動主檔'!$E:$E,"新增")</f>
        <v/>
      </c>
      <c r="H902" s="4">
        <f>-SUMIFS('01_異動主檔'!$F:$F,'01_異動主檔'!$B:$B,105,'01_異動主檔'!$D:$D,B902,'01_異動主檔'!$E:$E,"減列")</f>
        <v/>
      </c>
      <c r="I902" s="4">
        <f>-SUMIFS('01_異動主檔'!$F:$F,'01_異動主檔'!$B:$B,105,'01_異動主檔'!$D:$D,B902,'01_異動主檔'!$E:$E,"精簡")</f>
        <v/>
      </c>
      <c r="J902" s="10">
        <f>D902+E902+F902+G902+H902+I902</f>
        <v/>
      </c>
    </row>
    <row r="903" ht="18" customHeight="1">
      <c r="A903" s="4" t="inlineStr">
        <is>
          <t>E002</t>
        </is>
      </c>
      <c r="B903" s="3" t="inlineStr">
        <is>
          <t>研發中心</t>
        </is>
      </c>
      <c r="C903" s="4" t="n">
        <v>106</v>
      </c>
      <c r="D903" s="10">
        <f>J902</f>
        <v/>
      </c>
      <c r="E903" s="4">
        <f>SUMIFS('01_異動主檔'!$F:$F,'01_異動主檔'!$B:$B,106,'01_異動主檔'!$D:$D,B903,'01_異動主檔'!$E:$E,"移入")</f>
        <v/>
      </c>
      <c r="F903" s="4">
        <f>-SUMIFS('01_異動主檔'!$F:$F,'01_異動主檔'!$B:$B,106,'01_異動主檔'!$D:$D,B903,'01_異動主檔'!$E:$E,"移出")</f>
        <v/>
      </c>
      <c r="G903" s="4">
        <f>SUMIFS('01_異動主檔'!$F:$F,'01_異動主檔'!$B:$B,106,'01_異動主檔'!$D:$D,B903,'01_異動主檔'!$E:$E,"新增")</f>
        <v/>
      </c>
      <c r="H903" s="4">
        <f>-SUMIFS('01_異動主檔'!$F:$F,'01_異動主檔'!$B:$B,106,'01_異動主檔'!$D:$D,B903,'01_異動主檔'!$E:$E,"減列")</f>
        <v/>
      </c>
      <c r="I903" s="4">
        <f>-SUMIFS('01_異動主檔'!$F:$F,'01_異動主檔'!$B:$B,106,'01_異動主檔'!$D:$D,B903,'01_異動主檔'!$E:$E,"精簡")</f>
        <v/>
      </c>
      <c r="J903" s="10">
        <f>D903+E903+F903+G903+H903+I903</f>
        <v/>
      </c>
    </row>
    <row r="904" ht="18" customHeight="1">
      <c r="A904" s="6" t="inlineStr">
        <is>
          <t>E002</t>
        </is>
      </c>
      <c r="B904" s="5" t="inlineStr">
        <is>
          <t>研發中心</t>
        </is>
      </c>
      <c r="C904" s="6" t="n">
        <v>107</v>
      </c>
      <c r="D904" s="10">
        <f>J903</f>
        <v/>
      </c>
      <c r="E904" s="4">
        <f>SUMIFS('01_異動主檔'!$F:$F,'01_異動主檔'!$B:$B,107,'01_異動主檔'!$D:$D,B904,'01_異動主檔'!$E:$E,"移入")</f>
        <v/>
      </c>
      <c r="F904" s="4">
        <f>-SUMIFS('01_異動主檔'!$F:$F,'01_異動主檔'!$B:$B,107,'01_異動主檔'!$D:$D,B904,'01_異動主檔'!$E:$E,"移出")</f>
        <v/>
      </c>
      <c r="G904" s="4">
        <f>SUMIFS('01_異動主檔'!$F:$F,'01_異動主檔'!$B:$B,107,'01_異動主檔'!$D:$D,B904,'01_異動主檔'!$E:$E,"新增")</f>
        <v/>
      </c>
      <c r="H904" s="4">
        <f>-SUMIFS('01_異動主檔'!$F:$F,'01_異動主檔'!$B:$B,107,'01_異動主檔'!$D:$D,B904,'01_異動主檔'!$E:$E,"減列")</f>
        <v/>
      </c>
      <c r="I904" s="4">
        <f>-SUMIFS('01_異動主檔'!$F:$F,'01_異動主檔'!$B:$B,107,'01_異動主檔'!$D:$D,B904,'01_異動主檔'!$E:$E,"精簡")</f>
        <v/>
      </c>
      <c r="J904" s="10">
        <f>D904+E904+F904+G904+H904+I904</f>
        <v/>
      </c>
    </row>
    <row r="905" ht="18" customHeight="1">
      <c r="A905" s="4" t="inlineStr">
        <is>
          <t>E002</t>
        </is>
      </c>
      <c r="B905" s="3" t="inlineStr">
        <is>
          <t>研發中心</t>
        </is>
      </c>
      <c r="C905" s="4" t="n">
        <v>108</v>
      </c>
      <c r="D905" s="10">
        <f>J904</f>
        <v/>
      </c>
      <c r="E905" s="4">
        <f>SUMIFS('01_異動主檔'!$F:$F,'01_異動主檔'!$B:$B,108,'01_異動主檔'!$D:$D,B905,'01_異動主檔'!$E:$E,"移入")</f>
        <v/>
      </c>
      <c r="F905" s="4">
        <f>-SUMIFS('01_異動主檔'!$F:$F,'01_異動主檔'!$B:$B,108,'01_異動主檔'!$D:$D,B905,'01_異動主檔'!$E:$E,"移出")</f>
        <v/>
      </c>
      <c r="G905" s="4">
        <f>SUMIFS('01_異動主檔'!$F:$F,'01_異動主檔'!$B:$B,108,'01_異動主檔'!$D:$D,B905,'01_異動主檔'!$E:$E,"新增")</f>
        <v/>
      </c>
      <c r="H905" s="4">
        <f>-SUMIFS('01_異動主檔'!$F:$F,'01_異動主檔'!$B:$B,108,'01_異動主檔'!$D:$D,B905,'01_異動主檔'!$E:$E,"減列")</f>
        <v/>
      </c>
      <c r="I905" s="4">
        <f>-SUMIFS('01_異動主檔'!$F:$F,'01_異動主檔'!$B:$B,108,'01_異動主檔'!$D:$D,B905,'01_異動主檔'!$E:$E,"精簡")</f>
        <v/>
      </c>
      <c r="J905" s="10">
        <f>D905+E905+F905+G905+H905+I905</f>
        <v/>
      </c>
    </row>
    <row r="906" ht="18" customHeight="1">
      <c r="A906" s="6" t="inlineStr">
        <is>
          <t>E002</t>
        </is>
      </c>
      <c r="B906" s="5" t="inlineStr">
        <is>
          <t>研發中心</t>
        </is>
      </c>
      <c r="C906" s="6" t="n">
        <v>109</v>
      </c>
      <c r="D906" s="10">
        <f>J905</f>
        <v/>
      </c>
      <c r="E906" s="4">
        <f>SUMIFS('01_異動主檔'!$F:$F,'01_異動主檔'!$B:$B,109,'01_異動主檔'!$D:$D,B906,'01_異動主檔'!$E:$E,"移入")</f>
        <v/>
      </c>
      <c r="F906" s="4">
        <f>-SUMIFS('01_異動主檔'!$F:$F,'01_異動主檔'!$B:$B,109,'01_異動主檔'!$D:$D,B906,'01_異動主檔'!$E:$E,"移出")</f>
        <v/>
      </c>
      <c r="G906" s="4">
        <f>SUMIFS('01_異動主檔'!$F:$F,'01_異動主檔'!$B:$B,109,'01_異動主檔'!$D:$D,B906,'01_異動主檔'!$E:$E,"新增")</f>
        <v/>
      </c>
      <c r="H906" s="4">
        <f>-SUMIFS('01_異動主檔'!$F:$F,'01_異動主檔'!$B:$B,109,'01_異動主檔'!$D:$D,B906,'01_異動主檔'!$E:$E,"減列")</f>
        <v/>
      </c>
      <c r="I906" s="4">
        <f>-SUMIFS('01_異動主檔'!$F:$F,'01_異動主檔'!$B:$B,109,'01_異動主檔'!$D:$D,B906,'01_異動主檔'!$E:$E,"精簡")</f>
        <v/>
      </c>
      <c r="J906" s="10">
        <f>D906+E906+F906+G906+H906+I906</f>
        <v/>
      </c>
    </row>
    <row r="907" ht="18" customHeight="1">
      <c r="A907" s="4" t="inlineStr">
        <is>
          <t>E002</t>
        </is>
      </c>
      <c r="B907" s="3" t="inlineStr">
        <is>
          <t>研發中心</t>
        </is>
      </c>
      <c r="C907" s="4" t="n">
        <v>110</v>
      </c>
      <c r="D907" s="10">
        <f>J906</f>
        <v/>
      </c>
      <c r="E907" s="4">
        <f>SUMIFS('01_異動主檔'!$F:$F,'01_異動主檔'!$B:$B,110,'01_異動主檔'!$D:$D,B907,'01_異動主檔'!$E:$E,"移入")</f>
        <v/>
      </c>
      <c r="F907" s="4">
        <f>-SUMIFS('01_異動主檔'!$F:$F,'01_異動主檔'!$B:$B,110,'01_異動主檔'!$D:$D,B907,'01_異動主檔'!$E:$E,"移出")</f>
        <v/>
      </c>
      <c r="G907" s="4">
        <f>SUMIFS('01_異動主檔'!$F:$F,'01_異動主檔'!$B:$B,110,'01_異動主檔'!$D:$D,B907,'01_異動主檔'!$E:$E,"新增")</f>
        <v/>
      </c>
      <c r="H907" s="4">
        <f>-SUMIFS('01_異動主檔'!$F:$F,'01_異動主檔'!$B:$B,110,'01_異動主檔'!$D:$D,B907,'01_異動主檔'!$E:$E,"減列")</f>
        <v/>
      </c>
      <c r="I907" s="4">
        <f>-SUMIFS('01_異動主檔'!$F:$F,'01_異動主檔'!$B:$B,110,'01_異動主檔'!$D:$D,B907,'01_異動主檔'!$E:$E,"精簡")</f>
        <v/>
      </c>
      <c r="J907" s="10">
        <f>D907+E907+F907+G907+H907+I907</f>
        <v/>
      </c>
    </row>
    <row r="908" ht="18" customHeight="1">
      <c r="A908" s="6" t="inlineStr">
        <is>
          <t>E002</t>
        </is>
      </c>
      <c r="B908" s="5" t="inlineStr">
        <is>
          <t>研發中心</t>
        </is>
      </c>
      <c r="C908" s="6" t="n">
        <v>111</v>
      </c>
      <c r="D908" s="10">
        <f>J907</f>
        <v/>
      </c>
      <c r="E908" s="4">
        <f>SUMIFS('01_異動主檔'!$F:$F,'01_異動主檔'!$B:$B,111,'01_異動主檔'!$D:$D,B908,'01_異動主檔'!$E:$E,"移入")</f>
        <v/>
      </c>
      <c r="F908" s="4">
        <f>-SUMIFS('01_異動主檔'!$F:$F,'01_異動主檔'!$B:$B,111,'01_異動主檔'!$D:$D,B908,'01_異動主檔'!$E:$E,"移出")</f>
        <v/>
      </c>
      <c r="G908" s="4">
        <f>SUMIFS('01_異動主檔'!$F:$F,'01_異動主檔'!$B:$B,111,'01_異動主檔'!$D:$D,B908,'01_異動主檔'!$E:$E,"新增")</f>
        <v/>
      </c>
      <c r="H908" s="4">
        <f>-SUMIFS('01_異動主檔'!$F:$F,'01_異動主檔'!$B:$B,111,'01_異動主檔'!$D:$D,B908,'01_異動主檔'!$E:$E,"減列")</f>
        <v/>
      </c>
      <c r="I908" s="4">
        <f>-SUMIFS('01_異動主檔'!$F:$F,'01_異動主檔'!$B:$B,111,'01_異動主檔'!$D:$D,B908,'01_異動主檔'!$E:$E,"精簡")</f>
        <v/>
      </c>
      <c r="J908" s="10">
        <f>D908+E908+F908+G908+H908+I908</f>
        <v/>
      </c>
    </row>
    <row r="909" ht="18" customHeight="1">
      <c r="A909" s="4" t="inlineStr">
        <is>
          <t>E002</t>
        </is>
      </c>
      <c r="B909" s="3" t="inlineStr">
        <is>
          <t>研發中心</t>
        </is>
      </c>
      <c r="C909" s="4" t="n">
        <v>112</v>
      </c>
      <c r="D909" s="10">
        <f>J908</f>
        <v/>
      </c>
      <c r="E909" s="4">
        <f>SUMIFS('01_異動主檔'!$F:$F,'01_異動主檔'!$B:$B,112,'01_異動主檔'!$D:$D,B909,'01_異動主檔'!$E:$E,"移入")</f>
        <v/>
      </c>
      <c r="F909" s="4">
        <f>-SUMIFS('01_異動主檔'!$F:$F,'01_異動主檔'!$B:$B,112,'01_異動主檔'!$D:$D,B909,'01_異動主檔'!$E:$E,"移出")</f>
        <v/>
      </c>
      <c r="G909" s="4">
        <f>SUMIFS('01_異動主檔'!$F:$F,'01_異動主檔'!$B:$B,112,'01_異動主檔'!$D:$D,B909,'01_異動主檔'!$E:$E,"新增")</f>
        <v/>
      </c>
      <c r="H909" s="4">
        <f>-SUMIFS('01_異動主檔'!$F:$F,'01_異動主檔'!$B:$B,112,'01_異動主檔'!$D:$D,B909,'01_異動主檔'!$E:$E,"減列")</f>
        <v/>
      </c>
      <c r="I909" s="4">
        <f>-SUMIFS('01_異動主檔'!$F:$F,'01_異動主檔'!$B:$B,112,'01_異動主檔'!$D:$D,B909,'01_異動主檔'!$E:$E,"精簡")</f>
        <v/>
      </c>
      <c r="J909" s="10">
        <f>D909+E909+F909+G909+H909+I909</f>
        <v/>
      </c>
    </row>
    <row r="910" ht="18" customHeight="1">
      <c r="A910" s="6" t="inlineStr">
        <is>
          <t>E002</t>
        </is>
      </c>
      <c r="B910" s="5" t="inlineStr">
        <is>
          <t>研發中心</t>
        </is>
      </c>
      <c r="C910" s="6" t="n">
        <v>113</v>
      </c>
      <c r="D910" s="10">
        <f>J909</f>
        <v/>
      </c>
      <c r="E910" s="4">
        <f>SUMIFS('01_異動主檔'!$F:$F,'01_異動主檔'!$B:$B,113,'01_異動主檔'!$D:$D,B910,'01_異動主檔'!$E:$E,"移入")</f>
        <v/>
      </c>
      <c r="F910" s="4">
        <f>-SUMIFS('01_異動主檔'!$F:$F,'01_異動主檔'!$B:$B,113,'01_異動主檔'!$D:$D,B910,'01_異動主檔'!$E:$E,"移出")</f>
        <v/>
      </c>
      <c r="G910" s="4">
        <f>SUMIFS('01_異動主檔'!$F:$F,'01_異動主檔'!$B:$B,113,'01_異動主檔'!$D:$D,B910,'01_異動主檔'!$E:$E,"新增")</f>
        <v/>
      </c>
      <c r="H910" s="4">
        <f>-SUMIFS('01_異動主檔'!$F:$F,'01_異動主檔'!$B:$B,113,'01_異動主檔'!$D:$D,B910,'01_異動主檔'!$E:$E,"減列")</f>
        <v/>
      </c>
      <c r="I910" s="4">
        <f>-SUMIFS('01_異動主檔'!$F:$F,'01_異動主檔'!$B:$B,113,'01_異動主檔'!$D:$D,B910,'01_異動主檔'!$E:$E,"精簡")</f>
        <v/>
      </c>
      <c r="J910" s="10">
        <f>D910+E910+F910+G910+H910+I910</f>
        <v/>
      </c>
    </row>
    <row r="911" ht="18" customHeight="1">
      <c r="A911" s="4" t="inlineStr">
        <is>
          <t>E002</t>
        </is>
      </c>
      <c r="B911" s="3" t="inlineStr">
        <is>
          <t>研發中心</t>
        </is>
      </c>
      <c r="C911" s="4" t="n">
        <v>114</v>
      </c>
      <c r="D911" s="10">
        <f>J910</f>
        <v/>
      </c>
      <c r="E911" s="4">
        <f>SUMIFS('01_異動主檔'!$F:$F,'01_異動主檔'!$B:$B,114,'01_異動主檔'!$D:$D,B911,'01_異動主檔'!$E:$E,"移入")</f>
        <v/>
      </c>
      <c r="F911" s="4">
        <f>-SUMIFS('01_異動主檔'!$F:$F,'01_異動主檔'!$B:$B,114,'01_異動主檔'!$D:$D,B911,'01_異動主檔'!$E:$E,"移出")</f>
        <v/>
      </c>
      <c r="G911" s="4">
        <f>SUMIFS('01_異動主檔'!$F:$F,'01_異動主檔'!$B:$B,114,'01_異動主檔'!$D:$D,B911,'01_異動主檔'!$E:$E,"新增")</f>
        <v/>
      </c>
      <c r="H911" s="4">
        <f>-SUMIFS('01_異動主檔'!$F:$F,'01_異動主檔'!$B:$B,114,'01_異動主檔'!$D:$D,B911,'01_異動主檔'!$E:$E,"減列")</f>
        <v/>
      </c>
      <c r="I911" s="4">
        <f>-SUMIFS('01_異動主檔'!$F:$F,'01_異動主檔'!$B:$B,114,'01_異動主檔'!$D:$D,B911,'01_異動主檔'!$E:$E,"精簡")</f>
        <v/>
      </c>
      <c r="J911" s="10">
        <f>D911+E911+F911+G911+H911+I911</f>
        <v/>
      </c>
    </row>
    <row r="912" ht="18" customHeight="1">
      <c r="A912" s="6" t="inlineStr">
        <is>
          <t>E002</t>
        </is>
      </c>
      <c r="B912" s="5" t="inlineStr">
        <is>
          <t>研發中心</t>
        </is>
      </c>
      <c r="C912" s="6" t="n">
        <v>115</v>
      </c>
      <c r="D912" s="10">
        <f>J911</f>
        <v/>
      </c>
      <c r="E912" s="4">
        <f>SUMIFS('01_異動主檔'!$F:$F,'01_異動主檔'!$B:$B,115,'01_異動主檔'!$D:$D,B912,'01_異動主檔'!$E:$E,"移入")</f>
        <v/>
      </c>
      <c r="F912" s="4">
        <f>-SUMIFS('01_異動主檔'!$F:$F,'01_異動主檔'!$B:$B,115,'01_異動主檔'!$D:$D,B912,'01_異動主檔'!$E:$E,"移出")</f>
        <v/>
      </c>
      <c r="G912" s="4">
        <f>SUMIFS('01_異動主檔'!$F:$F,'01_異動主檔'!$B:$B,115,'01_異動主檔'!$D:$D,B912,'01_異動主檔'!$E:$E,"新增")</f>
        <v/>
      </c>
      <c r="H912" s="4">
        <f>-SUMIFS('01_異動主檔'!$F:$F,'01_異動主檔'!$B:$B,115,'01_異動主檔'!$D:$D,B912,'01_異動主檔'!$E:$E,"減列")</f>
        <v/>
      </c>
      <c r="I912" s="4">
        <f>-SUMIFS('01_異動主檔'!$F:$F,'01_異動主檔'!$B:$B,115,'01_異動主檔'!$D:$D,B912,'01_異動主檔'!$E:$E,"精簡")</f>
        <v/>
      </c>
      <c r="J912" s="10">
        <f>D912+E912+F912+G912+H912+I912</f>
        <v/>
      </c>
    </row>
    <row r="913" ht="18" customHeight="1">
      <c r="A913" s="4" t="inlineStr">
        <is>
          <t>E002</t>
        </is>
      </c>
      <c r="B913" s="3" t="inlineStr">
        <is>
          <t>研發中心</t>
        </is>
      </c>
      <c r="C913" s="4" t="n">
        <v>116</v>
      </c>
      <c r="D913" s="10">
        <f>J912</f>
        <v/>
      </c>
      <c r="E913" s="4">
        <f>SUMIFS('01_異動主檔'!$F:$F,'01_異動主檔'!$B:$B,116,'01_異動主檔'!$D:$D,B913,'01_異動主檔'!$E:$E,"移入")</f>
        <v/>
      </c>
      <c r="F913" s="4">
        <f>-SUMIFS('01_異動主檔'!$F:$F,'01_異動主檔'!$B:$B,116,'01_異動主檔'!$D:$D,B913,'01_異動主檔'!$E:$E,"移出")</f>
        <v/>
      </c>
      <c r="G913" s="4">
        <f>SUMIFS('01_異動主檔'!$F:$F,'01_異動主檔'!$B:$B,116,'01_異動主檔'!$D:$D,B913,'01_異動主檔'!$E:$E,"新增")</f>
        <v/>
      </c>
      <c r="H913" s="4">
        <f>-SUMIFS('01_異動主檔'!$F:$F,'01_異動主檔'!$B:$B,116,'01_異動主檔'!$D:$D,B913,'01_異動主檔'!$E:$E,"減列")</f>
        <v/>
      </c>
      <c r="I913" s="4">
        <f>-SUMIFS('01_異動主檔'!$F:$F,'01_異動主檔'!$B:$B,116,'01_異動主檔'!$D:$D,B913,'01_異動主檔'!$E:$E,"精簡")</f>
        <v/>
      </c>
      <c r="J913" s="10">
        <f>D913+E913+F913+G913+H913+I913</f>
        <v/>
      </c>
    </row>
    <row r="914" ht="18" customHeight="1">
      <c r="A914" s="6" t="inlineStr">
        <is>
          <t>E002</t>
        </is>
      </c>
      <c r="B914" s="5" t="inlineStr">
        <is>
          <t>研發中心</t>
        </is>
      </c>
      <c r="C914" s="6" t="n">
        <v>117</v>
      </c>
      <c r="D914" s="10">
        <f>J913</f>
        <v/>
      </c>
      <c r="E914" s="4">
        <f>SUMIFS('01_異動主檔'!$F:$F,'01_異動主檔'!$B:$B,117,'01_異動主檔'!$D:$D,B914,'01_異動主檔'!$E:$E,"移入")</f>
        <v/>
      </c>
      <c r="F914" s="4">
        <f>-SUMIFS('01_異動主檔'!$F:$F,'01_異動主檔'!$B:$B,117,'01_異動主檔'!$D:$D,B914,'01_異動主檔'!$E:$E,"移出")</f>
        <v/>
      </c>
      <c r="G914" s="4">
        <f>SUMIFS('01_異動主檔'!$F:$F,'01_異動主檔'!$B:$B,117,'01_異動主檔'!$D:$D,B914,'01_異動主檔'!$E:$E,"新增")</f>
        <v/>
      </c>
      <c r="H914" s="4">
        <f>-SUMIFS('01_異動主檔'!$F:$F,'01_異動主檔'!$B:$B,117,'01_異動主檔'!$D:$D,B914,'01_異動主檔'!$E:$E,"減列")</f>
        <v/>
      </c>
      <c r="I914" s="4">
        <f>-SUMIFS('01_異動主檔'!$F:$F,'01_異動主檔'!$B:$B,117,'01_異動主檔'!$D:$D,B914,'01_異動主檔'!$E:$E,"精簡")</f>
        <v/>
      </c>
      <c r="J914" s="10">
        <f>D914+E914+F914+G914+H914+I914</f>
        <v/>
      </c>
    </row>
    <row r="915" ht="18" customHeight="1">
      <c r="A915" s="4" t="inlineStr">
        <is>
          <t>E002</t>
        </is>
      </c>
      <c r="B915" s="3" t="inlineStr">
        <is>
          <t>研發中心</t>
        </is>
      </c>
      <c r="C915" s="4" t="n">
        <v>118</v>
      </c>
      <c r="D915" s="10">
        <f>J914</f>
        <v/>
      </c>
      <c r="E915" s="4">
        <f>SUMIFS('01_異動主檔'!$F:$F,'01_異動主檔'!$B:$B,118,'01_異動主檔'!$D:$D,B915,'01_異動主檔'!$E:$E,"移入")</f>
        <v/>
      </c>
      <c r="F915" s="4">
        <f>-SUMIFS('01_異動主檔'!$F:$F,'01_異動主檔'!$B:$B,118,'01_異動主檔'!$D:$D,B915,'01_異動主檔'!$E:$E,"移出")</f>
        <v/>
      </c>
      <c r="G915" s="4">
        <f>SUMIFS('01_異動主檔'!$F:$F,'01_異動主檔'!$B:$B,118,'01_異動主檔'!$D:$D,B915,'01_異動主檔'!$E:$E,"新增")</f>
        <v/>
      </c>
      <c r="H915" s="4">
        <f>-SUMIFS('01_異動主檔'!$F:$F,'01_異動主檔'!$B:$B,118,'01_異動主檔'!$D:$D,B915,'01_異動主檔'!$E:$E,"減列")</f>
        <v/>
      </c>
      <c r="I915" s="4">
        <f>-SUMIFS('01_異動主檔'!$F:$F,'01_異動主檔'!$B:$B,118,'01_異動主檔'!$D:$D,B915,'01_異動主檔'!$E:$E,"精簡")</f>
        <v/>
      </c>
      <c r="J915" s="10">
        <f>D915+E915+F915+G915+H915+I915</f>
        <v/>
      </c>
    </row>
    <row r="916" ht="18" customHeight="1">
      <c r="A916" s="6" t="inlineStr">
        <is>
          <t>E002</t>
        </is>
      </c>
      <c r="B916" s="5" t="inlineStr">
        <is>
          <t>研發中心</t>
        </is>
      </c>
      <c r="C916" s="6" t="n">
        <v>119</v>
      </c>
      <c r="D916" s="10">
        <f>J915</f>
        <v/>
      </c>
      <c r="E916" s="4">
        <f>SUMIFS('01_異動主檔'!$F:$F,'01_異動主檔'!$B:$B,119,'01_異動主檔'!$D:$D,B916,'01_異動主檔'!$E:$E,"移入")</f>
        <v/>
      </c>
      <c r="F916" s="4">
        <f>-SUMIFS('01_異動主檔'!$F:$F,'01_異動主檔'!$B:$B,119,'01_異動主檔'!$D:$D,B916,'01_異動主檔'!$E:$E,"移出")</f>
        <v/>
      </c>
      <c r="G916" s="4">
        <f>SUMIFS('01_異動主檔'!$F:$F,'01_異動主檔'!$B:$B,119,'01_異動主檔'!$D:$D,B916,'01_異動主檔'!$E:$E,"新增")</f>
        <v/>
      </c>
      <c r="H916" s="4">
        <f>-SUMIFS('01_異動主檔'!$F:$F,'01_異動主檔'!$B:$B,119,'01_異動主檔'!$D:$D,B916,'01_異動主檔'!$E:$E,"減列")</f>
        <v/>
      </c>
      <c r="I916" s="4">
        <f>-SUMIFS('01_異動主檔'!$F:$F,'01_異動主檔'!$B:$B,119,'01_異動主檔'!$D:$D,B916,'01_異動主檔'!$E:$E,"精簡")</f>
        <v/>
      </c>
      <c r="J916" s="10">
        <f>D916+E916+F916+G916+H916+I916</f>
        <v/>
      </c>
    </row>
    <row r="917" ht="18" customHeight="1">
      <c r="A917" s="4" t="inlineStr">
        <is>
          <t>E002</t>
        </is>
      </c>
      <c r="B917" s="3" t="inlineStr">
        <is>
          <t>研發中心</t>
        </is>
      </c>
      <c r="C917" s="4" t="n">
        <v>120</v>
      </c>
      <c r="D917" s="10">
        <f>J916</f>
        <v/>
      </c>
      <c r="E917" s="4">
        <f>SUMIFS('01_異動主檔'!$F:$F,'01_異動主檔'!$B:$B,120,'01_異動主檔'!$D:$D,B917,'01_異動主檔'!$E:$E,"移入")</f>
        <v/>
      </c>
      <c r="F917" s="4">
        <f>-SUMIFS('01_異動主檔'!$F:$F,'01_異動主檔'!$B:$B,120,'01_異動主檔'!$D:$D,B917,'01_異動主檔'!$E:$E,"移出")</f>
        <v/>
      </c>
      <c r="G917" s="4">
        <f>SUMIFS('01_異動主檔'!$F:$F,'01_異動主檔'!$B:$B,120,'01_異動主檔'!$D:$D,B917,'01_異動主檔'!$E:$E,"新增")</f>
        <v/>
      </c>
      <c r="H917" s="4">
        <f>-SUMIFS('01_異動主檔'!$F:$F,'01_異動主檔'!$B:$B,120,'01_異動主檔'!$D:$D,B917,'01_異動主檔'!$E:$E,"減列")</f>
        <v/>
      </c>
      <c r="I917" s="4">
        <f>-SUMIFS('01_異動主檔'!$F:$F,'01_異動主檔'!$B:$B,120,'01_異動主檔'!$D:$D,B917,'01_異動主檔'!$E:$E,"精簡")</f>
        <v/>
      </c>
      <c r="J917" s="10">
        <f>D917+E917+F917+G917+H917+I917</f>
        <v/>
      </c>
    </row>
    <row r="918" ht="18" customHeight="1">
      <c r="A918" s="6" t="inlineStr">
        <is>
          <t>E002</t>
        </is>
      </c>
      <c r="B918" s="5" t="inlineStr">
        <is>
          <t>研發中心</t>
        </is>
      </c>
      <c r="C918" s="6" t="n">
        <v>121</v>
      </c>
      <c r="D918" s="10">
        <f>J917</f>
        <v/>
      </c>
      <c r="E918" s="4">
        <f>SUMIFS('01_異動主檔'!$F:$F,'01_異動主檔'!$B:$B,121,'01_異動主檔'!$D:$D,B918,'01_異動主檔'!$E:$E,"移入")</f>
        <v/>
      </c>
      <c r="F918" s="4">
        <f>-SUMIFS('01_異動主檔'!$F:$F,'01_異動主檔'!$B:$B,121,'01_異動主檔'!$D:$D,B918,'01_異動主檔'!$E:$E,"移出")</f>
        <v/>
      </c>
      <c r="G918" s="4">
        <f>SUMIFS('01_異動主檔'!$F:$F,'01_異動主檔'!$B:$B,121,'01_異動主檔'!$D:$D,B918,'01_異動主檔'!$E:$E,"新增")</f>
        <v/>
      </c>
      <c r="H918" s="4">
        <f>-SUMIFS('01_異動主檔'!$F:$F,'01_異動主檔'!$B:$B,121,'01_異動主檔'!$D:$D,B918,'01_異動主檔'!$E:$E,"減列")</f>
        <v/>
      </c>
      <c r="I918" s="4">
        <f>-SUMIFS('01_異動主檔'!$F:$F,'01_異動主檔'!$B:$B,121,'01_異動主檔'!$D:$D,B918,'01_異動主檔'!$E:$E,"精簡")</f>
        <v/>
      </c>
      <c r="J918" s="10">
        <f>D918+E918+F918+G918+H918+I918</f>
        <v/>
      </c>
    </row>
    <row r="919" ht="18" customHeight="1">
      <c r="A919" s="4" t="inlineStr">
        <is>
          <t>E002</t>
        </is>
      </c>
      <c r="B919" s="3" t="inlineStr">
        <is>
          <t>研發中心</t>
        </is>
      </c>
      <c r="C919" s="4" t="n">
        <v>122</v>
      </c>
      <c r="D919" s="10">
        <f>J918</f>
        <v/>
      </c>
      <c r="E919" s="4">
        <f>SUMIFS('01_異動主檔'!$F:$F,'01_異動主檔'!$B:$B,122,'01_異動主檔'!$D:$D,B919,'01_異動主檔'!$E:$E,"移入")</f>
        <v/>
      </c>
      <c r="F919" s="4">
        <f>-SUMIFS('01_異動主檔'!$F:$F,'01_異動主檔'!$B:$B,122,'01_異動主檔'!$D:$D,B919,'01_異動主檔'!$E:$E,"移出")</f>
        <v/>
      </c>
      <c r="G919" s="4">
        <f>SUMIFS('01_異動主檔'!$F:$F,'01_異動主檔'!$B:$B,122,'01_異動主檔'!$D:$D,B919,'01_異動主檔'!$E:$E,"新增")</f>
        <v/>
      </c>
      <c r="H919" s="4">
        <f>-SUMIFS('01_異動主檔'!$F:$F,'01_異動主檔'!$B:$B,122,'01_異動主檔'!$D:$D,B919,'01_異動主檔'!$E:$E,"減列")</f>
        <v/>
      </c>
      <c r="I919" s="4">
        <f>-SUMIFS('01_異動主檔'!$F:$F,'01_異動主檔'!$B:$B,122,'01_異動主檔'!$D:$D,B919,'01_異動主檔'!$E:$E,"精簡")</f>
        <v/>
      </c>
      <c r="J919" s="10">
        <f>D919+E919+F919+G919+H919+I919</f>
        <v/>
      </c>
    </row>
    <row r="920" ht="18" customHeight="1">
      <c r="A920" s="6" t="inlineStr">
        <is>
          <t>E002</t>
        </is>
      </c>
      <c r="B920" s="5" t="inlineStr">
        <is>
          <t>研發中心</t>
        </is>
      </c>
      <c r="C920" s="6" t="n">
        <v>123</v>
      </c>
      <c r="D920" s="10">
        <f>J919</f>
        <v/>
      </c>
      <c r="E920" s="4">
        <f>SUMIFS('01_異動主檔'!$F:$F,'01_異動主檔'!$B:$B,123,'01_異動主檔'!$D:$D,B920,'01_異動主檔'!$E:$E,"移入")</f>
        <v/>
      </c>
      <c r="F920" s="4">
        <f>-SUMIFS('01_異動主檔'!$F:$F,'01_異動主檔'!$B:$B,123,'01_異動主檔'!$D:$D,B920,'01_異動主檔'!$E:$E,"移出")</f>
        <v/>
      </c>
      <c r="G920" s="4">
        <f>SUMIFS('01_異動主檔'!$F:$F,'01_異動主檔'!$B:$B,123,'01_異動主檔'!$D:$D,B920,'01_異動主檔'!$E:$E,"新增")</f>
        <v/>
      </c>
      <c r="H920" s="4">
        <f>-SUMIFS('01_異動主檔'!$F:$F,'01_異動主檔'!$B:$B,123,'01_異動主檔'!$D:$D,B920,'01_異動主檔'!$E:$E,"減列")</f>
        <v/>
      </c>
      <c r="I920" s="4">
        <f>-SUMIFS('01_異動主檔'!$F:$F,'01_異動主檔'!$B:$B,123,'01_異動主檔'!$D:$D,B920,'01_異動主檔'!$E:$E,"精簡")</f>
        <v/>
      </c>
      <c r="J920" s="10">
        <f>D920+E920+F920+G920+H920+I920</f>
        <v/>
      </c>
    </row>
    <row r="921" ht="18" customHeight="1">
      <c r="A921" s="4" t="inlineStr">
        <is>
          <t>E002</t>
        </is>
      </c>
      <c r="B921" s="3" t="inlineStr">
        <is>
          <t>研發中心</t>
        </is>
      </c>
      <c r="C921" s="4" t="n">
        <v>124</v>
      </c>
      <c r="D921" s="10">
        <f>J920</f>
        <v/>
      </c>
      <c r="E921" s="4">
        <f>SUMIFS('01_異動主檔'!$F:$F,'01_異動主檔'!$B:$B,124,'01_異動主檔'!$D:$D,B921,'01_異動主檔'!$E:$E,"移入")</f>
        <v/>
      </c>
      <c r="F921" s="4">
        <f>-SUMIFS('01_異動主檔'!$F:$F,'01_異動主檔'!$B:$B,124,'01_異動主檔'!$D:$D,B921,'01_異動主檔'!$E:$E,"移出")</f>
        <v/>
      </c>
      <c r="G921" s="4">
        <f>SUMIFS('01_異動主檔'!$F:$F,'01_異動主檔'!$B:$B,124,'01_異動主檔'!$D:$D,B921,'01_異動主檔'!$E:$E,"新增")</f>
        <v/>
      </c>
      <c r="H921" s="4">
        <f>-SUMIFS('01_異動主檔'!$F:$F,'01_異動主檔'!$B:$B,124,'01_異動主檔'!$D:$D,B921,'01_異動主檔'!$E:$E,"減列")</f>
        <v/>
      </c>
      <c r="I921" s="4">
        <f>-SUMIFS('01_異動主檔'!$F:$F,'01_異動主檔'!$B:$B,124,'01_異動主檔'!$D:$D,B921,'01_異動主檔'!$E:$E,"精簡")</f>
        <v/>
      </c>
      <c r="J921" s="10">
        <f>D921+E921+F921+G921+H921+I921</f>
        <v/>
      </c>
    </row>
    <row r="922" ht="18" customHeight="1">
      <c r="A922" s="6" t="inlineStr">
        <is>
          <t>E002</t>
        </is>
      </c>
      <c r="B922" s="5" t="inlineStr">
        <is>
          <t>研發中心</t>
        </is>
      </c>
      <c r="C922" s="6" t="n">
        <v>125</v>
      </c>
      <c r="D922" s="10">
        <f>J921</f>
        <v/>
      </c>
      <c r="E922" s="4">
        <f>SUMIFS('01_異動主檔'!$F:$F,'01_異動主檔'!$B:$B,125,'01_異動主檔'!$D:$D,B922,'01_異動主檔'!$E:$E,"移入")</f>
        <v/>
      </c>
      <c r="F922" s="4">
        <f>-SUMIFS('01_異動主檔'!$F:$F,'01_異動主檔'!$B:$B,125,'01_異動主檔'!$D:$D,B922,'01_異動主檔'!$E:$E,"移出")</f>
        <v/>
      </c>
      <c r="G922" s="4">
        <f>SUMIFS('01_異動主檔'!$F:$F,'01_異動主檔'!$B:$B,125,'01_異動主檔'!$D:$D,B922,'01_異動主檔'!$E:$E,"新增")</f>
        <v/>
      </c>
      <c r="H922" s="4">
        <f>-SUMIFS('01_異動主檔'!$F:$F,'01_異動主檔'!$B:$B,125,'01_異動主檔'!$D:$D,B922,'01_異動主檔'!$E:$E,"減列")</f>
        <v/>
      </c>
      <c r="I922" s="4">
        <f>-SUMIFS('01_異動主檔'!$F:$F,'01_異動主檔'!$B:$B,125,'01_異動主檔'!$D:$D,B922,'01_異動主檔'!$E:$E,"精簡")</f>
        <v/>
      </c>
      <c r="J922" s="10">
        <f>D922+E922+F922+G922+H922+I922</f>
        <v/>
      </c>
    </row>
    <row r="923" ht="18" customHeight="1">
      <c r="A923" s="4" t="inlineStr">
        <is>
          <t>E003</t>
        </is>
      </c>
      <c r="B923" s="3" t="inlineStr">
        <is>
          <t>服務中心</t>
        </is>
      </c>
      <c r="C923" s="4" t="n">
        <v>99</v>
      </c>
      <c r="D923" s="10">
        <f>'02_年初員額設定'!C39</f>
        <v/>
      </c>
      <c r="E923" s="4">
        <f>SUMIFS('01_異動主檔'!$F:$F,'01_異動主檔'!$B:$B,99,'01_異動主檔'!$D:$D,B923,'01_異動主檔'!$E:$E,"移入")</f>
        <v/>
      </c>
      <c r="F923" s="4">
        <f>-SUMIFS('01_異動主檔'!$F:$F,'01_異動主檔'!$B:$B,99,'01_異動主檔'!$D:$D,B923,'01_異動主檔'!$E:$E,"移出")</f>
        <v/>
      </c>
      <c r="G923" s="4">
        <f>SUMIFS('01_異動主檔'!$F:$F,'01_異動主檔'!$B:$B,99,'01_異動主檔'!$D:$D,B923,'01_異動主檔'!$E:$E,"新增")</f>
        <v/>
      </c>
      <c r="H923" s="4">
        <f>-SUMIFS('01_異動主檔'!$F:$F,'01_異動主檔'!$B:$B,99,'01_異動主檔'!$D:$D,B923,'01_異動主檔'!$E:$E,"減列")</f>
        <v/>
      </c>
      <c r="I923" s="4">
        <f>-SUMIFS('01_異動主檔'!$F:$F,'01_異動主檔'!$B:$B,99,'01_異動主檔'!$D:$D,B923,'01_異動主檔'!$E:$E,"精簡")</f>
        <v/>
      </c>
      <c r="J923" s="10">
        <f>D923+E923+F923+G923+H923+I923</f>
        <v/>
      </c>
    </row>
    <row r="924" ht="18" customHeight="1">
      <c r="A924" s="6" t="inlineStr">
        <is>
          <t>E003</t>
        </is>
      </c>
      <c r="B924" s="5" t="inlineStr">
        <is>
          <t>服務中心</t>
        </is>
      </c>
      <c r="C924" s="6" t="n">
        <v>100</v>
      </c>
      <c r="D924" s="10">
        <f>J923</f>
        <v/>
      </c>
      <c r="E924" s="4">
        <f>SUMIFS('01_異動主檔'!$F:$F,'01_異動主檔'!$B:$B,100,'01_異動主檔'!$D:$D,B924,'01_異動主檔'!$E:$E,"移入")</f>
        <v/>
      </c>
      <c r="F924" s="4">
        <f>-SUMIFS('01_異動主檔'!$F:$F,'01_異動主檔'!$B:$B,100,'01_異動主檔'!$D:$D,B924,'01_異動主檔'!$E:$E,"移出")</f>
        <v/>
      </c>
      <c r="G924" s="4">
        <f>SUMIFS('01_異動主檔'!$F:$F,'01_異動主檔'!$B:$B,100,'01_異動主檔'!$D:$D,B924,'01_異動主檔'!$E:$E,"新增")</f>
        <v/>
      </c>
      <c r="H924" s="4">
        <f>-SUMIFS('01_異動主檔'!$F:$F,'01_異動主檔'!$B:$B,100,'01_異動主檔'!$D:$D,B924,'01_異動主檔'!$E:$E,"減列")</f>
        <v/>
      </c>
      <c r="I924" s="4">
        <f>-SUMIFS('01_異動主檔'!$F:$F,'01_異動主檔'!$B:$B,100,'01_異動主檔'!$D:$D,B924,'01_異動主檔'!$E:$E,"精簡")</f>
        <v/>
      </c>
      <c r="J924" s="10">
        <f>D924+E924+F924+G924+H924+I924</f>
        <v/>
      </c>
    </row>
    <row r="925" ht="18" customHeight="1">
      <c r="A925" s="4" t="inlineStr">
        <is>
          <t>E003</t>
        </is>
      </c>
      <c r="B925" s="3" t="inlineStr">
        <is>
          <t>服務中心</t>
        </is>
      </c>
      <c r="C925" s="4" t="n">
        <v>101</v>
      </c>
      <c r="D925" s="10">
        <f>J924</f>
        <v/>
      </c>
      <c r="E925" s="4">
        <f>SUMIFS('01_異動主檔'!$F:$F,'01_異動主檔'!$B:$B,101,'01_異動主檔'!$D:$D,B925,'01_異動主檔'!$E:$E,"移入")</f>
        <v/>
      </c>
      <c r="F925" s="4">
        <f>-SUMIFS('01_異動主檔'!$F:$F,'01_異動主檔'!$B:$B,101,'01_異動主檔'!$D:$D,B925,'01_異動主檔'!$E:$E,"移出")</f>
        <v/>
      </c>
      <c r="G925" s="4">
        <f>SUMIFS('01_異動主檔'!$F:$F,'01_異動主檔'!$B:$B,101,'01_異動主檔'!$D:$D,B925,'01_異動主檔'!$E:$E,"新增")</f>
        <v/>
      </c>
      <c r="H925" s="4">
        <f>-SUMIFS('01_異動主檔'!$F:$F,'01_異動主檔'!$B:$B,101,'01_異動主檔'!$D:$D,B925,'01_異動主檔'!$E:$E,"減列")</f>
        <v/>
      </c>
      <c r="I925" s="4">
        <f>-SUMIFS('01_異動主檔'!$F:$F,'01_異動主檔'!$B:$B,101,'01_異動主檔'!$D:$D,B925,'01_異動主檔'!$E:$E,"精簡")</f>
        <v/>
      </c>
      <c r="J925" s="10">
        <f>D925+E925+F925+G925+H925+I925</f>
        <v/>
      </c>
    </row>
    <row r="926" ht="18" customHeight="1">
      <c r="A926" s="6" t="inlineStr">
        <is>
          <t>E003</t>
        </is>
      </c>
      <c r="B926" s="5" t="inlineStr">
        <is>
          <t>服務中心</t>
        </is>
      </c>
      <c r="C926" s="6" t="n">
        <v>102</v>
      </c>
      <c r="D926" s="10">
        <f>J925</f>
        <v/>
      </c>
      <c r="E926" s="4">
        <f>SUMIFS('01_異動主檔'!$F:$F,'01_異動主檔'!$B:$B,102,'01_異動主檔'!$D:$D,B926,'01_異動主檔'!$E:$E,"移入")</f>
        <v/>
      </c>
      <c r="F926" s="4">
        <f>-SUMIFS('01_異動主檔'!$F:$F,'01_異動主檔'!$B:$B,102,'01_異動主檔'!$D:$D,B926,'01_異動主檔'!$E:$E,"移出")</f>
        <v/>
      </c>
      <c r="G926" s="4">
        <f>SUMIFS('01_異動主檔'!$F:$F,'01_異動主檔'!$B:$B,102,'01_異動主檔'!$D:$D,B926,'01_異動主檔'!$E:$E,"新增")</f>
        <v/>
      </c>
      <c r="H926" s="4">
        <f>-SUMIFS('01_異動主檔'!$F:$F,'01_異動主檔'!$B:$B,102,'01_異動主檔'!$D:$D,B926,'01_異動主檔'!$E:$E,"減列")</f>
        <v/>
      </c>
      <c r="I926" s="4">
        <f>-SUMIFS('01_異動主檔'!$F:$F,'01_異動主檔'!$B:$B,102,'01_異動主檔'!$D:$D,B926,'01_異動主檔'!$E:$E,"精簡")</f>
        <v/>
      </c>
      <c r="J926" s="10">
        <f>D926+E926+F926+G926+H926+I926</f>
        <v/>
      </c>
    </row>
    <row r="927" ht="18" customHeight="1">
      <c r="A927" s="4" t="inlineStr">
        <is>
          <t>E003</t>
        </is>
      </c>
      <c r="B927" s="3" t="inlineStr">
        <is>
          <t>服務中心</t>
        </is>
      </c>
      <c r="C927" s="4" t="n">
        <v>103</v>
      </c>
      <c r="D927" s="10">
        <f>J926</f>
        <v/>
      </c>
      <c r="E927" s="4">
        <f>SUMIFS('01_異動主檔'!$F:$F,'01_異動主檔'!$B:$B,103,'01_異動主檔'!$D:$D,B927,'01_異動主檔'!$E:$E,"移入")</f>
        <v/>
      </c>
      <c r="F927" s="4">
        <f>-SUMIFS('01_異動主檔'!$F:$F,'01_異動主檔'!$B:$B,103,'01_異動主檔'!$D:$D,B927,'01_異動主檔'!$E:$E,"移出")</f>
        <v/>
      </c>
      <c r="G927" s="4">
        <f>SUMIFS('01_異動主檔'!$F:$F,'01_異動主檔'!$B:$B,103,'01_異動主檔'!$D:$D,B927,'01_異動主檔'!$E:$E,"新增")</f>
        <v/>
      </c>
      <c r="H927" s="4">
        <f>-SUMIFS('01_異動主檔'!$F:$F,'01_異動主檔'!$B:$B,103,'01_異動主檔'!$D:$D,B927,'01_異動主檔'!$E:$E,"減列")</f>
        <v/>
      </c>
      <c r="I927" s="4">
        <f>-SUMIFS('01_異動主檔'!$F:$F,'01_異動主檔'!$B:$B,103,'01_異動主檔'!$D:$D,B927,'01_異動主檔'!$E:$E,"精簡")</f>
        <v/>
      </c>
      <c r="J927" s="10">
        <f>D927+E927+F927+G927+H927+I927</f>
        <v/>
      </c>
    </row>
    <row r="928" ht="18" customHeight="1">
      <c r="A928" s="6" t="inlineStr">
        <is>
          <t>E003</t>
        </is>
      </c>
      <c r="B928" s="5" t="inlineStr">
        <is>
          <t>服務中心</t>
        </is>
      </c>
      <c r="C928" s="6" t="n">
        <v>104</v>
      </c>
      <c r="D928" s="10">
        <f>J927</f>
        <v/>
      </c>
      <c r="E928" s="4">
        <f>SUMIFS('01_異動主檔'!$F:$F,'01_異動主檔'!$B:$B,104,'01_異動主檔'!$D:$D,B928,'01_異動主檔'!$E:$E,"移入")</f>
        <v/>
      </c>
      <c r="F928" s="4">
        <f>-SUMIFS('01_異動主檔'!$F:$F,'01_異動主檔'!$B:$B,104,'01_異動主檔'!$D:$D,B928,'01_異動主檔'!$E:$E,"移出")</f>
        <v/>
      </c>
      <c r="G928" s="4">
        <f>SUMIFS('01_異動主檔'!$F:$F,'01_異動主檔'!$B:$B,104,'01_異動主檔'!$D:$D,B928,'01_異動主檔'!$E:$E,"新增")</f>
        <v/>
      </c>
      <c r="H928" s="4">
        <f>-SUMIFS('01_異動主檔'!$F:$F,'01_異動主檔'!$B:$B,104,'01_異動主檔'!$D:$D,B928,'01_異動主檔'!$E:$E,"減列")</f>
        <v/>
      </c>
      <c r="I928" s="4">
        <f>-SUMIFS('01_異動主檔'!$F:$F,'01_異動主檔'!$B:$B,104,'01_異動主檔'!$D:$D,B928,'01_異動主檔'!$E:$E,"精簡")</f>
        <v/>
      </c>
      <c r="J928" s="10">
        <f>D928+E928+F928+G928+H928+I928</f>
        <v/>
      </c>
    </row>
    <row r="929" ht="18" customHeight="1">
      <c r="A929" s="4" t="inlineStr">
        <is>
          <t>E003</t>
        </is>
      </c>
      <c r="B929" s="3" t="inlineStr">
        <is>
          <t>服務中心</t>
        </is>
      </c>
      <c r="C929" s="4" t="n">
        <v>105</v>
      </c>
      <c r="D929" s="10">
        <f>J928</f>
        <v/>
      </c>
      <c r="E929" s="4">
        <f>SUMIFS('01_異動主檔'!$F:$F,'01_異動主檔'!$B:$B,105,'01_異動主檔'!$D:$D,B929,'01_異動主檔'!$E:$E,"移入")</f>
        <v/>
      </c>
      <c r="F929" s="4">
        <f>-SUMIFS('01_異動主檔'!$F:$F,'01_異動主檔'!$B:$B,105,'01_異動主檔'!$D:$D,B929,'01_異動主檔'!$E:$E,"移出")</f>
        <v/>
      </c>
      <c r="G929" s="4">
        <f>SUMIFS('01_異動主檔'!$F:$F,'01_異動主檔'!$B:$B,105,'01_異動主檔'!$D:$D,B929,'01_異動主檔'!$E:$E,"新增")</f>
        <v/>
      </c>
      <c r="H929" s="4">
        <f>-SUMIFS('01_異動主檔'!$F:$F,'01_異動主檔'!$B:$B,105,'01_異動主檔'!$D:$D,B929,'01_異動主檔'!$E:$E,"減列")</f>
        <v/>
      </c>
      <c r="I929" s="4">
        <f>-SUMIFS('01_異動主檔'!$F:$F,'01_異動主檔'!$B:$B,105,'01_異動主檔'!$D:$D,B929,'01_異動主檔'!$E:$E,"精簡")</f>
        <v/>
      </c>
      <c r="J929" s="10">
        <f>D929+E929+F929+G929+H929+I929</f>
        <v/>
      </c>
    </row>
    <row r="930" ht="18" customHeight="1">
      <c r="A930" s="6" t="inlineStr">
        <is>
          <t>E003</t>
        </is>
      </c>
      <c r="B930" s="5" t="inlineStr">
        <is>
          <t>服務中心</t>
        </is>
      </c>
      <c r="C930" s="6" t="n">
        <v>106</v>
      </c>
      <c r="D930" s="10">
        <f>J929</f>
        <v/>
      </c>
      <c r="E930" s="4">
        <f>SUMIFS('01_異動主檔'!$F:$F,'01_異動主檔'!$B:$B,106,'01_異動主檔'!$D:$D,B930,'01_異動主檔'!$E:$E,"移入")</f>
        <v/>
      </c>
      <c r="F930" s="4">
        <f>-SUMIFS('01_異動主檔'!$F:$F,'01_異動主檔'!$B:$B,106,'01_異動主檔'!$D:$D,B930,'01_異動主檔'!$E:$E,"移出")</f>
        <v/>
      </c>
      <c r="G930" s="4">
        <f>SUMIFS('01_異動主檔'!$F:$F,'01_異動主檔'!$B:$B,106,'01_異動主檔'!$D:$D,B930,'01_異動主檔'!$E:$E,"新增")</f>
        <v/>
      </c>
      <c r="H930" s="4">
        <f>-SUMIFS('01_異動主檔'!$F:$F,'01_異動主檔'!$B:$B,106,'01_異動主檔'!$D:$D,B930,'01_異動主檔'!$E:$E,"減列")</f>
        <v/>
      </c>
      <c r="I930" s="4">
        <f>-SUMIFS('01_異動主檔'!$F:$F,'01_異動主檔'!$B:$B,106,'01_異動主檔'!$D:$D,B930,'01_異動主檔'!$E:$E,"精簡")</f>
        <v/>
      </c>
      <c r="J930" s="10">
        <f>D930+E930+F930+G930+H930+I930</f>
        <v/>
      </c>
    </row>
    <row r="931" ht="18" customHeight="1">
      <c r="A931" s="4" t="inlineStr">
        <is>
          <t>E003</t>
        </is>
      </c>
      <c r="B931" s="3" t="inlineStr">
        <is>
          <t>服務中心</t>
        </is>
      </c>
      <c r="C931" s="4" t="n">
        <v>107</v>
      </c>
      <c r="D931" s="10">
        <f>J930</f>
        <v/>
      </c>
      <c r="E931" s="4">
        <f>SUMIFS('01_異動主檔'!$F:$F,'01_異動主檔'!$B:$B,107,'01_異動主檔'!$D:$D,B931,'01_異動主檔'!$E:$E,"移入")</f>
        <v/>
      </c>
      <c r="F931" s="4">
        <f>-SUMIFS('01_異動主檔'!$F:$F,'01_異動主檔'!$B:$B,107,'01_異動主檔'!$D:$D,B931,'01_異動主檔'!$E:$E,"移出")</f>
        <v/>
      </c>
      <c r="G931" s="4">
        <f>SUMIFS('01_異動主檔'!$F:$F,'01_異動主檔'!$B:$B,107,'01_異動主檔'!$D:$D,B931,'01_異動主檔'!$E:$E,"新增")</f>
        <v/>
      </c>
      <c r="H931" s="4">
        <f>-SUMIFS('01_異動主檔'!$F:$F,'01_異動主檔'!$B:$B,107,'01_異動主檔'!$D:$D,B931,'01_異動主檔'!$E:$E,"減列")</f>
        <v/>
      </c>
      <c r="I931" s="4">
        <f>-SUMIFS('01_異動主檔'!$F:$F,'01_異動主檔'!$B:$B,107,'01_異動主檔'!$D:$D,B931,'01_異動主檔'!$E:$E,"精簡")</f>
        <v/>
      </c>
      <c r="J931" s="10">
        <f>D931+E931+F931+G931+H931+I931</f>
        <v/>
      </c>
    </row>
    <row r="932" ht="18" customHeight="1">
      <c r="A932" s="6" t="inlineStr">
        <is>
          <t>E003</t>
        </is>
      </c>
      <c r="B932" s="5" t="inlineStr">
        <is>
          <t>服務中心</t>
        </is>
      </c>
      <c r="C932" s="6" t="n">
        <v>108</v>
      </c>
      <c r="D932" s="10">
        <f>J931</f>
        <v/>
      </c>
      <c r="E932" s="4">
        <f>SUMIFS('01_異動主檔'!$F:$F,'01_異動主檔'!$B:$B,108,'01_異動主檔'!$D:$D,B932,'01_異動主檔'!$E:$E,"移入")</f>
        <v/>
      </c>
      <c r="F932" s="4">
        <f>-SUMIFS('01_異動主檔'!$F:$F,'01_異動主檔'!$B:$B,108,'01_異動主檔'!$D:$D,B932,'01_異動主檔'!$E:$E,"移出")</f>
        <v/>
      </c>
      <c r="G932" s="4">
        <f>SUMIFS('01_異動主檔'!$F:$F,'01_異動主檔'!$B:$B,108,'01_異動主檔'!$D:$D,B932,'01_異動主檔'!$E:$E,"新增")</f>
        <v/>
      </c>
      <c r="H932" s="4">
        <f>-SUMIFS('01_異動主檔'!$F:$F,'01_異動主檔'!$B:$B,108,'01_異動主檔'!$D:$D,B932,'01_異動主檔'!$E:$E,"減列")</f>
        <v/>
      </c>
      <c r="I932" s="4">
        <f>-SUMIFS('01_異動主檔'!$F:$F,'01_異動主檔'!$B:$B,108,'01_異動主檔'!$D:$D,B932,'01_異動主檔'!$E:$E,"精簡")</f>
        <v/>
      </c>
      <c r="J932" s="10">
        <f>D932+E932+F932+G932+H932+I932</f>
        <v/>
      </c>
    </row>
    <row r="933" ht="18" customHeight="1">
      <c r="A933" s="4" t="inlineStr">
        <is>
          <t>E003</t>
        </is>
      </c>
      <c r="B933" s="3" t="inlineStr">
        <is>
          <t>服務中心</t>
        </is>
      </c>
      <c r="C933" s="4" t="n">
        <v>109</v>
      </c>
      <c r="D933" s="10">
        <f>J932</f>
        <v/>
      </c>
      <c r="E933" s="4">
        <f>SUMIFS('01_異動主檔'!$F:$F,'01_異動主檔'!$B:$B,109,'01_異動主檔'!$D:$D,B933,'01_異動主檔'!$E:$E,"移入")</f>
        <v/>
      </c>
      <c r="F933" s="4">
        <f>-SUMIFS('01_異動主檔'!$F:$F,'01_異動主檔'!$B:$B,109,'01_異動主檔'!$D:$D,B933,'01_異動主檔'!$E:$E,"移出")</f>
        <v/>
      </c>
      <c r="G933" s="4">
        <f>SUMIFS('01_異動主檔'!$F:$F,'01_異動主檔'!$B:$B,109,'01_異動主檔'!$D:$D,B933,'01_異動主檔'!$E:$E,"新增")</f>
        <v/>
      </c>
      <c r="H933" s="4">
        <f>-SUMIFS('01_異動主檔'!$F:$F,'01_異動主檔'!$B:$B,109,'01_異動主檔'!$D:$D,B933,'01_異動主檔'!$E:$E,"減列")</f>
        <v/>
      </c>
      <c r="I933" s="4">
        <f>-SUMIFS('01_異動主檔'!$F:$F,'01_異動主檔'!$B:$B,109,'01_異動主檔'!$D:$D,B933,'01_異動主檔'!$E:$E,"精簡")</f>
        <v/>
      </c>
      <c r="J933" s="10">
        <f>D933+E933+F933+G933+H933+I933</f>
        <v/>
      </c>
    </row>
    <row r="934" ht="18" customHeight="1">
      <c r="A934" s="6" t="inlineStr">
        <is>
          <t>E003</t>
        </is>
      </c>
      <c r="B934" s="5" t="inlineStr">
        <is>
          <t>服務中心</t>
        </is>
      </c>
      <c r="C934" s="6" t="n">
        <v>110</v>
      </c>
      <c r="D934" s="10">
        <f>J933</f>
        <v/>
      </c>
      <c r="E934" s="4">
        <f>SUMIFS('01_異動主檔'!$F:$F,'01_異動主檔'!$B:$B,110,'01_異動主檔'!$D:$D,B934,'01_異動主檔'!$E:$E,"移入")</f>
        <v/>
      </c>
      <c r="F934" s="4">
        <f>-SUMIFS('01_異動主檔'!$F:$F,'01_異動主檔'!$B:$B,110,'01_異動主檔'!$D:$D,B934,'01_異動主檔'!$E:$E,"移出")</f>
        <v/>
      </c>
      <c r="G934" s="4">
        <f>SUMIFS('01_異動主檔'!$F:$F,'01_異動主檔'!$B:$B,110,'01_異動主檔'!$D:$D,B934,'01_異動主檔'!$E:$E,"新增")</f>
        <v/>
      </c>
      <c r="H934" s="4">
        <f>-SUMIFS('01_異動主檔'!$F:$F,'01_異動主檔'!$B:$B,110,'01_異動主檔'!$D:$D,B934,'01_異動主檔'!$E:$E,"減列")</f>
        <v/>
      </c>
      <c r="I934" s="4">
        <f>-SUMIFS('01_異動主檔'!$F:$F,'01_異動主檔'!$B:$B,110,'01_異動主檔'!$D:$D,B934,'01_異動主檔'!$E:$E,"精簡")</f>
        <v/>
      </c>
      <c r="J934" s="10">
        <f>D934+E934+F934+G934+H934+I934</f>
        <v/>
      </c>
    </row>
    <row r="935" ht="18" customHeight="1">
      <c r="A935" s="4" t="inlineStr">
        <is>
          <t>E003</t>
        </is>
      </c>
      <c r="B935" s="3" t="inlineStr">
        <is>
          <t>服務中心</t>
        </is>
      </c>
      <c r="C935" s="4" t="n">
        <v>111</v>
      </c>
      <c r="D935" s="10">
        <f>J934</f>
        <v/>
      </c>
      <c r="E935" s="4">
        <f>SUMIFS('01_異動主檔'!$F:$F,'01_異動主檔'!$B:$B,111,'01_異動主檔'!$D:$D,B935,'01_異動主檔'!$E:$E,"移入")</f>
        <v/>
      </c>
      <c r="F935" s="4">
        <f>-SUMIFS('01_異動主檔'!$F:$F,'01_異動主檔'!$B:$B,111,'01_異動主檔'!$D:$D,B935,'01_異動主檔'!$E:$E,"移出")</f>
        <v/>
      </c>
      <c r="G935" s="4">
        <f>SUMIFS('01_異動主檔'!$F:$F,'01_異動主檔'!$B:$B,111,'01_異動主檔'!$D:$D,B935,'01_異動主檔'!$E:$E,"新增")</f>
        <v/>
      </c>
      <c r="H935" s="4">
        <f>-SUMIFS('01_異動主檔'!$F:$F,'01_異動主檔'!$B:$B,111,'01_異動主檔'!$D:$D,B935,'01_異動主檔'!$E:$E,"減列")</f>
        <v/>
      </c>
      <c r="I935" s="4">
        <f>-SUMIFS('01_異動主檔'!$F:$F,'01_異動主檔'!$B:$B,111,'01_異動主檔'!$D:$D,B935,'01_異動主檔'!$E:$E,"精簡")</f>
        <v/>
      </c>
      <c r="J935" s="10">
        <f>D935+E935+F935+G935+H935+I935</f>
        <v/>
      </c>
    </row>
    <row r="936" ht="18" customHeight="1">
      <c r="A936" s="6" t="inlineStr">
        <is>
          <t>E003</t>
        </is>
      </c>
      <c r="B936" s="5" t="inlineStr">
        <is>
          <t>服務中心</t>
        </is>
      </c>
      <c r="C936" s="6" t="n">
        <v>112</v>
      </c>
      <c r="D936" s="10">
        <f>J935</f>
        <v/>
      </c>
      <c r="E936" s="4">
        <f>SUMIFS('01_異動主檔'!$F:$F,'01_異動主檔'!$B:$B,112,'01_異動主檔'!$D:$D,B936,'01_異動主檔'!$E:$E,"移入")</f>
        <v/>
      </c>
      <c r="F936" s="4">
        <f>-SUMIFS('01_異動主檔'!$F:$F,'01_異動主檔'!$B:$B,112,'01_異動主檔'!$D:$D,B936,'01_異動主檔'!$E:$E,"移出")</f>
        <v/>
      </c>
      <c r="G936" s="4">
        <f>SUMIFS('01_異動主檔'!$F:$F,'01_異動主檔'!$B:$B,112,'01_異動主檔'!$D:$D,B936,'01_異動主檔'!$E:$E,"新增")</f>
        <v/>
      </c>
      <c r="H936" s="4">
        <f>-SUMIFS('01_異動主檔'!$F:$F,'01_異動主檔'!$B:$B,112,'01_異動主檔'!$D:$D,B936,'01_異動主檔'!$E:$E,"減列")</f>
        <v/>
      </c>
      <c r="I936" s="4">
        <f>-SUMIFS('01_異動主檔'!$F:$F,'01_異動主檔'!$B:$B,112,'01_異動主檔'!$D:$D,B936,'01_異動主檔'!$E:$E,"精簡")</f>
        <v/>
      </c>
      <c r="J936" s="10">
        <f>D936+E936+F936+G936+H936+I936</f>
        <v/>
      </c>
    </row>
    <row r="937" ht="18" customHeight="1">
      <c r="A937" s="4" t="inlineStr">
        <is>
          <t>E003</t>
        </is>
      </c>
      <c r="B937" s="3" t="inlineStr">
        <is>
          <t>服務中心</t>
        </is>
      </c>
      <c r="C937" s="4" t="n">
        <v>113</v>
      </c>
      <c r="D937" s="10">
        <f>J936</f>
        <v/>
      </c>
      <c r="E937" s="4">
        <f>SUMIFS('01_異動主檔'!$F:$F,'01_異動主檔'!$B:$B,113,'01_異動主檔'!$D:$D,B937,'01_異動主檔'!$E:$E,"移入")</f>
        <v/>
      </c>
      <c r="F937" s="4">
        <f>-SUMIFS('01_異動主檔'!$F:$F,'01_異動主檔'!$B:$B,113,'01_異動主檔'!$D:$D,B937,'01_異動主檔'!$E:$E,"移出")</f>
        <v/>
      </c>
      <c r="G937" s="4">
        <f>SUMIFS('01_異動主檔'!$F:$F,'01_異動主檔'!$B:$B,113,'01_異動主檔'!$D:$D,B937,'01_異動主檔'!$E:$E,"新增")</f>
        <v/>
      </c>
      <c r="H937" s="4">
        <f>-SUMIFS('01_異動主檔'!$F:$F,'01_異動主檔'!$B:$B,113,'01_異動主檔'!$D:$D,B937,'01_異動主檔'!$E:$E,"減列")</f>
        <v/>
      </c>
      <c r="I937" s="4">
        <f>-SUMIFS('01_異動主檔'!$F:$F,'01_異動主檔'!$B:$B,113,'01_異動主檔'!$D:$D,B937,'01_異動主檔'!$E:$E,"精簡")</f>
        <v/>
      </c>
      <c r="J937" s="10">
        <f>D937+E937+F937+G937+H937+I937</f>
        <v/>
      </c>
    </row>
    <row r="938" ht="18" customHeight="1">
      <c r="A938" s="6" t="inlineStr">
        <is>
          <t>E003</t>
        </is>
      </c>
      <c r="B938" s="5" t="inlineStr">
        <is>
          <t>服務中心</t>
        </is>
      </c>
      <c r="C938" s="6" t="n">
        <v>114</v>
      </c>
      <c r="D938" s="10">
        <f>J937</f>
        <v/>
      </c>
      <c r="E938" s="4">
        <f>SUMIFS('01_異動主檔'!$F:$F,'01_異動主檔'!$B:$B,114,'01_異動主檔'!$D:$D,B938,'01_異動主檔'!$E:$E,"移入")</f>
        <v/>
      </c>
      <c r="F938" s="4">
        <f>-SUMIFS('01_異動主檔'!$F:$F,'01_異動主檔'!$B:$B,114,'01_異動主檔'!$D:$D,B938,'01_異動主檔'!$E:$E,"移出")</f>
        <v/>
      </c>
      <c r="G938" s="4">
        <f>SUMIFS('01_異動主檔'!$F:$F,'01_異動主檔'!$B:$B,114,'01_異動主檔'!$D:$D,B938,'01_異動主檔'!$E:$E,"新增")</f>
        <v/>
      </c>
      <c r="H938" s="4">
        <f>-SUMIFS('01_異動主檔'!$F:$F,'01_異動主檔'!$B:$B,114,'01_異動主檔'!$D:$D,B938,'01_異動主檔'!$E:$E,"減列")</f>
        <v/>
      </c>
      <c r="I938" s="4">
        <f>-SUMIFS('01_異動主檔'!$F:$F,'01_異動主檔'!$B:$B,114,'01_異動主檔'!$D:$D,B938,'01_異動主檔'!$E:$E,"精簡")</f>
        <v/>
      </c>
      <c r="J938" s="10">
        <f>D938+E938+F938+G938+H938+I938</f>
        <v/>
      </c>
    </row>
    <row r="939" ht="18" customHeight="1">
      <c r="A939" s="4" t="inlineStr">
        <is>
          <t>E003</t>
        </is>
      </c>
      <c r="B939" s="3" t="inlineStr">
        <is>
          <t>服務中心</t>
        </is>
      </c>
      <c r="C939" s="4" t="n">
        <v>115</v>
      </c>
      <c r="D939" s="10">
        <f>J938</f>
        <v/>
      </c>
      <c r="E939" s="4">
        <f>SUMIFS('01_異動主檔'!$F:$F,'01_異動主檔'!$B:$B,115,'01_異動主檔'!$D:$D,B939,'01_異動主檔'!$E:$E,"移入")</f>
        <v/>
      </c>
      <c r="F939" s="4">
        <f>-SUMIFS('01_異動主檔'!$F:$F,'01_異動主檔'!$B:$B,115,'01_異動主檔'!$D:$D,B939,'01_異動主檔'!$E:$E,"移出")</f>
        <v/>
      </c>
      <c r="G939" s="4">
        <f>SUMIFS('01_異動主檔'!$F:$F,'01_異動主檔'!$B:$B,115,'01_異動主檔'!$D:$D,B939,'01_異動主檔'!$E:$E,"新增")</f>
        <v/>
      </c>
      <c r="H939" s="4">
        <f>-SUMIFS('01_異動主檔'!$F:$F,'01_異動主檔'!$B:$B,115,'01_異動主檔'!$D:$D,B939,'01_異動主檔'!$E:$E,"減列")</f>
        <v/>
      </c>
      <c r="I939" s="4">
        <f>-SUMIFS('01_異動主檔'!$F:$F,'01_異動主檔'!$B:$B,115,'01_異動主檔'!$D:$D,B939,'01_異動主檔'!$E:$E,"精簡")</f>
        <v/>
      </c>
      <c r="J939" s="10">
        <f>D939+E939+F939+G939+H939+I939</f>
        <v/>
      </c>
    </row>
    <row r="940" ht="18" customHeight="1">
      <c r="A940" s="6" t="inlineStr">
        <is>
          <t>E003</t>
        </is>
      </c>
      <c r="B940" s="5" t="inlineStr">
        <is>
          <t>服務中心</t>
        </is>
      </c>
      <c r="C940" s="6" t="n">
        <v>116</v>
      </c>
      <c r="D940" s="10">
        <f>J939</f>
        <v/>
      </c>
      <c r="E940" s="4">
        <f>SUMIFS('01_異動主檔'!$F:$F,'01_異動主檔'!$B:$B,116,'01_異動主檔'!$D:$D,B940,'01_異動主檔'!$E:$E,"移入")</f>
        <v/>
      </c>
      <c r="F940" s="4">
        <f>-SUMIFS('01_異動主檔'!$F:$F,'01_異動主檔'!$B:$B,116,'01_異動主檔'!$D:$D,B940,'01_異動主檔'!$E:$E,"移出")</f>
        <v/>
      </c>
      <c r="G940" s="4">
        <f>SUMIFS('01_異動主檔'!$F:$F,'01_異動主檔'!$B:$B,116,'01_異動主檔'!$D:$D,B940,'01_異動主檔'!$E:$E,"新增")</f>
        <v/>
      </c>
      <c r="H940" s="4">
        <f>-SUMIFS('01_異動主檔'!$F:$F,'01_異動主檔'!$B:$B,116,'01_異動主檔'!$D:$D,B940,'01_異動主檔'!$E:$E,"減列")</f>
        <v/>
      </c>
      <c r="I940" s="4">
        <f>-SUMIFS('01_異動主檔'!$F:$F,'01_異動主檔'!$B:$B,116,'01_異動主檔'!$D:$D,B940,'01_異動主檔'!$E:$E,"精簡")</f>
        <v/>
      </c>
      <c r="J940" s="10">
        <f>D940+E940+F940+G940+H940+I940</f>
        <v/>
      </c>
    </row>
    <row r="941" ht="18" customHeight="1">
      <c r="A941" s="4" t="inlineStr">
        <is>
          <t>E003</t>
        </is>
      </c>
      <c r="B941" s="3" t="inlineStr">
        <is>
          <t>服務中心</t>
        </is>
      </c>
      <c r="C941" s="4" t="n">
        <v>117</v>
      </c>
      <c r="D941" s="10">
        <f>J940</f>
        <v/>
      </c>
      <c r="E941" s="4">
        <f>SUMIFS('01_異動主檔'!$F:$F,'01_異動主檔'!$B:$B,117,'01_異動主檔'!$D:$D,B941,'01_異動主檔'!$E:$E,"移入")</f>
        <v/>
      </c>
      <c r="F941" s="4">
        <f>-SUMIFS('01_異動主檔'!$F:$F,'01_異動主檔'!$B:$B,117,'01_異動主檔'!$D:$D,B941,'01_異動主檔'!$E:$E,"移出")</f>
        <v/>
      </c>
      <c r="G941" s="4">
        <f>SUMIFS('01_異動主檔'!$F:$F,'01_異動主檔'!$B:$B,117,'01_異動主檔'!$D:$D,B941,'01_異動主檔'!$E:$E,"新增")</f>
        <v/>
      </c>
      <c r="H941" s="4">
        <f>-SUMIFS('01_異動主檔'!$F:$F,'01_異動主檔'!$B:$B,117,'01_異動主檔'!$D:$D,B941,'01_異動主檔'!$E:$E,"減列")</f>
        <v/>
      </c>
      <c r="I941" s="4">
        <f>-SUMIFS('01_異動主檔'!$F:$F,'01_異動主檔'!$B:$B,117,'01_異動主檔'!$D:$D,B941,'01_異動主檔'!$E:$E,"精簡")</f>
        <v/>
      </c>
      <c r="J941" s="10">
        <f>D941+E941+F941+G941+H941+I941</f>
        <v/>
      </c>
    </row>
    <row r="942" ht="18" customHeight="1">
      <c r="A942" s="6" t="inlineStr">
        <is>
          <t>E003</t>
        </is>
      </c>
      <c r="B942" s="5" t="inlineStr">
        <is>
          <t>服務中心</t>
        </is>
      </c>
      <c r="C942" s="6" t="n">
        <v>118</v>
      </c>
      <c r="D942" s="10">
        <f>J941</f>
        <v/>
      </c>
      <c r="E942" s="4">
        <f>SUMIFS('01_異動主檔'!$F:$F,'01_異動主檔'!$B:$B,118,'01_異動主檔'!$D:$D,B942,'01_異動主檔'!$E:$E,"移入")</f>
        <v/>
      </c>
      <c r="F942" s="4">
        <f>-SUMIFS('01_異動主檔'!$F:$F,'01_異動主檔'!$B:$B,118,'01_異動主檔'!$D:$D,B942,'01_異動主檔'!$E:$E,"移出")</f>
        <v/>
      </c>
      <c r="G942" s="4">
        <f>SUMIFS('01_異動主檔'!$F:$F,'01_異動主檔'!$B:$B,118,'01_異動主檔'!$D:$D,B942,'01_異動主檔'!$E:$E,"新增")</f>
        <v/>
      </c>
      <c r="H942" s="4">
        <f>-SUMIFS('01_異動主檔'!$F:$F,'01_異動主檔'!$B:$B,118,'01_異動主檔'!$D:$D,B942,'01_異動主檔'!$E:$E,"減列")</f>
        <v/>
      </c>
      <c r="I942" s="4">
        <f>-SUMIFS('01_異動主檔'!$F:$F,'01_異動主檔'!$B:$B,118,'01_異動主檔'!$D:$D,B942,'01_異動主檔'!$E:$E,"精簡")</f>
        <v/>
      </c>
      <c r="J942" s="10">
        <f>D942+E942+F942+G942+H942+I942</f>
        <v/>
      </c>
    </row>
    <row r="943" ht="18" customHeight="1">
      <c r="A943" s="4" t="inlineStr">
        <is>
          <t>E003</t>
        </is>
      </c>
      <c r="B943" s="3" t="inlineStr">
        <is>
          <t>服務中心</t>
        </is>
      </c>
      <c r="C943" s="4" t="n">
        <v>119</v>
      </c>
      <c r="D943" s="10">
        <f>J942</f>
        <v/>
      </c>
      <c r="E943" s="4">
        <f>SUMIFS('01_異動主檔'!$F:$F,'01_異動主檔'!$B:$B,119,'01_異動主檔'!$D:$D,B943,'01_異動主檔'!$E:$E,"移入")</f>
        <v/>
      </c>
      <c r="F943" s="4">
        <f>-SUMIFS('01_異動主檔'!$F:$F,'01_異動主檔'!$B:$B,119,'01_異動主檔'!$D:$D,B943,'01_異動主檔'!$E:$E,"移出")</f>
        <v/>
      </c>
      <c r="G943" s="4">
        <f>SUMIFS('01_異動主檔'!$F:$F,'01_異動主檔'!$B:$B,119,'01_異動主檔'!$D:$D,B943,'01_異動主檔'!$E:$E,"新增")</f>
        <v/>
      </c>
      <c r="H943" s="4">
        <f>-SUMIFS('01_異動主檔'!$F:$F,'01_異動主檔'!$B:$B,119,'01_異動主檔'!$D:$D,B943,'01_異動主檔'!$E:$E,"減列")</f>
        <v/>
      </c>
      <c r="I943" s="4">
        <f>-SUMIFS('01_異動主檔'!$F:$F,'01_異動主檔'!$B:$B,119,'01_異動主檔'!$D:$D,B943,'01_異動主檔'!$E:$E,"精簡")</f>
        <v/>
      </c>
      <c r="J943" s="10">
        <f>D943+E943+F943+G943+H943+I943</f>
        <v/>
      </c>
    </row>
    <row r="944" ht="18" customHeight="1">
      <c r="A944" s="6" t="inlineStr">
        <is>
          <t>E003</t>
        </is>
      </c>
      <c r="B944" s="5" t="inlineStr">
        <is>
          <t>服務中心</t>
        </is>
      </c>
      <c r="C944" s="6" t="n">
        <v>120</v>
      </c>
      <c r="D944" s="10">
        <f>J943</f>
        <v/>
      </c>
      <c r="E944" s="4">
        <f>SUMIFS('01_異動主檔'!$F:$F,'01_異動主檔'!$B:$B,120,'01_異動主檔'!$D:$D,B944,'01_異動主檔'!$E:$E,"移入")</f>
        <v/>
      </c>
      <c r="F944" s="4">
        <f>-SUMIFS('01_異動主檔'!$F:$F,'01_異動主檔'!$B:$B,120,'01_異動主檔'!$D:$D,B944,'01_異動主檔'!$E:$E,"移出")</f>
        <v/>
      </c>
      <c r="G944" s="4">
        <f>SUMIFS('01_異動主檔'!$F:$F,'01_異動主檔'!$B:$B,120,'01_異動主檔'!$D:$D,B944,'01_異動主檔'!$E:$E,"新增")</f>
        <v/>
      </c>
      <c r="H944" s="4">
        <f>-SUMIFS('01_異動主檔'!$F:$F,'01_異動主檔'!$B:$B,120,'01_異動主檔'!$D:$D,B944,'01_異動主檔'!$E:$E,"減列")</f>
        <v/>
      </c>
      <c r="I944" s="4">
        <f>-SUMIFS('01_異動主檔'!$F:$F,'01_異動主檔'!$B:$B,120,'01_異動主檔'!$D:$D,B944,'01_異動主檔'!$E:$E,"精簡")</f>
        <v/>
      </c>
      <c r="J944" s="10">
        <f>D944+E944+F944+G944+H944+I944</f>
        <v/>
      </c>
    </row>
    <row r="945" ht="18" customHeight="1">
      <c r="A945" s="4" t="inlineStr">
        <is>
          <t>E003</t>
        </is>
      </c>
      <c r="B945" s="3" t="inlineStr">
        <is>
          <t>服務中心</t>
        </is>
      </c>
      <c r="C945" s="4" t="n">
        <v>121</v>
      </c>
      <c r="D945" s="10">
        <f>J944</f>
        <v/>
      </c>
      <c r="E945" s="4">
        <f>SUMIFS('01_異動主檔'!$F:$F,'01_異動主檔'!$B:$B,121,'01_異動主檔'!$D:$D,B945,'01_異動主檔'!$E:$E,"移入")</f>
        <v/>
      </c>
      <c r="F945" s="4">
        <f>-SUMIFS('01_異動主檔'!$F:$F,'01_異動主檔'!$B:$B,121,'01_異動主檔'!$D:$D,B945,'01_異動主檔'!$E:$E,"移出")</f>
        <v/>
      </c>
      <c r="G945" s="4">
        <f>SUMIFS('01_異動主檔'!$F:$F,'01_異動主檔'!$B:$B,121,'01_異動主檔'!$D:$D,B945,'01_異動主檔'!$E:$E,"新增")</f>
        <v/>
      </c>
      <c r="H945" s="4">
        <f>-SUMIFS('01_異動主檔'!$F:$F,'01_異動主檔'!$B:$B,121,'01_異動主檔'!$D:$D,B945,'01_異動主檔'!$E:$E,"減列")</f>
        <v/>
      </c>
      <c r="I945" s="4">
        <f>-SUMIFS('01_異動主檔'!$F:$F,'01_異動主檔'!$B:$B,121,'01_異動主檔'!$D:$D,B945,'01_異動主檔'!$E:$E,"精簡")</f>
        <v/>
      </c>
      <c r="J945" s="10">
        <f>D945+E945+F945+G945+H945+I945</f>
        <v/>
      </c>
    </row>
    <row r="946" ht="18" customHeight="1">
      <c r="A946" s="6" t="inlineStr">
        <is>
          <t>E003</t>
        </is>
      </c>
      <c r="B946" s="5" t="inlineStr">
        <is>
          <t>服務中心</t>
        </is>
      </c>
      <c r="C946" s="6" t="n">
        <v>122</v>
      </c>
      <c r="D946" s="10">
        <f>J945</f>
        <v/>
      </c>
      <c r="E946" s="4">
        <f>SUMIFS('01_異動主檔'!$F:$F,'01_異動主檔'!$B:$B,122,'01_異動主檔'!$D:$D,B946,'01_異動主檔'!$E:$E,"移入")</f>
        <v/>
      </c>
      <c r="F946" s="4">
        <f>-SUMIFS('01_異動主檔'!$F:$F,'01_異動主檔'!$B:$B,122,'01_異動主檔'!$D:$D,B946,'01_異動主檔'!$E:$E,"移出")</f>
        <v/>
      </c>
      <c r="G946" s="4">
        <f>SUMIFS('01_異動主檔'!$F:$F,'01_異動主檔'!$B:$B,122,'01_異動主檔'!$D:$D,B946,'01_異動主檔'!$E:$E,"新增")</f>
        <v/>
      </c>
      <c r="H946" s="4">
        <f>-SUMIFS('01_異動主檔'!$F:$F,'01_異動主檔'!$B:$B,122,'01_異動主檔'!$D:$D,B946,'01_異動主檔'!$E:$E,"減列")</f>
        <v/>
      </c>
      <c r="I946" s="4">
        <f>-SUMIFS('01_異動主檔'!$F:$F,'01_異動主檔'!$B:$B,122,'01_異動主檔'!$D:$D,B946,'01_異動主檔'!$E:$E,"精簡")</f>
        <v/>
      </c>
      <c r="J946" s="10">
        <f>D946+E946+F946+G946+H946+I946</f>
        <v/>
      </c>
    </row>
    <row r="947" ht="18" customHeight="1">
      <c r="A947" s="4" t="inlineStr">
        <is>
          <t>E003</t>
        </is>
      </c>
      <c r="B947" s="3" t="inlineStr">
        <is>
          <t>服務中心</t>
        </is>
      </c>
      <c r="C947" s="4" t="n">
        <v>123</v>
      </c>
      <c r="D947" s="10">
        <f>J946</f>
        <v/>
      </c>
      <c r="E947" s="4">
        <f>SUMIFS('01_異動主檔'!$F:$F,'01_異動主檔'!$B:$B,123,'01_異動主檔'!$D:$D,B947,'01_異動主檔'!$E:$E,"移入")</f>
        <v/>
      </c>
      <c r="F947" s="4">
        <f>-SUMIFS('01_異動主檔'!$F:$F,'01_異動主檔'!$B:$B,123,'01_異動主檔'!$D:$D,B947,'01_異動主檔'!$E:$E,"移出")</f>
        <v/>
      </c>
      <c r="G947" s="4">
        <f>SUMIFS('01_異動主檔'!$F:$F,'01_異動主檔'!$B:$B,123,'01_異動主檔'!$D:$D,B947,'01_異動主檔'!$E:$E,"新增")</f>
        <v/>
      </c>
      <c r="H947" s="4">
        <f>-SUMIFS('01_異動主檔'!$F:$F,'01_異動主檔'!$B:$B,123,'01_異動主檔'!$D:$D,B947,'01_異動主檔'!$E:$E,"減列")</f>
        <v/>
      </c>
      <c r="I947" s="4">
        <f>-SUMIFS('01_異動主檔'!$F:$F,'01_異動主檔'!$B:$B,123,'01_異動主檔'!$D:$D,B947,'01_異動主檔'!$E:$E,"精簡")</f>
        <v/>
      </c>
      <c r="J947" s="10">
        <f>D947+E947+F947+G947+H947+I947</f>
        <v/>
      </c>
    </row>
    <row r="948" ht="18" customHeight="1">
      <c r="A948" s="6" t="inlineStr">
        <is>
          <t>E003</t>
        </is>
      </c>
      <c r="B948" s="5" t="inlineStr">
        <is>
          <t>服務中心</t>
        </is>
      </c>
      <c r="C948" s="6" t="n">
        <v>124</v>
      </c>
      <c r="D948" s="10">
        <f>J947</f>
        <v/>
      </c>
      <c r="E948" s="4">
        <f>SUMIFS('01_異動主檔'!$F:$F,'01_異動主檔'!$B:$B,124,'01_異動主檔'!$D:$D,B948,'01_異動主檔'!$E:$E,"移入")</f>
        <v/>
      </c>
      <c r="F948" s="4">
        <f>-SUMIFS('01_異動主檔'!$F:$F,'01_異動主檔'!$B:$B,124,'01_異動主檔'!$D:$D,B948,'01_異動主檔'!$E:$E,"移出")</f>
        <v/>
      </c>
      <c r="G948" s="4">
        <f>SUMIFS('01_異動主檔'!$F:$F,'01_異動主檔'!$B:$B,124,'01_異動主檔'!$D:$D,B948,'01_異動主檔'!$E:$E,"新增")</f>
        <v/>
      </c>
      <c r="H948" s="4">
        <f>-SUMIFS('01_異動主檔'!$F:$F,'01_異動主檔'!$B:$B,124,'01_異動主檔'!$D:$D,B948,'01_異動主檔'!$E:$E,"減列")</f>
        <v/>
      </c>
      <c r="I948" s="4">
        <f>-SUMIFS('01_異動主檔'!$F:$F,'01_異動主檔'!$B:$B,124,'01_異動主檔'!$D:$D,B948,'01_異動主檔'!$E:$E,"精簡")</f>
        <v/>
      </c>
      <c r="J948" s="10">
        <f>D948+E948+F948+G948+H948+I948</f>
        <v/>
      </c>
    </row>
    <row r="949" ht="18" customHeight="1">
      <c r="A949" s="4" t="inlineStr">
        <is>
          <t>E003</t>
        </is>
      </c>
      <c r="B949" s="3" t="inlineStr">
        <is>
          <t>服務中心</t>
        </is>
      </c>
      <c r="C949" s="4" t="n">
        <v>125</v>
      </c>
      <c r="D949" s="10">
        <f>J948</f>
        <v/>
      </c>
      <c r="E949" s="4">
        <f>SUMIFS('01_異動主檔'!$F:$F,'01_異動主檔'!$B:$B,125,'01_異動主檔'!$D:$D,B949,'01_異動主檔'!$E:$E,"移入")</f>
        <v/>
      </c>
      <c r="F949" s="4">
        <f>-SUMIFS('01_異動主檔'!$F:$F,'01_異動主檔'!$B:$B,125,'01_異動主檔'!$D:$D,B949,'01_異動主檔'!$E:$E,"移出")</f>
        <v/>
      </c>
      <c r="G949" s="4">
        <f>SUMIFS('01_異動主檔'!$F:$F,'01_異動主檔'!$B:$B,125,'01_異動主檔'!$D:$D,B949,'01_異動主檔'!$E:$E,"新增")</f>
        <v/>
      </c>
      <c r="H949" s="4">
        <f>-SUMIFS('01_異動主檔'!$F:$F,'01_異動主檔'!$B:$B,125,'01_異動主檔'!$D:$D,B949,'01_異動主檔'!$E:$E,"減列")</f>
        <v/>
      </c>
      <c r="I949" s="4">
        <f>-SUMIFS('01_異動主檔'!$F:$F,'01_異動主檔'!$B:$B,125,'01_異動主檔'!$D:$D,B949,'01_異動主檔'!$E:$E,"精簡")</f>
        <v/>
      </c>
      <c r="J949" s="10">
        <f>D949+E949+F949+G949+H949+I949</f>
        <v/>
      </c>
    </row>
    <row r="950" ht="18" customHeight="1">
      <c r="A950" s="6" t="inlineStr">
        <is>
          <t>E004</t>
        </is>
      </c>
      <c r="B950" s="5" t="inlineStr">
        <is>
          <t>管理中心</t>
        </is>
      </c>
      <c r="C950" s="6" t="n">
        <v>99</v>
      </c>
      <c r="D950" s="10">
        <f>'02_年初員額設定'!C40</f>
        <v/>
      </c>
      <c r="E950" s="4">
        <f>SUMIFS('01_異動主檔'!$F:$F,'01_異動主檔'!$B:$B,99,'01_異動主檔'!$D:$D,B950,'01_異動主檔'!$E:$E,"移入")</f>
        <v/>
      </c>
      <c r="F950" s="4">
        <f>-SUMIFS('01_異動主檔'!$F:$F,'01_異動主檔'!$B:$B,99,'01_異動主檔'!$D:$D,B950,'01_異動主檔'!$E:$E,"移出")</f>
        <v/>
      </c>
      <c r="G950" s="4">
        <f>SUMIFS('01_異動主檔'!$F:$F,'01_異動主檔'!$B:$B,99,'01_異動主檔'!$D:$D,B950,'01_異動主檔'!$E:$E,"新增")</f>
        <v/>
      </c>
      <c r="H950" s="4">
        <f>-SUMIFS('01_異動主檔'!$F:$F,'01_異動主檔'!$B:$B,99,'01_異動主檔'!$D:$D,B950,'01_異動主檔'!$E:$E,"減列")</f>
        <v/>
      </c>
      <c r="I950" s="4">
        <f>-SUMIFS('01_異動主檔'!$F:$F,'01_異動主檔'!$B:$B,99,'01_異動主檔'!$D:$D,B950,'01_異動主檔'!$E:$E,"精簡")</f>
        <v/>
      </c>
      <c r="J950" s="10">
        <f>D950+E950+F950+G950+H950+I950</f>
        <v/>
      </c>
    </row>
    <row r="951" ht="18" customHeight="1">
      <c r="A951" s="4" t="inlineStr">
        <is>
          <t>E004</t>
        </is>
      </c>
      <c r="B951" s="3" t="inlineStr">
        <is>
          <t>管理中心</t>
        </is>
      </c>
      <c r="C951" s="4" t="n">
        <v>100</v>
      </c>
      <c r="D951" s="10">
        <f>J950</f>
        <v/>
      </c>
      <c r="E951" s="4">
        <f>SUMIFS('01_異動主檔'!$F:$F,'01_異動主檔'!$B:$B,100,'01_異動主檔'!$D:$D,B951,'01_異動主檔'!$E:$E,"移入")</f>
        <v/>
      </c>
      <c r="F951" s="4">
        <f>-SUMIFS('01_異動主檔'!$F:$F,'01_異動主檔'!$B:$B,100,'01_異動主檔'!$D:$D,B951,'01_異動主檔'!$E:$E,"移出")</f>
        <v/>
      </c>
      <c r="G951" s="4">
        <f>SUMIFS('01_異動主檔'!$F:$F,'01_異動主檔'!$B:$B,100,'01_異動主檔'!$D:$D,B951,'01_異動主檔'!$E:$E,"新增")</f>
        <v/>
      </c>
      <c r="H951" s="4">
        <f>-SUMIFS('01_異動主檔'!$F:$F,'01_異動主檔'!$B:$B,100,'01_異動主檔'!$D:$D,B951,'01_異動主檔'!$E:$E,"減列")</f>
        <v/>
      </c>
      <c r="I951" s="4">
        <f>-SUMIFS('01_異動主檔'!$F:$F,'01_異動主檔'!$B:$B,100,'01_異動主檔'!$D:$D,B951,'01_異動主檔'!$E:$E,"精簡")</f>
        <v/>
      </c>
      <c r="J951" s="10">
        <f>D951+E951+F951+G951+H951+I951</f>
        <v/>
      </c>
    </row>
    <row r="952" ht="18" customHeight="1">
      <c r="A952" s="6" t="inlineStr">
        <is>
          <t>E004</t>
        </is>
      </c>
      <c r="B952" s="5" t="inlineStr">
        <is>
          <t>管理中心</t>
        </is>
      </c>
      <c r="C952" s="6" t="n">
        <v>101</v>
      </c>
      <c r="D952" s="10">
        <f>J951</f>
        <v/>
      </c>
      <c r="E952" s="4">
        <f>SUMIFS('01_異動主檔'!$F:$F,'01_異動主檔'!$B:$B,101,'01_異動主檔'!$D:$D,B952,'01_異動主檔'!$E:$E,"移入")</f>
        <v/>
      </c>
      <c r="F952" s="4">
        <f>-SUMIFS('01_異動主檔'!$F:$F,'01_異動主檔'!$B:$B,101,'01_異動主檔'!$D:$D,B952,'01_異動主檔'!$E:$E,"移出")</f>
        <v/>
      </c>
      <c r="G952" s="4">
        <f>SUMIFS('01_異動主檔'!$F:$F,'01_異動主檔'!$B:$B,101,'01_異動主檔'!$D:$D,B952,'01_異動主檔'!$E:$E,"新增")</f>
        <v/>
      </c>
      <c r="H952" s="4">
        <f>-SUMIFS('01_異動主檔'!$F:$F,'01_異動主檔'!$B:$B,101,'01_異動主檔'!$D:$D,B952,'01_異動主檔'!$E:$E,"減列")</f>
        <v/>
      </c>
      <c r="I952" s="4">
        <f>-SUMIFS('01_異動主檔'!$F:$F,'01_異動主檔'!$B:$B,101,'01_異動主檔'!$D:$D,B952,'01_異動主檔'!$E:$E,"精簡")</f>
        <v/>
      </c>
      <c r="J952" s="10">
        <f>D952+E952+F952+G952+H952+I952</f>
        <v/>
      </c>
    </row>
    <row r="953" ht="18" customHeight="1">
      <c r="A953" s="4" t="inlineStr">
        <is>
          <t>E004</t>
        </is>
      </c>
      <c r="B953" s="3" t="inlineStr">
        <is>
          <t>管理中心</t>
        </is>
      </c>
      <c r="C953" s="4" t="n">
        <v>102</v>
      </c>
      <c r="D953" s="10">
        <f>J952</f>
        <v/>
      </c>
      <c r="E953" s="4">
        <f>SUMIFS('01_異動主檔'!$F:$F,'01_異動主檔'!$B:$B,102,'01_異動主檔'!$D:$D,B953,'01_異動主檔'!$E:$E,"移入")</f>
        <v/>
      </c>
      <c r="F953" s="4">
        <f>-SUMIFS('01_異動主檔'!$F:$F,'01_異動主檔'!$B:$B,102,'01_異動主檔'!$D:$D,B953,'01_異動主檔'!$E:$E,"移出")</f>
        <v/>
      </c>
      <c r="G953" s="4">
        <f>SUMIFS('01_異動主檔'!$F:$F,'01_異動主檔'!$B:$B,102,'01_異動主檔'!$D:$D,B953,'01_異動主檔'!$E:$E,"新增")</f>
        <v/>
      </c>
      <c r="H953" s="4">
        <f>-SUMIFS('01_異動主檔'!$F:$F,'01_異動主檔'!$B:$B,102,'01_異動主檔'!$D:$D,B953,'01_異動主檔'!$E:$E,"減列")</f>
        <v/>
      </c>
      <c r="I953" s="4">
        <f>-SUMIFS('01_異動主檔'!$F:$F,'01_異動主檔'!$B:$B,102,'01_異動主檔'!$D:$D,B953,'01_異動主檔'!$E:$E,"精簡")</f>
        <v/>
      </c>
      <c r="J953" s="10">
        <f>D953+E953+F953+G953+H953+I953</f>
        <v/>
      </c>
    </row>
    <row r="954" ht="18" customHeight="1">
      <c r="A954" s="6" t="inlineStr">
        <is>
          <t>E004</t>
        </is>
      </c>
      <c r="B954" s="5" t="inlineStr">
        <is>
          <t>管理中心</t>
        </is>
      </c>
      <c r="C954" s="6" t="n">
        <v>103</v>
      </c>
      <c r="D954" s="10">
        <f>J953</f>
        <v/>
      </c>
      <c r="E954" s="4">
        <f>SUMIFS('01_異動主檔'!$F:$F,'01_異動主檔'!$B:$B,103,'01_異動主檔'!$D:$D,B954,'01_異動主檔'!$E:$E,"移入")</f>
        <v/>
      </c>
      <c r="F954" s="4">
        <f>-SUMIFS('01_異動主檔'!$F:$F,'01_異動主檔'!$B:$B,103,'01_異動主檔'!$D:$D,B954,'01_異動主檔'!$E:$E,"移出")</f>
        <v/>
      </c>
      <c r="G954" s="4">
        <f>SUMIFS('01_異動主檔'!$F:$F,'01_異動主檔'!$B:$B,103,'01_異動主檔'!$D:$D,B954,'01_異動主檔'!$E:$E,"新增")</f>
        <v/>
      </c>
      <c r="H954" s="4">
        <f>-SUMIFS('01_異動主檔'!$F:$F,'01_異動主檔'!$B:$B,103,'01_異動主檔'!$D:$D,B954,'01_異動主檔'!$E:$E,"減列")</f>
        <v/>
      </c>
      <c r="I954" s="4">
        <f>-SUMIFS('01_異動主檔'!$F:$F,'01_異動主檔'!$B:$B,103,'01_異動主檔'!$D:$D,B954,'01_異動主檔'!$E:$E,"精簡")</f>
        <v/>
      </c>
      <c r="J954" s="10">
        <f>D954+E954+F954+G954+H954+I954</f>
        <v/>
      </c>
    </row>
    <row r="955" ht="18" customHeight="1">
      <c r="A955" s="4" t="inlineStr">
        <is>
          <t>E004</t>
        </is>
      </c>
      <c r="B955" s="3" t="inlineStr">
        <is>
          <t>管理中心</t>
        </is>
      </c>
      <c r="C955" s="4" t="n">
        <v>104</v>
      </c>
      <c r="D955" s="10">
        <f>J954</f>
        <v/>
      </c>
      <c r="E955" s="4">
        <f>SUMIFS('01_異動主檔'!$F:$F,'01_異動主檔'!$B:$B,104,'01_異動主檔'!$D:$D,B955,'01_異動主檔'!$E:$E,"移入")</f>
        <v/>
      </c>
      <c r="F955" s="4">
        <f>-SUMIFS('01_異動主檔'!$F:$F,'01_異動主檔'!$B:$B,104,'01_異動主檔'!$D:$D,B955,'01_異動主檔'!$E:$E,"移出")</f>
        <v/>
      </c>
      <c r="G955" s="4">
        <f>SUMIFS('01_異動主檔'!$F:$F,'01_異動主檔'!$B:$B,104,'01_異動主檔'!$D:$D,B955,'01_異動主檔'!$E:$E,"新增")</f>
        <v/>
      </c>
      <c r="H955" s="4">
        <f>-SUMIFS('01_異動主檔'!$F:$F,'01_異動主檔'!$B:$B,104,'01_異動主檔'!$D:$D,B955,'01_異動主檔'!$E:$E,"減列")</f>
        <v/>
      </c>
      <c r="I955" s="4">
        <f>-SUMIFS('01_異動主檔'!$F:$F,'01_異動主檔'!$B:$B,104,'01_異動主檔'!$D:$D,B955,'01_異動主檔'!$E:$E,"精簡")</f>
        <v/>
      </c>
      <c r="J955" s="10">
        <f>D955+E955+F955+G955+H955+I955</f>
        <v/>
      </c>
    </row>
    <row r="956" ht="18" customHeight="1">
      <c r="A956" s="6" t="inlineStr">
        <is>
          <t>E004</t>
        </is>
      </c>
      <c r="B956" s="5" t="inlineStr">
        <is>
          <t>管理中心</t>
        </is>
      </c>
      <c r="C956" s="6" t="n">
        <v>105</v>
      </c>
      <c r="D956" s="10">
        <f>J955</f>
        <v/>
      </c>
      <c r="E956" s="4">
        <f>SUMIFS('01_異動主檔'!$F:$F,'01_異動主檔'!$B:$B,105,'01_異動主檔'!$D:$D,B956,'01_異動主檔'!$E:$E,"移入")</f>
        <v/>
      </c>
      <c r="F956" s="4">
        <f>-SUMIFS('01_異動主檔'!$F:$F,'01_異動主檔'!$B:$B,105,'01_異動主檔'!$D:$D,B956,'01_異動主檔'!$E:$E,"移出")</f>
        <v/>
      </c>
      <c r="G956" s="4">
        <f>SUMIFS('01_異動主檔'!$F:$F,'01_異動主檔'!$B:$B,105,'01_異動主檔'!$D:$D,B956,'01_異動主檔'!$E:$E,"新增")</f>
        <v/>
      </c>
      <c r="H956" s="4">
        <f>-SUMIFS('01_異動主檔'!$F:$F,'01_異動主檔'!$B:$B,105,'01_異動主檔'!$D:$D,B956,'01_異動主檔'!$E:$E,"減列")</f>
        <v/>
      </c>
      <c r="I956" s="4">
        <f>-SUMIFS('01_異動主檔'!$F:$F,'01_異動主檔'!$B:$B,105,'01_異動主檔'!$D:$D,B956,'01_異動主檔'!$E:$E,"精簡")</f>
        <v/>
      </c>
      <c r="J956" s="10">
        <f>D956+E956+F956+G956+H956+I956</f>
        <v/>
      </c>
    </row>
    <row r="957" ht="18" customHeight="1">
      <c r="A957" s="4" t="inlineStr">
        <is>
          <t>E004</t>
        </is>
      </c>
      <c r="B957" s="3" t="inlineStr">
        <is>
          <t>管理中心</t>
        </is>
      </c>
      <c r="C957" s="4" t="n">
        <v>106</v>
      </c>
      <c r="D957" s="10">
        <f>J956</f>
        <v/>
      </c>
      <c r="E957" s="4">
        <f>SUMIFS('01_異動主檔'!$F:$F,'01_異動主檔'!$B:$B,106,'01_異動主檔'!$D:$D,B957,'01_異動主檔'!$E:$E,"移入")</f>
        <v/>
      </c>
      <c r="F957" s="4">
        <f>-SUMIFS('01_異動主檔'!$F:$F,'01_異動主檔'!$B:$B,106,'01_異動主檔'!$D:$D,B957,'01_異動主檔'!$E:$E,"移出")</f>
        <v/>
      </c>
      <c r="G957" s="4">
        <f>SUMIFS('01_異動主檔'!$F:$F,'01_異動主檔'!$B:$B,106,'01_異動主檔'!$D:$D,B957,'01_異動主檔'!$E:$E,"新增")</f>
        <v/>
      </c>
      <c r="H957" s="4">
        <f>-SUMIFS('01_異動主檔'!$F:$F,'01_異動主檔'!$B:$B,106,'01_異動主檔'!$D:$D,B957,'01_異動主檔'!$E:$E,"減列")</f>
        <v/>
      </c>
      <c r="I957" s="4">
        <f>-SUMIFS('01_異動主檔'!$F:$F,'01_異動主檔'!$B:$B,106,'01_異動主檔'!$D:$D,B957,'01_異動主檔'!$E:$E,"精簡")</f>
        <v/>
      </c>
      <c r="J957" s="10">
        <f>D957+E957+F957+G957+H957+I957</f>
        <v/>
      </c>
    </row>
    <row r="958" ht="18" customHeight="1">
      <c r="A958" s="6" t="inlineStr">
        <is>
          <t>E004</t>
        </is>
      </c>
      <c r="B958" s="5" t="inlineStr">
        <is>
          <t>管理中心</t>
        </is>
      </c>
      <c r="C958" s="6" t="n">
        <v>107</v>
      </c>
      <c r="D958" s="10">
        <f>J957</f>
        <v/>
      </c>
      <c r="E958" s="4">
        <f>SUMIFS('01_異動主檔'!$F:$F,'01_異動主檔'!$B:$B,107,'01_異動主檔'!$D:$D,B958,'01_異動主檔'!$E:$E,"移入")</f>
        <v/>
      </c>
      <c r="F958" s="4">
        <f>-SUMIFS('01_異動主檔'!$F:$F,'01_異動主檔'!$B:$B,107,'01_異動主檔'!$D:$D,B958,'01_異動主檔'!$E:$E,"移出")</f>
        <v/>
      </c>
      <c r="G958" s="4">
        <f>SUMIFS('01_異動主檔'!$F:$F,'01_異動主檔'!$B:$B,107,'01_異動主檔'!$D:$D,B958,'01_異動主檔'!$E:$E,"新增")</f>
        <v/>
      </c>
      <c r="H958" s="4">
        <f>-SUMIFS('01_異動主檔'!$F:$F,'01_異動主檔'!$B:$B,107,'01_異動主檔'!$D:$D,B958,'01_異動主檔'!$E:$E,"減列")</f>
        <v/>
      </c>
      <c r="I958" s="4">
        <f>-SUMIFS('01_異動主檔'!$F:$F,'01_異動主檔'!$B:$B,107,'01_異動主檔'!$D:$D,B958,'01_異動主檔'!$E:$E,"精簡")</f>
        <v/>
      </c>
      <c r="J958" s="10">
        <f>D958+E958+F958+G958+H958+I958</f>
        <v/>
      </c>
    </row>
    <row r="959" ht="18" customHeight="1">
      <c r="A959" s="4" t="inlineStr">
        <is>
          <t>E004</t>
        </is>
      </c>
      <c r="B959" s="3" t="inlineStr">
        <is>
          <t>管理中心</t>
        </is>
      </c>
      <c r="C959" s="4" t="n">
        <v>108</v>
      </c>
      <c r="D959" s="10">
        <f>J958</f>
        <v/>
      </c>
      <c r="E959" s="4">
        <f>SUMIFS('01_異動主檔'!$F:$F,'01_異動主檔'!$B:$B,108,'01_異動主檔'!$D:$D,B959,'01_異動主檔'!$E:$E,"移入")</f>
        <v/>
      </c>
      <c r="F959" s="4">
        <f>-SUMIFS('01_異動主檔'!$F:$F,'01_異動主檔'!$B:$B,108,'01_異動主檔'!$D:$D,B959,'01_異動主檔'!$E:$E,"移出")</f>
        <v/>
      </c>
      <c r="G959" s="4">
        <f>SUMIFS('01_異動主檔'!$F:$F,'01_異動主檔'!$B:$B,108,'01_異動主檔'!$D:$D,B959,'01_異動主檔'!$E:$E,"新增")</f>
        <v/>
      </c>
      <c r="H959" s="4">
        <f>-SUMIFS('01_異動主檔'!$F:$F,'01_異動主檔'!$B:$B,108,'01_異動主檔'!$D:$D,B959,'01_異動主檔'!$E:$E,"減列")</f>
        <v/>
      </c>
      <c r="I959" s="4">
        <f>-SUMIFS('01_異動主檔'!$F:$F,'01_異動主檔'!$B:$B,108,'01_異動主檔'!$D:$D,B959,'01_異動主檔'!$E:$E,"精簡")</f>
        <v/>
      </c>
      <c r="J959" s="10">
        <f>D959+E959+F959+G959+H959+I959</f>
        <v/>
      </c>
    </row>
    <row r="960" ht="18" customHeight="1">
      <c r="A960" s="6" t="inlineStr">
        <is>
          <t>E004</t>
        </is>
      </c>
      <c r="B960" s="5" t="inlineStr">
        <is>
          <t>管理中心</t>
        </is>
      </c>
      <c r="C960" s="6" t="n">
        <v>109</v>
      </c>
      <c r="D960" s="10">
        <f>J959</f>
        <v/>
      </c>
      <c r="E960" s="4">
        <f>SUMIFS('01_異動主檔'!$F:$F,'01_異動主檔'!$B:$B,109,'01_異動主檔'!$D:$D,B960,'01_異動主檔'!$E:$E,"移入")</f>
        <v/>
      </c>
      <c r="F960" s="4">
        <f>-SUMIFS('01_異動主檔'!$F:$F,'01_異動主檔'!$B:$B,109,'01_異動主檔'!$D:$D,B960,'01_異動主檔'!$E:$E,"移出")</f>
        <v/>
      </c>
      <c r="G960" s="4">
        <f>SUMIFS('01_異動主檔'!$F:$F,'01_異動主檔'!$B:$B,109,'01_異動主檔'!$D:$D,B960,'01_異動主檔'!$E:$E,"新增")</f>
        <v/>
      </c>
      <c r="H960" s="4">
        <f>-SUMIFS('01_異動主檔'!$F:$F,'01_異動主檔'!$B:$B,109,'01_異動主檔'!$D:$D,B960,'01_異動主檔'!$E:$E,"減列")</f>
        <v/>
      </c>
      <c r="I960" s="4">
        <f>-SUMIFS('01_異動主檔'!$F:$F,'01_異動主檔'!$B:$B,109,'01_異動主檔'!$D:$D,B960,'01_異動主檔'!$E:$E,"精簡")</f>
        <v/>
      </c>
      <c r="J960" s="10">
        <f>D960+E960+F960+G960+H960+I960</f>
        <v/>
      </c>
    </row>
    <row r="961" ht="18" customHeight="1">
      <c r="A961" s="4" t="inlineStr">
        <is>
          <t>E004</t>
        </is>
      </c>
      <c r="B961" s="3" t="inlineStr">
        <is>
          <t>管理中心</t>
        </is>
      </c>
      <c r="C961" s="4" t="n">
        <v>110</v>
      </c>
      <c r="D961" s="10">
        <f>J960</f>
        <v/>
      </c>
      <c r="E961" s="4">
        <f>SUMIFS('01_異動主檔'!$F:$F,'01_異動主檔'!$B:$B,110,'01_異動主檔'!$D:$D,B961,'01_異動主檔'!$E:$E,"移入")</f>
        <v/>
      </c>
      <c r="F961" s="4">
        <f>-SUMIFS('01_異動主檔'!$F:$F,'01_異動主檔'!$B:$B,110,'01_異動主檔'!$D:$D,B961,'01_異動主檔'!$E:$E,"移出")</f>
        <v/>
      </c>
      <c r="G961" s="4">
        <f>SUMIFS('01_異動主檔'!$F:$F,'01_異動主檔'!$B:$B,110,'01_異動主檔'!$D:$D,B961,'01_異動主檔'!$E:$E,"新增")</f>
        <v/>
      </c>
      <c r="H961" s="4">
        <f>-SUMIFS('01_異動主檔'!$F:$F,'01_異動主檔'!$B:$B,110,'01_異動主檔'!$D:$D,B961,'01_異動主檔'!$E:$E,"減列")</f>
        <v/>
      </c>
      <c r="I961" s="4">
        <f>-SUMIFS('01_異動主檔'!$F:$F,'01_異動主檔'!$B:$B,110,'01_異動主檔'!$D:$D,B961,'01_異動主檔'!$E:$E,"精簡")</f>
        <v/>
      </c>
      <c r="J961" s="10">
        <f>D961+E961+F961+G961+H961+I961</f>
        <v/>
      </c>
    </row>
    <row r="962" ht="18" customHeight="1">
      <c r="A962" s="6" t="inlineStr">
        <is>
          <t>E004</t>
        </is>
      </c>
      <c r="B962" s="5" t="inlineStr">
        <is>
          <t>管理中心</t>
        </is>
      </c>
      <c r="C962" s="6" t="n">
        <v>111</v>
      </c>
      <c r="D962" s="10">
        <f>J961</f>
        <v/>
      </c>
      <c r="E962" s="4">
        <f>SUMIFS('01_異動主檔'!$F:$F,'01_異動主檔'!$B:$B,111,'01_異動主檔'!$D:$D,B962,'01_異動主檔'!$E:$E,"移入")</f>
        <v/>
      </c>
      <c r="F962" s="4">
        <f>-SUMIFS('01_異動主檔'!$F:$F,'01_異動主檔'!$B:$B,111,'01_異動主檔'!$D:$D,B962,'01_異動主檔'!$E:$E,"移出")</f>
        <v/>
      </c>
      <c r="G962" s="4">
        <f>SUMIFS('01_異動主檔'!$F:$F,'01_異動主檔'!$B:$B,111,'01_異動主檔'!$D:$D,B962,'01_異動主檔'!$E:$E,"新增")</f>
        <v/>
      </c>
      <c r="H962" s="4">
        <f>-SUMIFS('01_異動主檔'!$F:$F,'01_異動主檔'!$B:$B,111,'01_異動主檔'!$D:$D,B962,'01_異動主檔'!$E:$E,"減列")</f>
        <v/>
      </c>
      <c r="I962" s="4">
        <f>-SUMIFS('01_異動主檔'!$F:$F,'01_異動主檔'!$B:$B,111,'01_異動主檔'!$D:$D,B962,'01_異動主檔'!$E:$E,"精簡")</f>
        <v/>
      </c>
      <c r="J962" s="10">
        <f>D962+E962+F962+G962+H962+I962</f>
        <v/>
      </c>
    </row>
    <row r="963" ht="18" customHeight="1">
      <c r="A963" s="4" t="inlineStr">
        <is>
          <t>E004</t>
        </is>
      </c>
      <c r="B963" s="3" t="inlineStr">
        <is>
          <t>管理中心</t>
        </is>
      </c>
      <c r="C963" s="4" t="n">
        <v>112</v>
      </c>
      <c r="D963" s="10">
        <f>J962</f>
        <v/>
      </c>
      <c r="E963" s="4">
        <f>SUMIFS('01_異動主檔'!$F:$F,'01_異動主檔'!$B:$B,112,'01_異動主檔'!$D:$D,B963,'01_異動主檔'!$E:$E,"移入")</f>
        <v/>
      </c>
      <c r="F963" s="4">
        <f>-SUMIFS('01_異動主檔'!$F:$F,'01_異動主檔'!$B:$B,112,'01_異動主檔'!$D:$D,B963,'01_異動主檔'!$E:$E,"移出")</f>
        <v/>
      </c>
      <c r="G963" s="4">
        <f>SUMIFS('01_異動主檔'!$F:$F,'01_異動主檔'!$B:$B,112,'01_異動主檔'!$D:$D,B963,'01_異動主檔'!$E:$E,"新增")</f>
        <v/>
      </c>
      <c r="H963" s="4">
        <f>-SUMIFS('01_異動主檔'!$F:$F,'01_異動主檔'!$B:$B,112,'01_異動主檔'!$D:$D,B963,'01_異動主檔'!$E:$E,"減列")</f>
        <v/>
      </c>
      <c r="I963" s="4">
        <f>-SUMIFS('01_異動主檔'!$F:$F,'01_異動主檔'!$B:$B,112,'01_異動主檔'!$D:$D,B963,'01_異動主檔'!$E:$E,"精簡")</f>
        <v/>
      </c>
      <c r="J963" s="10">
        <f>D963+E963+F963+G963+H963+I963</f>
        <v/>
      </c>
    </row>
    <row r="964" ht="18" customHeight="1">
      <c r="A964" s="6" t="inlineStr">
        <is>
          <t>E004</t>
        </is>
      </c>
      <c r="B964" s="5" t="inlineStr">
        <is>
          <t>管理中心</t>
        </is>
      </c>
      <c r="C964" s="6" t="n">
        <v>113</v>
      </c>
      <c r="D964" s="10">
        <f>J963</f>
        <v/>
      </c>
      <c r="E964" s="4">
        <f>SUMIFS('01_異動主檔'!$F:$F,'01_異動主檔'!$B:$B,113,'01_異動主檔'!$D:$D,B964,'01_異動主檔'!$E:$E,"移入")</f>
        <v/>
      </c>
      <c r="F964" s="4">
        <f>-SUMIFS('01_異動主檔'!$F:$F,'01_異動主檔'!$B:$B,113,'01_異動主檔'!$D:$D,B964,'01_異動主檔'!$E:$E,"移出")</f>
        <v/>
      </c>
      <c r="G964" s="4">
        <f>SUMIFS('01_異動主檔'!$F:$F,'01_異動主檔'!$B:$B,113,'01_異動主檔'!$D:$D,B964,'01_異動主檔'!$E:$E,"新增")</f>
        <v/>
      </c>
      <c r="H964" s="4">
        <f>-SUMIFS('01_異動主檔'!$F:$F,'01_異動主檔'!$B:$B,113,'01_異動主檔'!$D:$D,B964,'01_異動主檔'!$E:$E,"減列")</f>
        <v/>
      </c>
      <c r="I964" s="4">
        <f>-SUMIFS('01_異動主檔'!$F:$F,'01_異動主檔'!$B:$B,113,'01_異動主檔'!$D:$D,B964,'01_異動主檔'!$E:$E,"精簡")</f>
        <v/>
      </c>
      <c r="J964" s="10">
        <f>D964+E964+F964+G964+H964+I964</f>
        <v/>
      </c>
    </row>
    <row r="965" ht="18" customHeight="1">
      <c r="A965" s="4" t="inlineStr">
        <is>
          <t>E004</t>
        </is>
      </c>
      <c r="B965" s="3" t="inlineStr">
        <is>
          <t>管理中心</t>
        </is>
      </c>
      <c r="C965" s="4" t="n">
        <v>114</v>
      </c>
      <c r="D965" s="10">
        <f>J964</f>
        <v/>
      </c>
      <c r="E965" s="4">
        <f>SUMIFS('01_異動主檔'!$F:$F,'01_異動主檔'!$B:$B,114,'01_異動主檔'!$D:$D,B965,'01_異動主檔'!$E:$E,"移入")</f>
        <v/>
      </c>
      <c r="F965" s="4">
        <f>-SUMIFS('01_異動主檔'!$F:$F,'01_異動主檔'!$B:$B,114,'01_異動主檔'!$D:$D,B965,'01_異動主檔'!$E:$E,"移出")</f>
        <v/>
      </c>
      <c r="G965" s="4">
        <f>SUMIFS('01_異動主檔'!$F:$F,'01_異動主檔'!$B:$B,114,'01_異動主檔'!$D:$D,B965,'01_異動主檔'!$E:$E,"新增")</f>
        <v/>
      </c>
      <c r="H965" s="4">
        <f>-SUMIFS('01_異動主檔'!$F:$F,'01_異動主檔'!$B:$B,114,'01_異動主檔'!$D:$D,B965,'01_異動主檔'!$E:$E,"減列")</f>
        <v/>
      </c>
      <c r="I965" s="4">
        <f>-SUMIFS('01_異動主檔'!$F:$F,'01_異動主檔'!$B:$B,114,'01_異動主檔'!$D:$D,B965,'01_異動主檔'!$E:$E,"精簡")</f>
        <v/>
      </c>
      <c r="J965" s="10">
        <f>D965+E965+F965+G965+H965+I965</f>
        <v/>
      </c>
    </row>
    <row r="966" ht="18" customHeight="1">
      <c r="A966" s="6" t="inlineStr">
        <is>
          <t>E004</t>
        </is>
      </c>
      <c r="B966" s="5" t="inlineStr">
        <is>
          <t>管理中心</t>
        </is>
      </c>
      <c r="C966" s="6" t="n">
        <v>115</v>
      </c>
      <c r="D966" s="10">
        <f>J965</f>
        <v/>
      </c>
      <c r="E966" s="4">
        <f>SUMIFS('01_異動主檔'!$F:$F,'01_異動主檔'!$B:$B,115,'01_異動主檔'!$D:$D,B966,'01_異動主檔'!$E:$E,"移入")</f>
        <v/>
      </c>
      <c r="F966" s="4">
        <f>-SUMIFS('01_異動主檔'!$F:$F,'01_異動主檔'!$B:$B,115,'01_異動主檔'!$D:$D,B966,'01_異動主檔'!$E:$E,"移出")</f>
        <v/>
      </c>
      <c r="G966" s="4">
        <f>SUMIFS('01_異動主檔'!$F:$F,'01_異動主檔'!$B:$B,115,'01_異動主檔'!$D:$D,B966,'01_異動主檔'!$E:$E,"新增")</f>
        <v/>
      </c>
      <c r="H966" s="4">
        <f>-SUMIFS('01_異動主檔'!$F:$F,'01_異動主檔'!$B:$B,115,'01_異動主檔'!$D:$D,B966,'01_異動主檔'!$E:$E,"減列")</f>
        <v/>
      </c>
      <c r="I966" s="4">
        <f>-SUMIFS('01_異動主檔'!$F:$F,'01_異動主檔'!$B:$B,115,'01_異動主檔'!$D:$D,B966,'01_異動主檔'!$E:$E,"精簡")</f>
        <v/>
      </c>
      <c r="J966" s="10">
        <f>D966+E966+F966+G966+H966+I966</f>
        <v/>
      </c>
    </row>
    <row r="967" ht="18" customHeight="1">
      <c r="A967" s="4" t="inlineStr">
        <is>
          <t>E004</t>
        </is>
      </c>
      <c r="B967" s="3" t="inlineStr">
        <is>
          <t>管理中心</t>
        </is>
      </c>
      <c r="C967" s="4" t="n">
        <v>116</v>
      </c>
      <c r="D967" s="10">
        <f>J966</f>
        <v/>
      </c>
      <c r="E967" s="4">
        <f>SUMIFS('01_異動主檔'!$F:$F,'01_異動主檔'!$B:$B,116,'01_異動主檔'!$D:$D,B967,'01_異動主檔'!$E:$E,"移入")</f>
        <v/>
      </c>
      <c r="F967" s="4">
        <f>-SUMIFS('01_異動主檔'!$F:$F,'01_異動主檔'!$B:$B,116,'01_異動主檔'!$D:$D,B967,'01_異動主檔'!$E:$E,"移出")</f>
        <v/>
      </c>
      <c r="G967" s="4">
        <f>SUMIFS('01_異動主檔'!$F:$F,'01_異動主檔'!$B:$B,116,'01_異動主檔'!$D:$D,B967,'01_異動主檔'!$E:$E,"新增")</f>
        <v/>
      </c>
      <c r="H967" s="4">
        <f>-SUMIFS('01_異動主檔'!$F:$F,'01_異動主檔'!$B:$B,116,'01_異動主檔'!$D:$D,B967,'01_異動主檔'!$E:$E,"減列")</f>
        <v/>
      </c>
      <c r="I967" s="4">
        <f>-SUMIFS('01_異動主檔'!$F:$F,'01_異動主檔'!$B:$B,116,'01_異動主檔'!$D:$D,B967,'01_異動主檔'!$E:$E,"精簡")</f>
        <v/>
      </c>
      <c r="J967" s="10">
        <f>D967+E967+F967+G967+H967+I967</f>
        <v/>
      </c>
    </row>
    <row r="968" ht="18" customHeight="1">
      <c r="A968" s="6" t="inlineStr">
        <is>
          <t>E004</t>
        </is>
      </c>
      <c r="B968" s="5" t="inlineStr">
        <is>
          <t>管理中心</t>
        </is>
      </c>
      <c r="C968" s="6" t="n">
        <v>117</v>
      </c>
      <c r="D968" s="10">
        <f>J967</f>
        <v/>
      </c>
      <c r="E968" s="4">
        <f>SUMIFS('01_異動主檔'!$F:$F,'01_異動主檔'!$B:$B,117,'01_異動主檔'!$D:$D,B968,'01_異動主檔'!$E:$E,"移入")</f>
        <v/>
      </c>
      <c r="F968" s="4">
        <f>-SUMIFS('01_異動主檔'!$F:$F,'01_異動主檔'!$B:$B,117,'01_異動主檔'!$D:$D,B968,'01_異動主檔'!$E:$E,"移出")</f>
        <v/>
      </c>
      <c r="G968" s="4">
        <f>SUMIFS('01_異動主檔'!$F:$F,'01_異動主檔'!$B:$B,117,'01_異動主檔'!$D:$D,B968,'01_異動主檔'!$E:$E,"新增")</f>
        <v/>
      </c>
      <c r="H968" s="4">
        <f>-SUMIFS('01_異動主檔'!$F:$F,'01_異動主檔'!$B:$B,117,'01_異動主檔'!$D:$D,B968,'01_異動主檔'!$E:$E,"減列")</f>
        <v/>
      </c>
      <c r="I968" s="4">
        <f>-SUMIFS('01_異動主檔'!$F:$F,'01_異動主檔'!$B:$B,117,'01_異動主檔'!$D:$D,B968,'01_異動主檔'!$E:$E,"精簡")</f>
        <v/>
      </c>
      <c r="J968" s="10">
        <f>D968+E968+F968+G968+H968+I968</f>
        <v/>
      </c>
    </row>
    <row r="969" ht="18" customHeight="1">
      <c r="A969" s="4" t="inlineStr">
        <is>
          <t>E004</t>
        </is>
      </c>
      <c r="B969" s="3" t="inlineStr">
        <is>
          <t>管理中心</t>
        </is>
      </c>
      <c r="C969" s="4" t="n">
        <v>118</v>
      </c>
      <c r="D969" s="10">
        <f>J968</f>
        <v/>
      </c>
      <c r="E969" s="4">
        <f>SUMIFS('01_異動主檔'!$F:$F,'01_異動主檔'!$B:$B,118,'01_異動主檔'!$D:$D,B969,'01_異動主檔'!$E:$E,"移入")</f>
        <v/>
      </c>
      <c r="F969" s="4">
        <f>-SUMIFS('01_異動主檔'!$F:$F,'01_異動主檔'!$B:$B,118,'01_異動主檔'!$D:$D,B969,'01_異動主檔'!$E:$E,"移出")</f>
        <v/>
      </c>
      <c r="G969" s="4">
        <f>SUMIFS('01_異動主檔'!$F:$F,'01_異動主檔'!$B:$B,118,'01_異動主檔'!$D:$D,B969,'01_異動主檔'!$E:$E,"新增")</f>
        <v/>
      </c>
      <c r="H969" s="4">
        <f>-SUMIFS('01_異動主檔'!$F:$F,'01_異動主檔'!$B:$B,118,'01_異動主檔'!$D:$D,B969,'01_異動主檔'!$E:$E,"減列")</f>
        <v/>
      </c>
      <c r="I969" s="4">
        <f>-SUMIFS('01_異動主檔'!$F:$F,'01_異動主檔'!$B:$B,118,'01_異動主檔'!$D:$D,B969,'01_異動主檔'!$E:$E,"精簡")</f>
        <v/>
      </c>
      <c r="J969" s="10">
        <f>D969+E969+F969+G969+H969+I969</f>
        <v/>
      </c>
    </row>
    <row r="970" ht="18" customHeight="1">
      <c r="A970" s="6" t="inlineStr">
        <is>
          <t>E004</t>
        </is>
      </c>
      <c r="B970" s="5" t="inlineStr">
        <is>
          <t>管理中心</t>
        </is>
      </c>
      <c r="C970" s="6" t="n">
        <v>119</v>
      </c>
      <c r="D970" s="10">
        <f>J969</f>
        <v/>
      </c>
      <c r="E970" s="4">
        <f>SUMIFS('01_異動主檔'!$F:$F,'01_異動主檔'!$B:$B,119,'01_異動主檔'!$D:$D,B970,'01_異動主檔'!$E:$E,"移入")</f>
        <v/>
      </c>
      <c r="F970" s="4">
        <f>-SUMIFS('01_異動主檔'!$F:$F,'01_異動主檔'!$B:$B,119,'01_異動主檔'!$D:$D,B970,'01_異動主檔'!$E:$E,"移出")</f>
        <v/>
      </c>
      <c r="G970" s="4">
        <f>SUMIFS('01_異動主檔'!$F:$F,'01_異動主檔'!$B:$B,119,'01_異動主檔'!$D:$D,B970,'01_異動主檔'!$E:$E,"新增")</f>
        <v/>
      </c>
      <c r="H970" s="4">
        <f>-SUMIFS('01_異動主檔'!$F:$F,'01_異動主檔'!$B:$B,119,'01_異動主檔'!$D:$D,B970,'01_異動主檔'!$E:$E,"減列")</f>
        <v/>
      </c>
      <c r="I970" s="4">
        <f>-SUMIFS('01_異動主檔'!$F:$F,'01_異動主檔'!$B:$B,119,'01_異動主檔'!$D:$D,B970,'01_異動主檔'!$E:$E,"精簡")</f>
        <v/>
      </c>
      <c r="J970" s="10">
        <f>D970+E970+F970+G970+H970+I970</f>
        <v/>
      </c>
    </row>
    <row r="971" ht="18" customHeight="1">
      <c r="A971" s="4" t="inlineStr">
        <is>
          <t>E004</t>
        </is>
      </c>
      <c r="B971" s="3" t="inlineStr">
        <is>
          <t>管理中心</t>
        </is>
      </c>
      <c r="C971" s="4" t="n">
        <v>120</v>
      </c>
      <c r="D971" s="10">
        <f>J970</f>
        <v/>
      </c>
      <c r="E971" s="4">
        <f>SUMIFS('01_異動主檔'!$F:$F,'01_異動主檔'!$B:$B,120,'01_異動主檔'!$D:$D,B971,'01_異動主檔'!$E:$E,"移入")</f>
        <v/>
      </c>
      <c r="F971" s="4">
        <f>-SUMIFS('01_異動主檔'!$F:$F,'01_異動主檔'!$B:$B,120,'01_異動主檔'!$D:$D,B971,'01_異動主檔'!$E:$E,"移出")</f>
        <v/>
      </c>
      <c r="G971" s="4">
        <f>SUMIFS('01_異動主檔'!$F:$F,'01_異動主檔'!$B:$B,120,'01_異動主檔'!$D:$D,B971,'01_異動主檔'!$E:$E,"新增")</f>
        <v/>
      </c>
      <c r="H971" s="4">
        <f>-SUMIFS('01_異動主檔'!$F:$F,'01_異動主檔'!$B:$B,120,'01_異動主檔'!$D:$D,B971,'01_異動主檔'!$E:$E,"減列")</f>
        <v/>
      </c>
      <c r="I971" s="4">
        <f>-SUMIFS('01_異動主檔'!$F:$F,'01_異動主檔'!$B:$B,120,'01_異動主檔'!$D:$D,B971,'01_異動主檔'!$E:$E,"精簡")</f>
        <v/>
      </c>
      <c r="J971" s="10">
        <f>D971+E971+F971+G971+H971+I971</f>
        <v/>
      </c>
    </row>
    <row r="972" ht="18" customHeight="1">
      <c r="A972" s="6" t="inlineStr">
        <is>
          <t>E004</t>
        </is>
      </c>
      <c r="B972" s="5" t="inlineStr">
        <is>
          <t>管理中心</t>
        </is>
      </c>
      <c r="C972" s="6" t="n">
        <v>121</v>
      </c>
      <c r="D972" s="10">
        <f>J971</f>
        <v/>
      </c>
      <c r="E972" s="4">
        <f>SUMIFS('01_異動主檔'!$F:$F,'01_異動主檔'!$B:$B,121,'01_異動主檔'!$D:$D,B972,'01_異動主檔'!$E:$E,"移入")</f>
        <v/>
      </c>
      <c r="F972" s="4">
        <f>-SUMIFS('01_異動主檔'!$F:$F,'01_異動主檔'!$B:$B,121,'01_異動主檔'!$D:$D,B972,'01_異動主檔'!$E:$E,"移出")</f>
        <v/>
      </c>
      <c r="G972" s="4">
        <f>SUMIFS('01_異動主檔'!$F:$F,'01_異動主檔'!$B:$B,121,'01_異動主檔'!$D:$D,B972,'01_異動主檔'!$E:$E,"新增")</f>
        <v/>
      </c>
      <c r="H972" s="4">
        <f>-SUMIFS('01_異動主檔'!$F:$F,'01_異動主檔'!$B:$B,121,'01_異動主檔'!$D:$D,B972,'01_異動主檔'!$E:$E,"減列")</f>
        <v/>
      </c>
      <c r="I972" s="4">
        <f>-SUMIFS('01_異動主檔'!$F:$F,'01_異動主檔'!$B:$B,121,'01_異動主檔'!$D:$D,B972,'01_異動主檔'!$E:$E,"精簡")</f>
        <v/>
      </c>
      <c r="J972" s="10">
        <f>D972+E972+F972+G972+H972+I972</f>
        <v/>
      </c>
    </row>
    <row r="973" ht="18" customHeight="1">
      <c r="A973" s="4" t="inlineStr">
        <is>
          <t>E004</t>
        </is>
      </c>
      <c r="B973" s="3" t="inlineStr">
        <is>
          <t>管理中心</t>
        </is>
      </c>
      <c r="C973" s="4" t="n">
        <v>122</v>
      </c>
      <c r="D973" s="10">
        <f>J972</f>
        <v/>
      </c>
      <c r="E973" s="4">
        <f>SUMIFS('01_異動主檔'!$F:$F,'01_異動主檔'!$B:$B,122,'01_異動主檔'!$D:$D,B973,'01_異動主檔'!$E:$E,"移入")</f>
        <v/>
      </c>
      <c r="F973" s="4">
        <f>-SUMIFS('01_異動主檔'!$F:$F,'01_異動主檔'!$B:$B,122,'01_異動主檔'!$D:$D,B973,'01_異動主檔'!$E:$E,"移出")</f>
        <v/>
      </c>
      <c r="G973" s="4">
        <f>SUMIFS('01_異動主檔'!$F:$F,'01_異動主檔'!$B:$B,122,'01_異動主檔'!$D:$D,B973,'01_異動主檔'!$E:$E,"新增")</f>
        <v/>
      </c>
      <c r="H973" s="4">
        <f>-SUMIFS('01_異動主檔'!$F:$F,'01_異動主檔'!$B:$B,122,'01_異動主檔'!$D:$D,B973,'01_異動主檔'!$E:$E,"減列")</f>
        <v/>
      </c>
      <c r="I973" s="4">
        <f>-SUMIFS('01_異動主檔'!$F:$F,'01_異動主檔'!$B:$B,122,'01_異動主檔'!$D:$D,B973,'01_異動主檔'!$E:$E,"精簡")</f>
        <v/>
      </c>
      <c r="J973" s="10">
        <f>D973+E973+F973+G973+H973+I973</f>
        <v/>
      </c>
    </row>
    <row r="974" ht="18" customHeight="1">
      <c r="A974" s="6" t="inlineStr">
        <is>
          <t>E004</t>
        </is>
      </c>
      <c r="B974" s="5" t="inlineStr">
        <is>
          <t>管理中心</t>
        </is>
      </c>
      <c r="C974" s="6" t="n">
        <v>123</v>
      </c>
      <c r="D974" s="10">
        <f>J973</f>
        <v/>
      </c>
      <c r="E974" s="4">
        <f>SUMIFS('01_異動主檔'!$F:$F,'01_異動主檔'!$B:$B,123,'01_異動主檔'!$D:$D,B974,'01_異動主檔'!$E:$E,"移入")</f>
        <v/>
      </c>
      <c r="F974" s="4">
        <f>-SUMIFS('01_異動主檔'!$F:$F,'01_異動主檔'!$B:$B,123,'01_異動主檔'!$D:$D,B974,'01_異動主檔'!$E:$E,"移出")</f>
        <v/>
      </c>
      <c r="G974" s="4">
        <f>SUMIFS('01_異動主檔'!$F:$F,'01_異動主檔'!$B:$B,123,'01_異動主檔'!$D:$D,B974,'01_異動主檔'!$E:$E,"新增")</f>
        <v/>
      </c>
      <c r="H974" s="4">
        <f>-SUMIFS('01_異動主檔'!$F:$F,'01_異動主檔'!$B:$B,123,'01_異動主檔'!$D:$D,B974,'01_異動主檔'!$E:$E,"減列")</f>
        <v/>
      </c>
      <c r="I974" s="4">
        <f>-SUMIFS('01_異動主檔'!$F:$F,'01_異動主檔'!$B:$B,123,'01_異動主檔'!$D:$D,B974,'01_異動主檔'!$E:$E,"精簡")</f>
        <v/>
      </c>
      <c r="J974" s="10">
        <f>D974+E974+F974+G974+H974+I974</f>
        <v/>
      </c>
    </row>
    <row r="975" ht="18" customHeight="1">
      <c r="A975" s="4" t="inlineStr">
        <is>
          <t>E004</t>
        </is>
      </c>
      <c r="B975" s="3" t="inlineStr">
        <is>
          <t>管理中心</t>
        </is>
      </c>
      <c r="C975" s="4" t="n">
        <v>124</v>
      </c>
      <c r="D975" s="10">
        <f>J974</f>
        <v/>
      </c>
      <c r="E975" s="4">
        <f>SUMIFS('01_異動主檔'!$F:$F,'01_異動主檔'!$B:$B,124,'01_異動主檔'!$D:$D,B975,'01_異動主檔'!$E:$E,"移入")</f>
        <v/>
      </c>
      <c r="F975" s="4">
        <f>-SUMIFS('01_異動主檔'!$F:$F,'01_異動主檔'!$B:$B,124,'01_異動主檔'!$D:$D,B975,'01_異動主檔'!$E:$E,"移出")</f>
        <v/>
      </c>
      <c r="G975" s="4">
        <f>SUMIFS('01_異動主檔'!$F:$F,'01_異動主檔'!$B:$B,124,'01_異動主檔'!$D:$D,B975,'01_異動主檔'!$E:$E,"新增")</f>
        <v/>
      </c>
      <c r="H975" s="4">
        <f>-SUMIFS('01_異動主檔'!$F:$F,'01_異動主檔'!$B:$B,124,'01_異動主檔'!$D:$D,B975,'01_異動主檔'!$E:$E,"減列")</f>
        <v/>
      </c>
      <c r="I975" s="4">
        <f>-SUMIFS('01_異動主檔'!$F:$F,'01_異動主檔'!$B:$B,124,'01_異動主檔'!$D:$D,B975,'01_異動主檔'!$E:$E,"精簡")</f>
        <v/>
      </c>
      <c r="J975" s="10">
        <f>D975+E975+F975+G975+H975+I975</f>
        <v/>
      </c>
    </row>
    <row r="976" ht="18" customHeight="1">
      <c r="A976" s="6" t="inlineStr">
        <is>
          <t>E004</t>
        </is>
      </c>
      <c r="B976" s="5" t="inlineStr">
        <is>
          <t>管理中心</t>
        </is>
      </c>
      <c r="C976" s="6" t="n">
        <v>125</v>
      </c>
      <c r="D976" s="10">
        <f>J975</f>
        <v/>
      </c>
      <c r="E976" s="4">
        <f>SUMIFS('01_異動主檔'!$F:$F,'01_異動主檔'!$B:$B,125,'01_異動主檔'!$D:$D,B976,'01_異動主檔'!$E:$E,"移入")</f>
        <v/>
      </c>
      <c r="F976" s="4">
        <f>-SUMIFS('01_異動主檔'!$F:$F,'01_異動主檔'!$B:$B,125,'01_異動主檔'!$D:$D,B976,'01_異動主檔'!$E:$E,"移出")</f>
        <v/>
      </c>
      <c r="G976" s="4">
        <f>SUMIFS('01_異動主檔'!$F:$F,'01_異動主檔'!$B:$B,125,'01_異動主檔'!$D:$D,B976,'01_異動主檔'!$E:$E,"新增")</f>
        <v/>
      </c>
      <c r="H976" s="4">
        <f>-SUMIFS('01_異動主檔'!$F:$F,'01_異動主檔'!$B:$B,125,'01_異動主檔'!$D:$D,B976,'01_異動主檔'!$E:$E,"減列")</f>
        <v/>
      </c>
      <c r="I976" s="4">
        <f>-SUMIFS('01_異動主檔'!$F:$F,'01_異動主檔'!$B:$B,125,'01_異動主檔'!$D:$D,B976,'01_異動主檔'!$E:$E,"精簡")</f>
        <v/>
      </c>
      <c r="J976" s="10">
        <f>D976+E976+F976+G976+H976+I976</f>
        <v/>
      </c>
    </row>
    <row r="977" ht="18" customHeight="1">
      <c r="A977" s="4" t="inlineStr">
        <is>
          <t>E005</t>
        </is>
      </c>
      <c r="B977" s="3" t="inlineStr">
        <is>
          <t>審查中心</t>
        </is>
      </c>
      <c r="C977" s="4" t="n">
        <v>99</v>
      </c>
      <c r="D977" s="10">
        <f>'02_年初員額設定'!C41</f>
        <v/>
      </c>
      <c r="E977" s="4">
        <f>SUMIFS('01_異動主檔'!$F:$F,'01_異動主檔'!$B:$B,99,'01_異動主檔'!$D:$D,B977,'01_異動主檔'!$E:$E,"移入")</f>
        <v/>
      </c>
      <c r="F977" s="4">
        <f>-SUMIFS('01_異動主檔'!$F:$F,'01_異動主檔'!$B:$B,99,'01_異動主檔'!$D:$D,B977,'01_異動主檔'!$E:$E,"移出")</f>
        <v/>
      </c>
      <c r="G977" s="4">
        <f>SUMIFS('01_異動主檔'!$F:$F,'01_異動主檔'!$B:$B,99,'01_異動主檔'!$D:$D,B977,'01_異動主檔'!$E:$E,"新增")</f>
        <v/>
      </c>
      <c r="H977" s="4">
        <f>-SUMIFS('01_異動主檔'!$F:$F,'01_異動主檔'!$B:$B,99,'01_異動主檔'!$D:$D,B977,'01_異動主檔'!$E:$E,"減列")</f>
        <v/>
      </c>
      <c r="I977" s="4">
        <f>-SUMIFS('01_異動主檔'!$F:$F,'01_異動主檔'!$B:$B,99,'01_異動主檔'!$D:$D,B977,'01_異動主檔'!$E:$E,"精簡")</f>
        <v/>
      </c>
      <c r="J977" s="10">
        <f>D977+E977+F977+G977+H977+I977</f>
        <v/>
      </c>
    </row>
    <row r="978" ht="18" customHeight="1">
      <c r="A978" s="6" t="inlineStr">
        <is>
          <t>E005</t>
        </is>
      </c>
      <c r="B978" s="5" t="inlineStr">
        <is>
          <t>審查中心</t>
        </is>
      </c>
      <c r="C978" s="6" t="n">
        <v>100</v>
      </c>
      <c r="D978" s="10">
        <f>J977</f>
        <v/>
      </c>
      <c r="E978" s="4">
        <f>SUMIFS('01_異動主檔'!$F:$F,'01_異動主檔'!$B:$B,100,'01_異動主檔'!$D:$D,B978,'01_異動主檔'!$E:$E,"移入")</f>
        <v/>
      </c>
      <c r="F978" s="4">
        <f>-SUMIFS('01_異動主檔'!$F:$F,'01_異動主檔'!$B:$B,100,'01_異動主檔'!$D:$D,B978,'01_異動主檔'!$E:$E,"移出")</f>
        <v/>
      </c>
      <c r="G978" s="4">
        <f>SUMIFS('01_異動主檔'!$F:$F,'01_異動主檔'!$B:$B,100,'01_異動主檔'!$D:$D,B978,'01_異動主檔'!$E:$E,"新增")</f>
        <v/>
      </c>
      <c r="H978" s="4">
        <f>-SUMIFS('01_異動主檔'!$F:$F,'01_異動主檔'!$B:$B,100,'01_異動主檔'!$D:$D,B978,'01_異動主檔'!$E:$E,"減列")</f>
        <v/>
      </c>
      <c r="I978" s="4">
        <f>-SUMIFS('01_異動主檔'!$F:$F,'01_異動主檔'!$B:$B,100,'01_異動主檔'!$D:$D,B978,'01_異動主檔'!$E:$E,"精簡")</f>
        <v/>
      </c>
      <c r="J978" s="10">
        <f>D978+E978+F978+G978+H978+I978</f>
        <v/>
      </c>
    </row>
    <row r="979" ht="18" customHeight="1">
      <c r="A979" s="4" t="inlineStr">
        <is>
          <t>E005</t>
        </is>
      </c>
      <c r="B979" s="3" t="inlineStr">
        <is>
          <t>審查中心</t>
        </is>
      </c>
      <c r="C979" s="4" t="n">
        <v>101</v>
      </c>
      <c r="D979" s="10">
        <f>J978</f>
        <v/>
      </c>
      <c r="E979" s="4">
        <f>SUMIFS('01_異動主檔'!$F:$F,'01_異動主檔'!$B:$B,101,'01_異動主檔'!$D:$D,B979,'01_異動主檔'!$E:$E,"移入")</f>
        <v/>
      </c>
      <c r="F979" s="4">
        <f>-SUMIFS('01_異動主檔'!$F:$F,'01_異動主檔'!$B:$B,101,'01_異動主檔'!$D:$D,B979,'01_異動主檔'!$E:$E,"移出")</f>
        <v/>
      </c>
      <c r="G979" s="4">
        <f>SUMIFS('01_異動主檔'!$F:$F,'01_異動主檔'!$B:$B,101,'01_異動主檔'!$D:$D,B979,'01_異動主檔'!$E:$E,"新增")</f>
        <v/>
      </c>
      <c r="H979" s="4">
        <f>-SUMIFS('01_異動主檔'!$F:$F,'01_異動主檔'!$B:$B,101,'01_異動主檔'!$D:$D,B979,'01_異動主檔'!$E:$E,"減列")</f>
        <v/>
      </c>
      <c r="I979" s="4">
        <f>-SUMIFS('01_異動主檔'!$F:$F,'01_異動主檔'!$B:$B,101,'01_異動主檔'!$D:$D,B979,'01_異動主檔'!$E:$E,"精簡")</f>
        <v/>
      </c>
      <c r="J979" s="10">
        <f>D979+E979+F979+G979+H979+I979</f>
        <v/>
      </c>
    </row>
    <row r="980" ht="18" customHeight="1">
      <c r="A980" s="6" t="inlineStr">
        <is>
          <t>E005</t>
        </is>
      </c>
      <c r="B980" s="5" t="inlineStr">
        <is>
          <t>審查中心</t>
        </is>
      </c>
      <c r="C980" s="6" t="n">
        <v>102</v>
      </c>
      <c r="D980" s="10">
        <f>J979</f>
        <v/>
      </c>
      <c r="E980" s="4">
        <f>SUMIFS('01_異動主檔'!$F:$F,'01_異動主檔'!$B:$B,102,'01_異動主檔'!$D:$D,B980,'01_異動主檔'!$E:$E,"移入")</f>
        <v/>
      </c>
      <c r="F980" s="4">
        <f>-SUMIFS('01_異動主檔'!$F:$F,'01_異動主檔'!$B:$B,102,'01_異動主檔'!$D:$D,B980,'01_異動主檔'!$E:$E,"移出")</f>
        <v/>
      </c>
      <c r="G980" s="4">
        <f>SUMIFS('01_異動主檔'!$F:$F,'01_異動主檔'!$B:$B,102,'01_異動主檔'!$D:$D,B980,'01_異動主檔'!$E:$E,"新增")</f>
        <v/>
      </c>
      <c r="H980" s="4">
        <f>-SUMIFS('01_異動主檔'!$F:$F,'01_異動主檔'!$B:$B,102,'01_異動主檔'!$D:$D,B980,'01_異動主檔'!$E:$E,"減列")</f>
        <v/>
      </c>
      <c r="I980" s="4">
        <f>-SUMIFS('01_異動主檔'!$F:$F,'01_異動主檔'!$B:$B,102,'01_異動主檔'!$D:$D,B980,'01_異動主檔'!$E:$E,"精簡")</f>
        <v/>
      </c>
      <c r="J980" s="10">
        <f>D980+E980+F980+G980+H980+I980</f>
        <v/>
      </c>
    </row>
    <row r="981" ht="18" customHeight="1">
      <c r="A981" s="4" t="inlineStr">
        <is>
          <t>E005</t>
        </is>
      </c>
      <c r="B981" s="3" t="inlineStr">
        <is>
          <t>審查中心</t>
        </is>
      </c>
      <c r="C981" s="4" t="n">
        <v>103</v>
      </c>
      <c r="D981" s="10">
        <f>J980</f>
        <v/>
      </c>
      <c r="E981" s="4">
        <f>SUMIFS('01_異動主檔'!$F:$F,'01_異動主檔'!$B:$B,103,'01_異動主檔'!$D:$D,B981,'01_異動主檔'!$E:$E,"移入")</f>
        <v/>
      </c>
      <c r="F981" s="4">
        <f>-SUMIFS('01_異動主檔'!$F:$F,'01_異動主檔'!$B:$B,103,'01_異動主檔'!$D:$D,B981,'01_異動主檔'!$E:$E,"移出")</f>
        <v/>
      </c>
      <c r="G981" s="4">
        <f>SUMIFS('01_異動主檔'!$F:$F,'01_異動主檔'!$B:$B,103,'01_異動主檔'!$D:$D,B981,'01_異動主檔'!$E:$E,"新增")</f>
        <v/>
      </c>
      <c r="H981" s="4">
        <f>-SUMIFS('01_異動主檔'!$F:$F,'01_異動主檔'!$B:$B,103,'01_異動主檔'!$D:$D,B981,'01_異動主檔'!$E:$E,"減列")</f>
        <v/>
      </c>
      <c r="I981" s="4">
        <f>-SUMIFS('01_異動主檔'!$F:$F,'01_異動主檔'!$B:$B,103,'01_異動主檔'!$D:$D,B981,'01_異動主檔'!$E:$E,"精簡")</f>
        <v/>
      </c>
      <c r="J981" s="10">
        <f>D981+E981+F981+G981+H981+I981</f>
        <v/>
      </c>
    </row>
    <row r="982" ht="18" customHeight="1">
      <c r="A982" s="6" t="inlineStr">
        <is>
          <t>E005</t>
        </is>
      </c>
      <c r="B982" s="5" t="inlineStr">
        <is>
          <t>審查中心</t>
        </is>
      </c>
      <c r="C982" s="6" t="n">
        <v>104</v>
      </c>
      <c r="D982" s="10">
        <f>J981</f>
        <v/>
      </c>
      <c r="E982" s="4">
        <f>SUMIFS('01_異動主檔'!$F:$F,'01_異動主檔'!$B:$B,104,'01_異動主檔'!$D:$D,B982,'01_異動主檔'!$E:$E,"移入")</f>
        <v/>
      </c>
      <c r="F982" s="4">
        <f>-SUMIFS('01_異動主檔'!$F:$F,'01_異動主檔'!$B:$B,104,'01_異動主檔'!$D:$D,B982,'01_異動主檔'!$E:$E,"移出")</f>
        <v/>
      </c>
      <c r="G982" s="4">
        <f>SUMIFS('01_異動主檔'!$F:$F,'01_異動主檔'!$B:$B,104,'01_異動主檔'!$D:$D,B982,'01_異動主檔'!$E:$E,"新增")</f>
        <v/>
      </c>
      <c r="H982" s="4">
        <f>-SUMIFS('01_異動主檔'!$F:$F,'01_異動主檔'!$B:$B,104,'01_異動主檔'!$D:$D,B982,'01_異動主檔'!$E:$E,"減列")</f>
        <v/>
      </c>
      <c r="I982" s="4">
        <f>-SUMIFS('01_異動主檔'!$F:$F,'01_異動主檔'!$B:$B,104,'01_異動主檔'!$D:$D,B982,'01_異動主檔'!$E:$E,"精簡")</f>
        <v/>
      </c>
      <c r="J982" s="10">
        <f>D982+E982+F982+G982+H982+I982</f>
        <v/>
      </c>
    </row>
    <row r="983" ht="18" customHeight="1">
      <c r="A983" s="4" t="inlineStr">
        <is>
          <t>E005</t>
        </is>
      </c>
      <c r="B983" s="3" t="inlineStr">
        <is>
          <t>審查中心</t>
        </is>
      </c>
      <c r="C983" s="4" t="n">
        <v>105</v>
      </c>
      <c r="D983" s="10">
        <f>J982</f>
        <v/>
      </c>
      <c r="E983" s="4">
        <f>SUMIFS('01_異動主檔'!$F:$F,'01_異動主檔'!$B:$B,105,'01_異動主檔'!$D:$D,B983,'01_異動主檔'!$E:$E,"移入")</f>
        <v/>
      </c>
      <c r="F983" s="4">
        <f>-SUMIFS('01_異動主檔'!$F:$F,'01_異動主檔'!$B:$B,105,'01_異動主檔'!$D:$D,B983,'01_異動主檔'!$E:$E,"移出")</f>
        <v/>
      </c>
      <c r="G983" s="4">
        <f>SUMIFS('01_異動主檔'!$F:$F,'01_異動主檔'!$B:$B,105,'01_異動主檔'!$D:$D,B983,'01_異動主檔'!$E:$E,"新增")</f>
        <v/>
      </c>
      <c r="H983" s="4">
        <f>-SUMIFS('01_異動主檔'!$F:$F,'01_異動主檔'!$B:$B,105,'01_異動主檔'!$D:$D,B983,'01_異動主檔'!$E:$E,"減列")</f>
        <v/>
      </c>
      <c r="I983" s="4">
        <f>-SUMIFS('01_異動主檔'!$F:$F,'01_異動主檔'!$B:$B,105,'01_異動主檔'!$D:$D,B983,'01_異動主檔'!$E:$E,"精簡")</f>
        <v/>
      </c>
      <c r="J983" s="10">
        <f>D983+E983+F983+G983+H983+I983</f>
        <v/>
      </c>
    </row>
    <row r="984" ht="18" customHeight="1">
      <c r="A984" s="6" t="inlineStr">
        <is>
          <t>E005</t>
        </is>
      </c>
      <c r="B984" s="5" t="inlineStr">
        <is>
          <t>審查中心</t>
        </is>
      </c>
      <c r="C984" s="6" t="n">
        <v>106</v>
      </c>
      <c r="D984" s="10">
        <f>J983</f>
        <v/>
      </c>
      <c r="E984" s="4">
        <f>SUMIFS('01_異動主檔'!$F:$F,'01_異動主檔'!$B:$B,106,'01_異動主檔'!$D:$D,B984,'01_異動主檔'!$E:$E,"移入")</f>
        <v/>
      </c>
      <c r="F984" s="4">
        <f>-SUMIFS('01_異動主檔'!$F:$F,'01_異動主檔'!$B:$B,106,'01_異動主檔'!$D:$D,B984,'01_異動主檔'!$E:$E,"移出")</f>
        <v/>
      </c>
      <c r="G984" s="4">
        <f>SUMIFS('01_異動主檔'!$F:$F,'01_異動主檔'!$B:$B,106,'01_異動主檔'!$D:$D,B984,'01_異動主檔'!$E:$E,"新增")</f>
        <v/>
      </c>
      <c r="H984" s="4">
        <f>-SUMIFS('01_異動主檔'!$F:$F,'01_異動主檔'!$B:$B,106,'01_異動主檔'!$D:$D,B984,'01_異動主檔'!$E:$E,"減列")</f>
        <v/>
      </c>
      <c r="I984" s="4">
        <f>-SUMIFS('01_異動主檔'!$F:$F,'01_異動主檔'!$B:$B,106,'01_異動主檔'!$D:$D,B984,'01_異動主檔'!$E:$E,"精簡")</f>
        <v/>
      </c>
      <c r="J984" s="10">
        <f>D984+E984+F984+G984+H984+I984</f>
        <v/>
      </c>
    </row>
    <row r="985" ht="18" customHeight="1">
      <c r="A985" s="4" t="inlineStr">
        <is>
          <t>E005</t>
        </is>
      </c>
      <c r="B985" s="3" t="inlineStr">
        <is>
          <t>審查中心</t>
        </is>
      </c>
      <c r="C985" s="4" t="n">
        <v>107</v>
      </c>
      <c r="D985" s="10">
        <f>J984</f>
        <v/>
      </c>
      <c r="E985" s="4">
        <f>SUMIFS('01_異動主檔'!$F:$F,'01_異動主檔'!$B:$B,107,'01_異動主檔'!$D:$D,B985,'01_異動主檔'!$E:$E,"移入")</f>
        <v/>
      </c>
      <c r="F985" s="4">
        <f>-SUMIFS('01_異動主檔'!$F:$F,'01_異動主檔'!$B:$B,107,'01_異動主檔'!$D:$D,B985,'01_異動主檔'!$E:$E,"移出")</f>
        <v/>
      </c>
      <c r="G985" s="4">
        <f>SUMIFS('01_異動主檔'!$F:$F,'01_異動主檔'!$B:$B,107,'01_異動主檔'!$D:$D,B985,'01_異動主檔'!$E:$E,"新增")</f>
        <v/>
      </c>
      <c r="H985" s="4">
        <f>-SUMIFS('01_異動主檔'!$F:$F,'01_異動主檔'!$B:$B,107,'01_異動主檔'!$D:$D,B985,'01_異動主檔'!$E:$E,"減列")</f>
        <v/>
      </c>
      <c r="I985" s="4">
        <f>-SUMIFS('01_異動主檔'!$F:$F,'01_異動主檔'!$B:$B,107,'01_異動主檔'!$D:$D,B985,'01_異動主檔'!$E:$E,"精簡")</f>
        <v/>
      </c>
      <c r="J985" s="10">
        <f>D985+E985+F985+G985+H985+I985</f>
        <v/>
      </c>
    </row>
    <row r="986" ht="18" customHeight="1">
      <c r="A986" s="6" t="inlineStr">
        <is>
          <t>E005</t>
        </is>
      </c>
      <c r="B986" s="5" t="inlineStr">
        <is>
          <t>審查中心</t>
        </is>
      </c>
      <c r="C986" s="6" t="n">
        <v>108</v>
      </c>
      <c r="D986" s="10">
        <f>J985</f>
        <v/>
      </c>
      <c r="E986" s="4">
        <f>SUMIFS('01_異動主檔'!$F:$F,'01_異動主檔'!$B:$B,108,'01_異動主檔'!$D:$D,B986,'01_異動主檔'!$E:$E,"移入")</f>
        <v/>
      </c>
      <c r="F986" s="4">
        <f>-SUMIFS('01_異動主檔'!$F:$F,'01_異動主檔'!$B:$B,108,'01_異動主檔'!$D:$D,B986,'01_異動主檔'!$E:$E,"移出")</f>
        <v/>
      </c>
      <c r="G986" s="4">
        <f>SUMIFS('01_異動主檔'!$F:$F,'01_異動主檔'!$B:$B,108,'01_異動主檔'!$D:$D,B986,'01_異動主檔'!$E:$E,"新增")</f>
        <v/>
      </c>
      <c r="H986" s="4">
        <f>-SUMIFS('01_異動主檔'!$F:$F,'01_異動主檔'!$B:$B,108,'01_異動主檔'!$D:$D,B986,'01_異動主檔'!$E:$E,"減列")</f>
        <v/>
      </c>
      <c r="I986" s="4">
        <f>-SUMIFS('01_異動主檔'!$F:$F,'01_異動主檔'!$B:$B,108,'01_異動主檔'!$D:$D,B986,'01_異動主檔'!$E:$E,"精簡")</f>
        <v/>
      </c>
      <c r="J986" s="10">
        <f>D986+E986+F986+G986+H986+I986</f>
        <v/>
      </c>
    </row>
    <row r="987" ht="18" customHeight="1">
      <c r="A987" s="4" t="inlineStr">
        <is>
          <t>E005</t>
        </is>
      </c>
      <c r="B987" s="3" t="inlineStr">
        <is>
          <t>審查中心</t>
        </is>
      </c>
      <c r="C987" s="4" t="n">
        <v>109</v>
      </c>
      <c r="D987" s="10">
        <f>J986</f>
        <v/>
      </c>
      <c r="E987" s="4">
        <f>SUMIFS('01_異動主檔'!$F:$F,'01_異動主檔'!$B:$B,109,'01_異動主檔'!$D:$D,B987,'01_異動主檔'!$E:$E,"移入")</f>
        <v/>
      </c>
      <c r="F987" s="4">
        <f>-SUMIFS('01_異動主檔'!$F:$F,'01_異動主檔'!$B:$B,109,'01_異動主檔'!$D:$D,B987,'01_異動主檔'!$E:$E,"移出")</f>
        <v/>
      </c>
      <c r="G987" s="4">
        <f>SUMIFS('01_異動主檔'!$F:$F,'01_異動主檔'!$B:$B,109,'01_異動主檔'!$D:$D,B987,'01_異動主檔'!$E:$E,"新增")</f>
        <v/>
      </c>
      <c r="H987" s="4">
        <f>-SUMIFS('01_異動主檔'!$F:$F,'01_異動主檔'!$B:$B,109,'01_異動主檔'!$D:$D,B987,'01_異動主檔'!$E:$E,"減列")</f>
        <v/>
      </c>
      <c r="I987" s="4">
        <f>-SUMIFS('01_異動主檔'!$F:$F,'01_異動主檔'!$B:$B,109,'01_異動主檔'!$D:$D,B987,'01_異動主檔'!$E:$E,"精簡")</f>
        <v/>
      </c>
      <c r="J987" s="10">
        <f>D987+E987+F987+G987+H987+I987</f>
        <v/>
      </c>
    </row>
    <row r="988" ht="18" customHeight="1">
      <c r="A988" s="6" t="inlineStr">
        <is>
          <t>E005</t>
        </is>
      </c>
      <c r="B988" s="5" t="inlineStr">
        <is>
          <t>審查中心</t>
        </is>
      </c>
      <c r="C988" s="6" t="n">
        <v>110</v>
      </c>
      <c r="D988" s="10">
        <f>J987</f>
        <v/>
      </c>
      <c r="E988" s="4">
        <f>SUMIFS('01_異動主檔'!$F:$F,'01_異動主檔'!$B:$B,110,'01_異動主檔'!$D:$D,B988,'01_異動主檔'!$E:$E,"移入")</f>
        <v/>
      </c>
      <c r="F988" s="4">
        <f>-SUMIFS('01_異動主檔'!$F:$F,'01_異動主檔'!$B:$B,110,'01_異動主檔'!$D:$D,B988,'01_異動主檔'!$E:$E,"移出")</f>
        <v/>
      </c>
      <c r="G988" s="4">
        <f>SUMIFS('01_異動主檔'!$F:$F,'01_異動主檔'!$B:$B,110,'01_異動主檔'!$D:$D,B988,'01_異動主檔'!$E:$E,"新增")</f>
        <v/>
      </c>
      <c r="H988" s="4">
        <f>-SUMIFS('01_異動主檔'!$F:$F,'01_異動主檔'!$B:$B,110,'01_異動主檔'!$D:$D,B988,'01_異動主檔'!$E:$E,"減列")</f>
        <v/>
      </c>
      <c r="I988" s="4">
        <f>-SUMIFS('01_異動主檔'!$F:$F,'01_異動主檔'!$B:$B,110,'01_異動主檔'!$D:$D,B988,'01_異動主檔'!$E:$E,"精簡")</f>
        <v/>
      </c>
      <c r="J988" s="10">
        <f>D988+E988+F988+G988+H988+I988</f>
        <v/>
      </c>
    </row>
    <row r="989" ht="18" customHeight="1">
      <c r="A989" s="4" t="inlineStr">
        <is>
          <t>E005</t>
        </is>
      </c>
      <c r="B989" s="3" t="inlineStr">
        <is>
          <t>審查中心</t>
        </is>
      </c>
      <c r="C989" s="4" t="n">
        <v>111</v>
      </c>
      <c r="D989" s="10">
        <f>J988</f>
        <v/>
      </c>
      <c r="E989" s="4">
        <f>SUMIFS('01_異動主檔'!$F:$F,'01_異動主檔'!$B:$B,111,'01_異動主檔'!$D:$D,B989,'01_異動主檔'!$E:$E,"移入")</f>
        <v/>
      </c>
      <c r="F989" s="4">
        <f>-SUMIFS('01_異動主檔'!$F:$F,'01_異動主檔'!$B:$B,111,'01_異動主檔'!$D:$D,B989,'01_異動主檔'!$E:$E,"移出")</f>
        <v/>
      </c>
      <c r="G989" s="4">
        <f>SUMIFS('01_異動主檔'!$F:$F,'01_異動主檔'!$B:$B,111,'01_異動主檔'!$D:$D,B989,'01_異動主檔'!$E:$E,"新增")</f>
        <v/>
      </c>
      <c r="H989" s="4">
        <f>-SUMIFS('01_異動主檔'!$F:$F,'01_異動主檔'!$B:$B,111,'01_異動主檔'!$D:$D,B989,'01_異動主檔'!$E:$E,"減列")</f>
        <v/>
      </c>
      <c r="I989" s="4">
        <f>-SUMIFS('01_異動主檔'!$F:$F,'01_異動主檔'!$B:$B,111,'01_異動主檔'!$D:$D,B989,'01_異動主檔'!$E:$E,"精簡")</f>
        <v/>
      </c>
      <c r="J989" s="10">
        <f>D989+E989+F989+G989+H989+I989</f>
        <v/>
      </c>
    </row>
    <row r="990" ht="18" customHeight="1">
      <c r="A990" s="6" t="inlineStr">
        <is>
          <t>E005</t>
        </is>
      </c>
      <c r="B990" s="5" t="inlineStr">
        <is>
          <t>審查中心</t>
        </is>
      </c>
      <c r="C990" s="6" t="n">
        <v>112</v>
      </c>
      <c r="D990" s="10">
        <f>J989</f>
        <v/>
      </c>
      <c r="E990" s="4">
        <f>SUMIFS('01_異動主檔'!$F:$F,'01_異動主檔'!$B:$B,112,'01_異動主檔'!$D:$D,B990,'01_異動主檔'!$E:$E,"移入")</f>
        <v/>
      </c>
      <c r="F990" s="4">
        <f>-SUMIFS('01_異動主檔'!$F:$F,'01_異動主檔'!$B:$B,112,'01_異動主檔'!$D:$D,B990,'01_異動主檔'!$E:$E,"移出")</f>
        <v/>
      </c>
      <c r="G990" s="4">
        <f>SUMIFS('01_異動主檔'!$F:$F,'01_異動主檔'!$B:$B,112,'01_異動主檔'!$D:$D,B990,'01_異動主檔'!$E:$E,"新增")</f>
        <v/>
      </c>
      <c r="H990" s="4">
        <f>-SUMIFS('01_異動主檔'!$F:$F,'01_異動主檔'!$B:$B,112,'01_異動主檔'!$D:$D,B990,'01_異動主檔'!$E:$E,"減列")</f>
        <v/>
      </c>
      <c r="I990" s="4">
        <f>-SUMIFS('01_異動主檔'!$F:$F,'01_異動主檔'!$B:$B,112,'01_異動主檔'!$D:$D,B990,'01_異動主檔'!$E:$E,"精簡")</f>
        <v/>
      </c>
      <c r="J990" s="10">
        <f>D990+E990+F990+G990+H990+I990</f>
        <v/>
      </c>
    </row>
    <row r="991" ht="18" customHeight="1">
      <c r="A991" s="4" t="inlineStr">
        <is>
          <t>E005</t>
        </is>
      </c>
      <c r="B991" s="3" t="inlineStr">
        <is>
          <t>審查中心</t>
        </is>
      </c>
      <c r="C991" s="4" t="n">
        <v>113</v>
      </c>
      <c r="D991" s="10">
        <f>J990</f>
        <v/>
      </c>
      <c r="E991" s="4">
        <f>SUMIFS('01_異動主檔'!$F:$F,'01_異動主檔'!$B:$B,113,'01_異動主檔'!$D:$D,B991,'01_異動主檔'!$E:$E,"移入")</f>
        <v/>
      </c>
      <c r="F991" s="4">
        <f>-SUMIFS('01_異動主檔'!$F:$F,'01_異動主檔'!$B:$B,113,'01_異動主檔'!$D:$D,B991,'01_異動主檔'!$E:$E,"移出")</f>
        <v/>
      </c>
      <c r="G991" s="4">
        <f>SUMIFS('01_異動主檔'!$F:$F,'01_異動主檔'!$B:$B,113,'01_異動主檔'!$D:$D,B991,'01_異動主檔'!$E:$E,"新增")</f>
        <v/>
      </c>
      <c r="H991" s="4">
        <f>-SUMIFS('01_異動主檔'!$F:$F,'01_異動主檔'!$B:$B,113,'01_異動主檔'!$D:$D,B991,'01_異動主檔'!$E:$E,"減列")</f>
        <v/>
      </c>
      <c r="I991" s="4">
        <f>-SUMIFS('01_異動主檔'!$F:$F,'01_異動主檔'!$B:$B,113,'01_異動主檔'!$D:$D,B991,'01_異動主檔'!$E:$E,"精簡")</f>
        <v/>
      </c>
      <c r="J991" s="10">
        <f>D991+E991+F991+G991+H991+I991</f>
        <v/>
      </c>
    </row>
    <row r="992" ht="18" customHeight="1">
      <c r="A992" s="6" t="inlineStr">
        <is>
          <t>E005</t>
        </is>
      </c>
      <c r="B992" s="5" t="inlineStr">
        <is>
          <t>審查中心</t>
        </is>
      </c>
      <c r="C992" s="6" t="n">
        <v>114</v>
      </c>
      <c r="D992" s="10">
        <f>J991</f>
        <v/>
      </c>
      <c r="E992" s="4">
        <f>SUMIFS('01_異動主檔'!$F:$F,'01_異動主檔'!$B:$B,114,'01_異動主檔'!$D:$D,B992,'01_異動主檔'!$E:$E,"移入")</f>
        <v/>
      </c>
      <c r="F992" s="4">
        <f>-SUMIFS('01_異動主檔'!$F:$F,'01_異動主檔'!$B:$B,114,'01_異動主檔'!$D:$D,B992,'01_異動主檔'!$E:$E,"移出")</f>
        <v/>
      </c>
      <c r="G992" s="4">
        <f>SUMIFS('01_異動主檔'!$F:$F,'01_異動主檔'!$B:$B,114,'01_異動主檔'!$D:$D,B992,'01_異動主檔'!$E:$E,"新增")</f>
        <v/>
      </c>
      <c r="H992" s="4">
        <f>-SUMIFS('01_異動主檔'!$F:$F,'01_異動主檔'!$B:$B,114,'01_異動主檔'!$D:$D,B992,'01_異動主檔'!$E:$E,"減列")</f>
        <v/>
      </c>
      <c r="I992" s="4">
        <f>-SUMIFS('01_異動主檔'!$F:$F,'01_異動主檔'!$B:$B,114,'01_異動主檔'!$D:$D,B992,'01_異動主檔'!$E:$E,"精簡")</f>
        <v/>
      </c>
      <c r="J992" s="10">
        <f>D992+E992+F992+G992+H992+I992</f>
        <v/>
      </c>
    </row>
    <row r="993" ht="18" customHeight="1">
      <c r="A993" s="4" t="inlineStr">
        <is>
          <t>E005</t>
        </is>
      </c>
      <c r="B993" s="3" t="inlineStr">
        <is>
          <t>審查中心</t>
        </is>
      </c>
      <c r="C993" s="4" t="n">
        <v>115</v>
      </c>
      <c r="D993" s="10">
        <f>J992</f>
        <v/>
      </c>
      <c r="E993" s="4">
        <f>SUMIFS('01_異動主檔'!$F:$F,'01_異動主檔'!$B:$B,115,'01_異動主檔'!$D:$D,B993,'01_異動主檔'!$E:$E,"移入")</f>
        <v/>
      </c>
      <c r="F993" s="4">
        <f>-SUMIFS('01_異動主檔'!$F:$F,'01_異動主檔'!$B:$B,115,'01_異動主檔'!$D:$D,B993,'01_異動主檔'!$E:$E,"移出")</f>
        <v/>
      </c>
      <c r="G993" s="4">
        <f>SUMIFS('01_異動主檔'!$F:$F,'01_異動主檔'!$B:$B,115,'01_異動主檔'!$D:$D,B993,'01_異動主檔'!$E:$E,"新增")</f>
        <v/>
      </c>
      <c r="H993" s="4">
        <f>-SUMIFS('01_異動主檔'!$F:$F,'01_異動主檔'!$B:$B,115,'01_異動主檔'!$D:$D,B993,'01_異動主檔'!$E:$E,"減列")</f>
        <v/>
      </c>
      <c r="I993" s="4">
        <f>-SUMIFS('01_異動主檔'!$F:$F,'01_異動主檔'!$B:$B,115,'01_異動主檔'!$D:$D,B993,'01_異動主檔'!$E:$E,"精簡")</f>
        <v/>
      </c>
      <c r="J993" s="10">
        <f>D993+E993+F993+G993+H993+I993</f>
        <v/>
      </c>
    </row>
    <row r="994" ht="18" customHeight="1">
      <c r="A994" s="6" t="inlineStr">
        <is>
          <t>E005</t>
        </is>
      </c>
      <c r="B994" s="5" t="inlineStr">
        <is>
          <t>審查中心</t>
        </is>
      </c>
      <c r="C994" s="6" t="n">
        <v>116</v>
      </c>
      <c r="D994" s="10">
        <f>J993</f>
        <v/>
      </c>
      <c r="E994" s="4">
        <f>SUMIFS('01_異動主檔'!$F:$F,'01_異動主檔'!$B:$B,116,'01_異動主檔'!$D:$D,B994,'01_異動主檔'!$E:$E,"移入")</f>
        <v/>
      </c>
      <c r="F994" s="4">
        <f>-SUMIFS('01_異動主檔'!$F:$F,'01_異動主檔'!$B:$B,116,'01_異動主檔'!$D:$D,B994,'01_異動主檔'!$E:$E,"移出")</f>
        <v/>
      </c>
      <c r="G994" s="4">
        <f>SUMIFS('01_異動主檔'!$F:$F,'01_異動主檔'!$B:$B,116,'01_異動主檔'!$D:$D,B994,'01_異動主檔'!$E:$E,"新增")</f>
        <v/>
      </c>
      <c r="H994" s="4">
        <f>-SUMIFS('01_異動主檔'!$F:$F,'01_異動主檔'!$B:$B,116,'01_異動主檔'!$D:$D,B994,'01_異動主檔'!$E:$E,"減列")</f>
        <v/>
      </c>
      <c r="I994" s="4">
        <f>-SUMIFS('01_異動主檔'!$F:$F,'01_異動主檔'!$B:$B,116,'01_異動主檔'!$D:$D,B994,'01_異動主檔'!$E:$E,"精簡")</f>
        <v/>
      </c>
      <c r="J994" s="10">
        <f>D994+E994+F994+G994+H994+I994</f>
        <v/>
      </c>
    </row>
    <row r="995" ht="18" customHeight="1">
      <c r="A995" s="4" t="inlineStr">
        <is>
          <t>E005</t>
        </is>
      </c>
      <c r="B995" s="3" t="inlineStr">
        <is>
          <t>審查中心</t>
        </is>
      </c>
      <c r="C995" s="4" t="n">
        <v>117</v>
      </c>
      <c r="D995" s="10">
        <f>J994</f>
        <v/>
      </c>
      <c r="E995" s="4">
        <f>SUMIFS('01_異動主檔'!$F:$F,'01_異動主檔'!$B:$B,117,'01_異動主檔'!$D:$D,B995,'01_異動主檔'!$E:$E,"移入")</f>
        <v/>
      </c>
      <c r="F995" s="4">
        <f>-SUMIFS('01_異動主檔'!$F:$F,'01_異動主檔'!$B:$B,117,'01_異動主檔'!$D:$D,B995,'01_異動主檔'!$E:$E,"移出")</f>
        <v/>
      </c>
      <c r="G995" s="4">
        <f>SUMIFS('01_異動主檔'!$F:$F,'01_異動主檔'!$B:$B,117,'01_異動主檔'!$D:$D,B995,'01_異動主檔'!$E:$E,"新增")</f>
        <v/>
      </c>
      <c r="H995" s="4">
        <f>-SUMIFS('01_異動主檔'!$F:$F,'01_異動主檔'!$B:$B,117,'01_異動主檔'!$D:$D,B995,'01_異動主檔'!$E:$E,"減列")</f>
        <v/>
      </c>
      <c r="I995" s="4">
        <f>-SUMIFS('01_異動主檔'!$F:$F,'01_異動主檔'!$B:$B,117,'01_異動主檔'!$D:$D,B995,'01_異動主檔'!$E:$E,"精簡")</f>
        <v/>
      </c>
      <c r="J995" s="10">
        <f>D995+E995+F995+G995+H995+I995</f>
        <v/>
      </c>
    </row>
    <row r="996" ht="18" customHeight="1">
      <c r="A996" s="6" t="inlineStr">
        <is>
          <t>E005</t>
        </is>
      </c>
      <c r="B996" s="5" t="inlineStr">
        <is>
          <t>審查中心</t>
        </is>
      </c>
      <c r="C996" s="6" t="n">
        <v>118</v>
      </c>
      <c r="D996" s="10">
        <f>J995</f>
        <v/>
      </c>
      <c r="E996" s="4">
        <f>SUMIFS('01_異動主檔'!$F:$F,'01_異動主檔'!$B:$B,118,'01_異動主檔'!$D:$D,B996,'01_異動主檔'!$E:$E,"移入")</f>
        <v/>
      </c>
      <c r="F996" s="4">
        <f>-SUMIFS('01_異動主檔'!$F:$F,'01_異動主檔'!$B:$B,118,'01_異動主檔'!$D:$D,B996,'01_異動主檔'!$E:$E,"移出")</f>
        <v/>
      </c>
      <c r="G996" s="4">
        <f>SUMIFS('01_異動主檔'!$F:$F,'01_異動主檔'!$B:$B,118,'01_異動主檔'!$D:$D,B996,'01_異動主檔'!$E:$E,"新增")</f>
        <v/>
      </c>
      <c r="H996" s="4">
        <f>-SUMIFS('01_異動主檔'!$F:$F,'01_異動主檔'!$B:$B,118,'01_異動主檔'!$D:$D,B996,'01_異動主檔'!$E:$E,"減列")</f>
        <v/>
      </c>
      <c r="I996" s="4">
        <f>-SUMIFS('01_異動主檔'!$F:$F,'01_異動主檔'!$B:$B,118,'01_異動主檔'!$D:$D,B996,'01_異動主檔'!$E:$E,"精簡")</f>
        <v/>
      </c>
      <c r="J996" s="10">
        <f>D996+E996+F996+G996+H996+I996</f>
        <v/>
      </c>
    </row>
    <row r="997" ht="18" customHeight="1">
      <c r="A997" s="4" t="inlineStr">
        <is>
          <t>E005</t>
        </is>
      </c>
      <c r="B997" s="3" t="inlineStr">
        <is>
          <t>審查中心</t>
        </is>
      </c>
      <c r="C997" s="4" t="n">
        <v>119</v>
      </c>
      <c r="D997" s="10">
        <f>J996</f>
        <v/>
      </c>
      <c r="E997" s="4">
        <f>SUMIFS('01_異動主檔'!$F:$F,'01_異動主檔'!$B:$B,119,'01_異動主檔'!$D:$D,B997,'01_異動主檔'!$E:$E,"移入")</f>
        <v/>
      </c>
      <c r="F997" s="4">
        <f>-SUMIFS('01_異動主檔'!$F:$F,'01_異動主檔'!$B:$B,119,'01_異動主檔'!$D:$D,B997,'01_異動主檔'!$E:$E,"移出")</f>
        <v/>
      </c>
      <c r="G997" s="4">
        <f>SUMIFS('01_異動主檔'!$F:$F,'01_異動主檔'!$B:$B,119,'01_異動主檔'!$D:$D,B997,'01_異動主檔'!$E:$E,"新增")</f>
        <v/>
      </c>
      <c r="H997" s="4">
        <f>-SUMIFS('01_異動主檔'!$F:$F,'01_異動主檔'!$B:$B,119,'01_異動主檔'!$D:$D,B997,'01_異動主檔'!$E:$E,"減列")</f>
        <v/>
      </c>
      <c r="I997" s="4">
        <f>-SUMIFS('01_異動主檔'!$F:$F,'01_異動主檔'!$B:$B,119,'01_異動主檔'!$D:$D,B997,'01_異動主檔'!$E:$E,"精簡")</f>
        <v/>
      </c>
      <c r="J997" s="10">
        <f>D997+E997+F997+G997+H997+I997</f>
        <v/>
      </c>
    </row>
    <row r="998" ht="18" customHeight="1">
      <c r="A998" s="6" t="inlineStr">
        <is>
          <t>E005</t>
        </is>
      </c>
      <c r="B998" s="5" t="inlineStr">
        <is>
          <t>審查中心</t>
        </is>
      </c>
      <c r="C998" s="6" t="n">
        <v>120</v>
      </c>
      <c r="D998" s="10">
        <f>J997</f>
        <v/>
      </c>
      <c r="E998" s="4">
        <f>SUMIFS('01_異動主檔'!$F:$F,'01_異動主檔'!$B:$B,120,'01_異動主檔'!$D:$D,B998,'01_異動主檔'!$E:$E,"移入")</f>
        <v/>
      </c>
      <c r="F998" s="4">
        <f>-SUMIFS('01_異動主檔'!$F:$F,'01_異動主檔'!$B:$B,120,'01_異動主檔'!$D:$D,B998,'01_異動主檔'!$E:$E,"移出")</f>
        <v/>
      </c>
      <c r="G998" s="4">
        <f>SUMIFS('01_異動主檔'!$F:$F,'01_異動主檔'!$B:$B,120,'01_異動主檔'!$D:$D,B998,'01_異動主檔'!$E:$E,"新增")</f>
        <v/>
      </c>
      <c r="H998" s="4">
        <f>-SUMIFS('01_異動主檔'!$F:$F,'01_異動主檔'!$B:$B,120,'01_異動主檔'!$D:$D,B998,'01_異動主檔'!$E:$E,"減列")</f>
        <v/>
      </c>
      <c r="I998" s="4">
        <f>-SUMIFS('01_異動主檔'!$F:$F,'01_異動主檔'!$B:$B,120,'01_異動主檔'!$D:$D,B998,'01_異動主檔'!$E:$E,"精簡")</f>
        <v/>
      </c>
      <c r="J998" s="10">
        <f>D998+E998+F998+G998+H998+I998</f>
        <v/>
      </c>
    </row>
    <row r="999" ht="18" customHeight="1">
      <c r="A999" s="4" t="inlineStr">
        <is>
          <t>E005</t>
        </is>
      </c>
      <c r="B999" s="3" t="inlineStr">
        <is>
          <t>審查中心</t>
        </is>
      </c>
      <c r="C999" s="4" t="n">
        <v>121</v>
      </c>
      <c r="D999" s="10">
        <f>J998</f>
        <v/>
      </c>
      <c r="E999" s="4">
        <f>SUMIFS('01_異動主檔'!$F:$F,'01_異動主檔'!$B:$B,121,'01_異動主檔'!$D:$D,B999,'01_異動主檔'!$E:$E,"移入")</f>
        <v/>
      </c>
      <c r="F999" s="4">
        <f>-SUMIFS('01_異動主檔'!$F:$F,'01_異動主檔'!$B:$B,121,'01_異動主檔'!$D:$D,B999,'01_異動主檔'!$E:$E,"移出")</f>
        <v/>
      </c>
      <c r="G999" s="4">
        <f>SUMIFS('01_異動主檔'!$F:$F,'01_異動主檔'!$B:$B,121,'01_異動主檔'!$D:$D,B999,'01_異動主檔'!$E:$E,"新增")</f>
        <v/>
      </c>
      <c r="H999" s="4">
        <f>-SUMIFS('01_異動主檔'!$F:$F,'01_異動主檔'!$B:$B,121,'01_異動主檔'!$D:$D,B999,'01_異動主檔'!$E:$E,"減列")</f>
        <v/>
      </c>
      <c r="I999" s="4">
        <f>-SUMIFS('01_異動主檔'!$F:$F,'01_異動主檔'!$B:$B,121,'01_異動主檔'!$D:$D,B999,'01_異動主檔'!$E:$E,"精簡")</f>
        <v/>
      </c>
      <c r="J999" s="10">
        <f>D999+E999+F999+G999+H999+I999</f>
        <v/>
      </c>
    </row>
    <row r="1000" ht="18" customHeight="1">
      <c r="A1000" s="6" t="inlineStr">
        <is>
          <t>E005</t>
        </is>
      </c>
      <c r="B1000" s="5" t="inlineStr">
        <is>
          <t>審查中心</t>
        </is>
      </c>
      <c r="C1000" s="6" t="n">
        <v>122</v>
      </c>
      <c r="D1000" s="10">
        <f>J999</f>
        <v/>
      </c>
      <c r="E1000" s="4">
        <f>SUMIFS('01_異動主檔'!$F:$F,'01_異動主檔'!$B:$B,122,'01_異動主檔'!$D:$D,B1000,'01_異動主檔'!$E:$E,"移入")</f>
        <v/>
      </c>
      <c r="F1000" s="4">
        <f>-SUMIFS('01_異動主檔'!$F:$F,'01_異動主檔'!$B:$B,122,'01_異動主檔'!$D:$D,B1000,'01_異動主檔'!$E:$E,"移出")</f>
        <v/>
      </c>
      <c r="G1000" s="4">
        <f>SUMIFS('01_異動主檔'!$F:$F,'01_異動主檔'!$B:$B,122,'01_異動主檔'!$D:$D,B1000,'01_異動主檔'!$E:$E,"新增")</f>
        <v/>
      </c>
      <c r="H1000" s="4">
        <f>-SUMIFS('01_異動主檔'!$F:$F,'01_異動主檔'!$B:$B,122,'01_異動主檔'!$D:$D,B1000,'01_異動主檔'!$E:$E,"減列")</f>
        <v/>
      </c>
      <c r="I1000" s="4">
        <f>-SUMIFS('01_異動主檔'!$F:$F,'01_異動主檔'!$B:$B,122,'01_異動主檔'!$D:$D,B1000,'01_異動主檔'!$E:$E,"精簡")</f>
        <v/>
      </c>
      <c r="J1000" s="10">
        <f>D1000+E1000+F1000+G1000+H1000+I1000</f>
        <v/>
      </c>
    </row>
    <row r="1001" ht="18" customHeight="1">
      <c r="A1001" s="4" t="inlineStr">
        <is>
          <t>E005</t>
        </is>
      </c>
      <c r="B1001" s="3" t="inlineStr">
        <is>
          <t>審查中心</t>
        </is>
      </c>
      <c r="C1001" s="4" t="n">
        <v>123</v>
      </c>
      <c r="D1001" s="10">
        <f>J1000</f>
        <v/>
      </c>
      <c r="E1001" s="4">
        <f>SUMIFS('01_異動主檔'!$F:$F,'01_異動主檔'!$B:$B,123,'01_異動主檔'!$D:$D,B1001,'01_異動主檔'!$E:$E,"移入")</f>
        <v/>
      </c>
      <c r="F1001" s="4">
        <f>-SUMIFS('01_異動主檔'!$F:$F,'01_異動主檔'!$B:$B,123,'01_異動主檔'!$D:$D,B1001,'01_異動主檔'!$E:$E,"移出")</f>
        <v/>
      </c>
      <c r="G1001" s="4">
        <f>SUMIFS('01_異動主檔'!$F:$F,'01_異動主檔'!$B:$B,123,'01_異動主檔'!$D:$D,B1001,'01_異動主檔'!$E:$E,"新增")</f>
        <v/>
      </c>
      <c r="H1001" s="4">
        <f>-SUMIFS('01_異動主檔'!$F:$F,'01_異動主檔'!$B:$B,123,'01_異動主檔'!$D:$D,B1001,'01_異動主檔'!$E:$E,"減列")</f>
        <v/>
      </c>
      <c r="I1001" s="4">
        <f>-SUMIFS('01_異動主檔'!$F:$F,'01_異動主檔'!$B:$B,123,'01_異動主檔'!$D:$D,B1001,'01_異動主檔'!$E:$E,"精簡")</f>
        <v/>
      </c>
      <c r="J1001" s="10">
        <f>D1001+E1001+F1001+G1001+H1001+I1001</f>
        <v/>
      </c>
    </row>
    <row r="1002" ht="18" customHeight="1">
      <c r="A1002" s="6" t="inlineStr">
        <is>
          <t>E005</t>
        </is>
      </c>
      <c r="B1002" s="5" t="inlineStr">
        <is>
          <t>審查中心</t>
        </is>
      </c>
      <c r="C1002" s="6" t="n">
        <v>124</v>
      </c>
      <c r="D1002" s="10">
        <f>J1001</f>
        <v/>
      </c>
      <c r="E1002" s="4">
        <f>SUMIFS('01_異動主檔'!$F:$F,'01_異動主檔'!$B:$B,124,'01_異動主檔'!$D:$D,B1002,'01_異動主檔'!$E:$E,"移入")</f>
        <v/>
      </c>
      <c r="F1002" s="4">
        <f>-SUMIFS('01_異動主檔'!$F:$F,'01_異動主檔'!$B:$B,124,'01_異動主檔'!$D:$D,B1002,'01_異動主檔'!$E:$E,"移出")</f>
        <v/>
      </c>
      <c r="G1002" s="4">
        <f>SUMIFS('01_異動主檔'!$F:$F,'01_異動主檔'!$B:$B,124,'01_異動主檔'!$D:$D,B1002,'01_異動主檔'!$E:$E,"新增")</f>
        <v/>
      </c>
      <c r="H1002" s="4">
        <f>-SUMIFS('01_異動主檔'!$F:$F,'01_異動主檔'!$B:$B,124,'01_異動主檔'!$D:$D,B1002,'01_異動主檔'!$E:$E,"減列")</f>
        <v/>
      </c>
      <c r="I1002" s="4">
        <f>-SUMIFS('01_異動主檔'!$F:$F,'01_異動主檔'!$B:$B,124,'01_異動主檔'!$D:$D,B1002,'01_異動主檔'!$E:$E,"精簡")</f>
        <v/>
      </c>
      <c r="J1002" s="10">
        <f>D1002+E1002+F1002+G1002+H1002+I1002</f>
        <v/>
      </c>
    </row>
    <row r="1003" ht="18" customHeight="1">
      <c r="A1003" s="4" t="inlineStr">
        <is>
          <t>E005</t>
        </is>
      </c>
      <c r="B1003" s="3" t="inlineStr">
        <is>
          <t>審查中心</t>
        </is>
      </c>
      <c r="C1003" s="4" t="n">
        <v>125</v>
      </c>
      <c r="D1003" s="10">
        <f>J1002</f>
        <v/>
      </c>
      <c r="E1003" s="4">
        <f>SUMIFS('01_異動主檔'!$F:$F,'01_異動主檔'!$B:$B,125,'01_異動主檔'!$D:$D,B1003,'01_異動主檔'!$E:$E,"移入")</f>
        <v/>
      </c>
      <c r="F1003" s="4">
        <f>-SUMIFS('01_異動主檔'!$F:$F,'01_異動主檔'!$B:$B,125,'01_異動主檔'!$D:$D,B1003,'01_異動主檔'!$E:$E,"移出")</f>
        <v/>
      </c>
      <c r="G1003" s="4">
        <f>SUMIFS('01_異動主檔'!$F:$F,'01_異動主檔'!$B:$B,125,'01_異動主檔'!$D:$D,B1003,'01_異動主檔'!$E:$E,"新增")</f>
        <v/>
      </c>
      <c r="H1003" s="4">
        <f>-SUMIFS('01_異動主檔'!$F:$F,'01_異動主檔'!$B:$B,125,'01_異動主檔'!$D:$D,B1003,'01_異動主檔'!$E:$E,"減列")</f>
        <v/>
      </c>
      <c r="I1003" s="4">
        <f>-SUMIFS('01_異動主檔'!$F:$F,'01_異動主檔'!$B:$B,125,'01_異動主檔'!$D:$D,B1003,'01_異動主檔'!$E:$E,"精簡")</f>
        <v/>
      </c>
      <c r="J1003" s="10">
        <f>D1003+E1003+F1003+G1003+H1003+I1003</f>
        <v/>
      </c>
    </row>
    <row r="1004" ht="18" customHeight="1">
      <c r="A1004" s="6" t="inlineStr">
        <is>
          <t>E006</t>
        </is>
      </c>
      <c r="B1004" s="5" t="inlineStr">
        <is>
          <t>監理中心</t>
        </is>
      </c>
      <c r="C1004" s="6" t="n">
        <v>99</v>
      </c>
      <c r="D1004" s="10">
        <f>'02_年初員額設定'!C42</f>
        <v/>
      </c>
      <c r="E1004" s="4">
        <f>SUMIFS('01_異動主檔'!$F:$F,'01_異動主檔'!$B:$B,99,'01_異動主檔'!$D:$D,B1004,'01_異動主檔'!$E:$E,"移入")</f>
        <v/>
      </c>
      <c r="F1004" s="4">
        <f>-SUMIFS('01_異動主檔'!$F:$F,'01_異動主檔'!$B:$B,99,'01_異動主檔'!$D:$D,B1004,'01_異動主檔'!$E:$E,"移出")</f>
        <v/>
      </c>
      <c r="G1004" s="4">
        <f>SUMIFS('01_異動主檔'!$F:$F,'01_異動主檔'!$B:$B,99,'01_異動主檔'!$D:$D,B1004,'01_異動主檔'!$E:$E,"新增")</f>
        <v/>
      </c>
      <c r="H1004" s="4">
        <f>-SUMIFS('01_異動主檔'!$F:$F,'01_異動主檔'!$B:$B,99,'01_異動主檔'!$D:$D,B1004,'01_異動主檔'!$E:$E,"減列")</f>
        <v/>
      </c>
      <c r="I1004" s="4">
        <f>-SUMIFS('01_異動主檔'!$F:$F,'01_異動主檔'!$B:$B,99,'01_異動主檔'!$D:$D,B1004,'01_異動主檔'!$E:$E,"精簡")</f>
        <v/>
      </c>
      <c r="J1004" s="10">
        <f>D1004+E1004+F1004+G1004+H1004+I1004</f>
        <v/>
      </c>
    </row>
    <row r="1005" ht="18" customHeight="1">
      <c r="A1005" s="4" t="inlineStr">
        <is>
          <t>E006</t>
        </is>
      </c>
      <c r="B1005" s="3" t="inlineStr">
        <is>
          <t>監理中心</t>
        </is>
      </c>
      <c r="C1005" s="4" t="n">
        <v>100</v>
      </c>
      <c r="D1005" s="10">
        <f>J1004</f>
        <v/>
      </c>
      <c r="E1005" s="4">
        <f>SUMIFS('01_異動主檔'!$F:$F,'01_異動主檔'!$B:$B,100,'01_異動主檔'!$D:$D,B1005,'01_異動主檔'!$E:$E,"移入")</f>
        <v/>
      </c>
      <c r="F1005" s="4">
        <f>-SUMIFS('01_異動主檔'!$F:$F,'01_異動主檔'!$B:$B,100,'01_異動主檔'!$D:$D,B1005,'01_異動主檔'!$E:$E,"移出")</f>
        <v/>
      </c>
      <c r="G1005" s="4">
        <f>SUMIFS('01_異動主檔'!$F:$F,'01_異動主檔'!$B:$B,100,'01_異動主檔'!$D:$D,B1005,'01_異動主檔'!$E:$E,"新增")</f>
        <v/>
      </c>
      <c r="H1005" s="4">
        <f>-SUMIFS('01_異動主檔'!$F:$F,'01_異動主檔'!$B:$B,100,'01_異動主檔'!$D:$D,B1005,'01_異動主檔'!$E:$E,"減列")</f>
        <v/>
      </c>
      <c r="I1005" s="4">
        <f>-SUMIFS('01_異動主檔'!$F:$F,'01_異動主檔'!$B:$B,100,'01_異動主檔'!$D:$D,B1005,'01_異動主檔'!$E:$E,"精簡")</f>
        <v/>
      </c>
      <c r="J1005" s="10">
        <f>D1005+E1005+F1005+G1005+H1005+I1005</f>
        <v/>
      </c>
    </row>
    <row r="1006" ht="18" customHeight="1">
      <c r="A1006" s="6" t="inlineStr">
        <is>
          <t>E006</t>
        </is>
      </c>
      <c r="B1006" s="5" t="inlineStr">
        <is>
          <t>監理中心</t>
        </is>
      </c>
      <c r="C1006" s="6" t="n">
        <v>101</v>
      </c>
      <c r="D1006" s="10">
        <f>J1005</f>
        <v/>
      </c>
      <c r="E1006" s="4">
        <f>SUMIFS('01_異動主檔'!$F:$F,'01_異動主檔'!$B:$B,101,'01_異動主檔'!$D:$D,B1006,'01_異動主檔'!$E:$E,"移入")</f>
        <v/>
      </c>
      <c r="F1006" s="4">
        <f>-SUMIFS('01_異動主檔'!$F:$F,'01_異動主檔'!$B:$B,101,'01_異動主檔'!$D:$D,B1006,'01_異動主檔'!$E:$E,"移出")</f>
        <v/>
      </c>
      <c r="G1006" s="4">
        <f>SUMIFS('01_異動主檔'!$F:$F,'01_異動主檔'!$B:$B,101,'01_異動主檔'!$D:$D,B1006,'01_異動主檔'!$E:$E,"新增")</f>
        <v/>
      </c>
      <c r="H1006" s="4">
        <f>-SUMIFS('01_異動主檔'!$F:$F,'01_異動主檔'!$B:$B,101,'01_異動主檔'!$D:$D,B1006,'01_異動主檔'!$E:$E,"減列")</f>
        <v/>
      </c>
      <c r="I1006" s="4">
        <f>-SUMIFS('01_異動主檔'!$F:$F,'01_異動主檔'!$B:$B,101,'01_異動主檔'!$D:$D,B1006,'01_異動主檔'!$E:$E,"精簡")</f>
        <v/>
      </c>
      <c r="J1006" s="10">
        <f>D1006+E1006+F1006+G1006+H1006+I1006</f>
        <v/>
      </c>
    </row>
    <row r="1007" ht="18" customHeight="1">
      <c r="A1007" s="4" t="inlineStr">
        <is>
          <t>E006</t>
        </is>
      </c>
      <c r="B1007" s="3" t="inlineStr">
        <is>
          <t>監理中心</t>
        </is>
      </c>
      <c r="C1007" s="4" t="n">
        <v>102</v>
      </c>
      <c r="D1007" s="10">
        <f>J1006</f>
        <v/>
      </c>
      <c r="E1007" s="4">
        <f>SUMIFS('01_異動主檔'!$F:$F,'01_異動主檔'!$B:$B,102,'01_異動主檔'!$D:$D,B1007,'01_異動主檔'!$E:$E,"移入")</f>
        <v/>
      </c>
      <c r="F1007" s="4">
        <f>-SUMIFS('01_異動主檔'!$F:$F,'01_異動主檔'!$B:$B,102,'01_異動主檔'!$D:$D,B1007,'01_異動主檔'!$E:$E,"移出")</f>
        <v/>
      </c>
      <c r="G1007" s="4">
        <f>SUMIFS('01_異動主檔'!$F:$F,'01_異動主檔'!$B:$B,102,'01_異動主檔'!$D:$D,B1007,'01_異動主檔'!$E:$E,"新增")</f>
        <v/>
      </c>
      <c r="H1007" s="4">
        <f>-SUMIFS('01_異動主檔'!$F:$F,'01_異動主檔'!$B:$B,102,'01_異動主檔'!$D:$D,B1007,'01_異動主檔'!$E:$E,"減列")</f>
        <v/>
      </c>
      <c r="I1007" s="4">
        <f>-SUMIFS('01_異動主檔'!$F:$F,'01_異動主檔'!$B:$B,102,'01_異動主檔'!$D:$D,B1007,'01_異動主檔'!$E:$E,"精簡")</f>
        <v/>
      </c>
      <c r="J1007" s="10">
        <f>D1007+E1007+F1007+G1007+H1007+I1007</f>
        <v/>
      </c>
    </row>
    <row r="1008" ht="18" customHeight="1">
      <c r="A1008" s="6" t="inlineStr">
        <is>
          <t>E006</t>
        </is>
      </c>
      <c r="B1008" s="5" t="inlineStr">
        <is>
          <t>監理中心</t>
        </is>
      </c>
      <c r="C1008" s="6" t="n">
        <v>103</v>
      </c>
      <c r="D1008" s="10">
        <f>J1007</f>
        <v/>
      </c>
      <c r="E1008" s="4">
        <f>SUMIFS('01_異動主檔'!$F:$F,'01_異動主檔'!$B:$B,103,'01_異動主檔'!$D:$D,B1008,'01_異動主檔'!$E:$E,"移入")</f>
        <v/>
      </c>
      <c r="F1008" s="4">
        <f>-SUMIFS('01_異動主檔'!$F:$F,'01_異動主檔'!$B:$B,103,'01_異動主檔'!$D:$D,B1008,'01_異動主檔'!$E:$E,"移出")</f>
        <v/>
      </c>
      <c r="G1008" s="4">
        <f>SUMIFS('01_異動主檔'!$F:$F,'01_異動主檔'!$B:$B,103,'01_異動主檔'!$D:$D,B1008,'01_異動主檔'!$E:$E,"新增")</f>
        <v/>
      </c>
      <c r="H1008" s="4">
        <f>-SUMIFS('01_異動主檔'!$F:$F,'01_異動主檔'!$B:$B,103,'01_異動主檔'!$D:$D,B1008,'01_異動主檔'!$E:$E,"減列")</f>
        <v/>
      </c>
      <c r="I1008" s="4">
        <f>-SUMIFS('01_異動主檔'!$F:$F,'01_異動主檔'!$B:$B,103,'01_異動主檔'!$D:$D,B1008,'01_異動主檔'!$E:$E,"精簡")</f>
        <v/>
      </c>
      <c r="J1008" s="10">
        <f>D1008+E1008+F1008+G1008+H1008+I1008</f>
        <v/>
      </c>
    </row>
    <row r="1009" ht="18" customHeight="1">
      <c r="A1009" s="4" t="inlineStr">
        <is>
          <t>E006</t>
        </is>
      </c>
      <c r="B1009" s="3" t="inlineStr">
        <is>
          <t>監理中心</t>
        </is>
      </c>
      <c r="C1009" s="4" t="n">
        <v>104</v>
      </c>
      <c r="D1009" s="10">
        <f>J1008</f>
        <v/>
      </c>
      <c r="E1009" s="4">
        <f>SUMIFS('01_異動主檔'!$F:$F,'01_異動主檔'!$B:$B,104,'01_異動主檔'!$D:$D,B1009,'01_異動主檔'!$E:$E,"移入")</f>
        <v/>
      </c>
      <c r="F1009" s="4">
        <f>-SUMIFS('01_異動主檔'!$F:$F,'01_異動主檔'!$B:$B,104,'01_異動主檔'!$D:$D,B1009,'01_異動主檔'!$E:$E,"移出")</f>
        <v/>
      </c>
      <c r="G1009" s="4">
        <f>SUMIFS('01_異動主檔'!$F:$F,'01_異動主檔'!$B:$B,104,'01_異動主檔'!$D:$D,B1009,'01_異動主檔'!$E:$E,"新增")</f>
        <v/>
      </c>
      <c r="H1009" s="4">
        <f>-SUMIFS('01_異動主檔'!$F:$F,'01_異動主檔'!$B:$B,104,'01_異動主檔'!$D:$D,B1009,'01_異動主檔'!$E:$E,"減列")</f>
        <v/>
      </c>
      <c r="I1009" s="4">
        <f>-SUMIFS('01_異動主檔'!$F:$F,'01_異動主檔'!$B:$B,104,'01_異動主檔'!$D:$D,B1009,'01_異動主檔'!$E:$E,"精簡")</f>
        <v/>
      </c>
      <c r="J1009" s="10">
        <f>D1009+E1009+F1009+G1009+H1009+I1009</f>
        <v/>
      </c>
    </row>
    <row r="1010" ht="18" customHeight="1">
      <c r="A1010" s="6" t="inlineStr">
        <is>
          <t>E006</t>
        </is>
      </c>
      <c r="B1010" s="5" t="inlineStr">
        <is>
          <t>監理中心</t>
        </is>
      </c>
      <c r="C1010" s="6" t="n">
        <v>105</v>
      </c>
      <c r="D1010" s="10">
        <f>J1009</f>
        <v/>
      </c>
      <c r="E1010" s="4">
        <f>SUMIFS('01_異動主檔'!$F:$F,'01_異動主檔'!$B:$B,105,'01_異動主檔'!$D:$D,B1010,'01_異動主檔'!$E:$E,"移入")</f>
        <v/>
      </c>
      <c r="F1010" s="4">
        <f>-SUMIFS('01_異動主檔'!$F:$F,'01_異動主檔'!$B:$B,105,'01_異動主檔'!$D:$D,B1010,'01_異動主檔'!$E:$E,"移出")</f>
        <v/>
      </c>
      <c r="G1010" s="4">
        <f>SUMIFS('01_異動主檔'!$F:$F,'01_異動主檔'!$B:$B,105,'01_異動主檔'!$D:$D,B1010,'01_異動主檔'!$E:$E,"新增")</f>
        <v/>
      </c>
      <c r="H1010" s="4">
        <f>-SUMIFS('01_異動主檔'!$F:$F,'01_異動主檔'!$B:$B,105,'01_異動主檔'!$D:$D,B1010,'01_異動主檔'!$E:$E,"減列")</f>
        <v/>
      </c>
      <c r="I1010" s="4">
        <f>-SUMIFS('01_異動主檔'!$F:$F,'01_異動主檔'!$B:$B,105,'01_異動主檔'!$D:$D,B1010,'01_異動主檔'!$E:$E,"精簡")</f>
        <v/>
      </c>
      <c r="J1010" s="10">
        <f>D1010+E1010+F1010+G1010+H1010+I1010</f>
        <v/>
      </c>
    </row>
    <row r="1011" ht="18" customHeight="1">
      <c r="A1011" s="4" t="inlineStr">
        <is>
          <t>E006</t>
        </is>
      </c>
      <c r="B1011" s="3" t="inlineStr">
        <is>
          <t>監理中心</t>
        </is>
      </c>
      <c r="C1011" s="4" t="n">
        <v>106</v>
      </c>
      <c r="D1011" s="10">
        <f>J1010</f>
        <v/>
      </c>
      <c r="E1011" s="4">
        <f>SUMIFS('01_異動主檔'!$F:$F,'01_異動主檔'!$B:$B,106,'01_異動主檔'!$D:$D,B1011,'01_異動主檔'!$E:$E,"移入")</f>
        <v/>
      </c>
      <c r="F1011" s="4">
        <f>-SUMIFS('01_異動主檔'!$F:$F,'01_異動主檔'!$B:$B,106,'01_異動主檔'!$D:$D,B1011,'01_異動主檔'!$E:$E,"移出")</f>
        <v/>
      </c>
      <c r="G1011" s="4">
        <f>SUMIFS('01_異動主檔'!$F:$F,'01_異動主檔'!$B:$B,106,'01_異動主檔'!$D:$D,B1011,'01_異動主檔'!$E:$E,"新增")</f>
        <v/>
      </c>
      <c r="H1011" s="4">
        <f>-SUMIFS('01_異動主檔'!$F:$F,'01_異動主檔'!$B:$B,106,'01_異動主檔'!$D:$D,B1011,'01_異動主檔'!$E:$E,"減列")</f>
        <v/>
      </c>
      <c r="I1011" s="4">
        <f>-SUMIFS('01_異動主檔'!$F:$F,'01_異動主檔'!$B:$B,106,'01_異動主檔'!$D:$D,B1011,'01_異動主檔'!$E:$E,"精簡")</f>
        <v/>
      </c>
      <c r="J1011" s="10">
        <f>D1011+E1011+F1011+G1011+H1011+I1011</f>
        <v/>
      </c>
    </row>
    <row r="1012" ht="18" customHeight="1">
      <c r="A1012" s="6" t="inlineStr">
        <is>
          <t>E006</t>
        </is>
      </c>
      <c r="B1012" s="5" t="inlineStr">
        <is>
          <t>監理中心</t>
        </is>
      </c>
      <c r="C1012" s="6" t="n">
        <v>107</v>
      </c>
      <c r="D1012" s="10">
        <f>J1011</f>
        <v/>
      </c>
      <c r="E1012" s="4">
        <f>SUMIFS('01_異動主檔'!$F:$F,'01_異動主檔'!$B:$B,107,'01_異動主檔'!$D:$D,B1012,'01_異動主檔'!$E:$E,"移入")</f>
        <v/>
      </c>
      <c r="F1012" s="4">
        <f>-SUMIFS('01_異動主檔'!$F:$F,'01_異動主檔'!$B:$B,107,'01_異動主檔'!$D:$D,B1012,'01_異動主檔'!$E:$E,"移出")</f>
        <v/>
      </c>
      <c r="G1012" s="4">
        <f>SUMIFS('01_異動主檔'!$F:$F,'01_異動主檔'!$B:$B,107,'01_異動主檔'!$D:$D,B1012,'01_異動主檔'!$E:$E,"新增")</f>
        <v/>
      </c>
      <c r="H1012" s="4">
        <f>-SUMIFS('01_異動主檔'!$F:$F,'01_異動主檔'!$B:$B,107,'01_異動主檔'!$D:$D,B1012,'01_異動主檔'!$E:$E,"減列")</f>
        <v/>
      </c>
      <c r="I1012" s="4">
        <f>-SUMIFS('01_異動主檔'!$F:$F,'01_異動主檔'!$B:$B,107,'01_異動主檔'!$D:$D,B1012,'01_異動主檔'!$E:$E,"精簡")</f>
        <v/>
      </c>
      <c r="J1012" s="10">
        <f>D1012+E1012+F1012+G1012+H1012+I1012</f>
        <v/>
      </c>
    </row>
    <row r="1013" ht="18" customHeight="1">
      <c r="A1013" s="4" t="inlineStr">
        <is>
          <t>E006</t>
        </is>
      </c>
      <c r="B1013" s="3" t="inlineStr">
        <is>
          <t>監理中心</t>
        </is>
      </c>
      <c r="C1013" s="4" t="n">
        <v>108</v>
      </c>
      <c r="D1013" s="10">
        <f>J1012</f>
        <v/>
      </c>
      <c r="E1013" s="4">
        <f>SUMIFS('01_異動主檔'!$F:$F,'01_異動主檔'!$B:$B,108,'01_異動主檔'!$D:$D,B1013,'01_異動主檔'!$E:$E,"移入")</f>
        <v/>
      </c>
      <c r="F1013" s="4">
        <f>-SUMIFS('01_異動主檔'!$F:$F,'01_異動主檔'!$B:$B,108,'01_異動主檔'!$D:$D,B1013,'01_異動主檔'!$E:$E,"移出")</f>
        <v/>
      </c>
      <c r="G1013" s="4">
        <f>SUMIFS('01_異動主檔'!$F:$F,'01_異動主檔'!$B:$B,108,'01_異動主檔'!$D:$D,B1013,'01_異動主檔'!$E:$E,"新增")</f>
        <v/>
      </c>
      <c r="H1013" s="4">
        <f>-SUMIFS('01_異動主檔'!$F:$F,'01_異動主檔'!$B:$B,108,'01_異動主檔'!$D:$D,B1013,'01_異動主檔'!$E:$E,"減列")</f>
        <v/>
      </c>
      <c r="I1013" s="4">
        <f>-SUMIFS('01_異動主檔'!$F:$F,'01_異動主檔'!$B:$B,108,'01_異動主檔'!$D:$D,B1013,'01_異動主檔'!$E:$E,"精簡")</f>
        <v/>
      </c>
      <c r="J1013" s="10">
        <f>D1013+E1013+F1013+G1013+H1013+I1013</f>
        <v/>
      </c>
    </row>
    <row r="1014" ht="18" customHeight="1">
      <c r="A1014" s="6" t="inlineStr">
        <is>
          <t>E006</t>
        </is>
      </c>
      <c r="B1014" s="5" t="inlineStr">
        <is>
          <t>監理中心</t>
        </is>
      </c>
      <c r="C1014" s="6" t="n">
        <v>109</v>
      </c>
      <c r="D1014" s="10">
        <f>J1013</f>
        <v/>
      </c>
      <c r="E1014" s="4">
        <f>SUMIFS('01_異動主檔'!$F:$F,'01_異動主檔'!$B:$B,109,'01_異動主檔'!$D:$D,B1014,'01_異動主檔'!$E:$E,"移入")</f>
        <v/>
      </c>
      <c r="F1014" s="4">
        <f>-SUMIFS('01_異動主檔'!$F:$F,'01_異動主檔'!$B:$B,109,'01_異動主檔'!$D:$D,B1014,'01_異動主檔'!$E:$E,"移出")</f>
        <v/>
      </c>
      <c r="G1014" s="4">
        <f>SUMIFS('01_異動主檔'!$F:$F,'01_異動主檔'!$B:$B,109,'01_異動主檔'!$D:$D,B1014,'01_異動主檔'!$E:$E,"新增")</f>
        <v/>
      </c>
      <c r="H1014" s="4">
        <f>-SUMIFS('01_異動主檔'!$F:$F,'01_異動主檔'!$B:$B,109,'01_異動主檔'!$D:$D,B1014,'01_異動主檔'!$E:$E,"減列")</f>
        <v/>
      </c>
      <c r="I1014" s="4">
        <f>-SUMIFS('01_異動主檔'!$F:$F,'01_異動主檔'!$B:$B,109,'01_異動主檔'!$D:$D,B1014,'01_異動主檔'!$E:$E,"精簡")</f>
        <v/>
      </c>
      <c r="J1014" s="10">
        <f>D1014+E1014+F1014+G1014+H1014+I1014</f>
        <v/>
      </c>
    </row>
    <row r="1015" ht="18" customHeight="1">
      <c r="A1015" s="4" t="inlineStr">
        <is>
          <t>E006</t>
        </is>
      </c>
      <c r="B1015" s="3" t="inlineStr">
        <is>
          <t>監理中心</t>
        </is>
      </c>
      <c r="C1015" s="4" t="n">
        <v>110</v>
      </c>
      <c r="D1015" s="10">
        <f>J1014</f>
        <v/>
      </c>
      <c r="E1015" s="4">
        <f>SUMIFS('01_異動主檔'!$F:$F,'01_異動主檔'!$B:$B,110,'01_異動主檔'!$D:$D,B1015,'01_異動主檔'!$E:$E,"移入")</f>
        <v/>
      </c>
      <c r="F1015" s="4">
        <f>-SUMIFS('01_異動主檔'!$F:$F,'01_異動主檔'!$B:$B,110,'01_異動主檔'!$D:$D,B1015,'01_異動主檔'!$E:$E,"移出")</f>
        <v/>
      </c>
      <c r="G1015" s="4">
        <f>SUMIFS('01_異動主檔'!$F:$F,'01_異動主檔'!$B:$B,110,'01_異動主檔'!$D:$D,B1015,'01_異動主檔'!$E:$E,"新增")</f>
        <v/>
      </c>
      <c r="H1015" s="4">
        <f>-SUMIFS('01_異動主檔'!$F:$F,'01_異動主檔'!$B:$B,110,'01_異動主檔'!$D:$D,B1015,'01_異動主檔'!$E:$E,"減列")</f>
        <v/>
      </c>
      <c r="I1015" s="4">
        <f>-SUMIFS('01_異動主檔'!$F:$F,'01_異動主檔'!$B:$B,110,'01_異動主檔'!$D:$D,B1015,'01_異動主檔'!$E:$E,"精簡")</f>
        <v/>
      </c>
      <c r="J1015" s="10">
        <f>D1015+E1015+F1015+G1015+H1015+I1015</f>
        <v/>
      </c>
    </row>
    <row r="1016" ht="18" customHeight="1">
      <c r="A1016" s="6" t="inlineStr">
        <is>
          <t>E006</t>
        </is>
      </c>
      <c r="B1016" s="5" t="inlineStr">
        <is>
          <t>監理中心</t>
        </is>
      </c>
      <c r="C1016" s="6" t="n">
        <v>111</v>
      </c>
      <c r="D1016" s="10">
        <f>J1015</f>
        <v/>
      </c>
      <c r="E1016" s="4">
        <f>SUMIFS('01_異動主檔'!$F:$F,'01_異動主檔'!$B:$B,111,'01_異動主檔'!$D:$D,B1016,'01_異動主檔'!$E:$E,"移入")</f>
        <v/>
      </c>
      <c r="F1016" s="4">
        <f>-SUMIFS('01_異動主檔'!$F:$F,'01_異動主檔'!$B:$B,111,'01_異動主檔'!$D:$D,B1016,'01_異動主檔'!$E:$E,"移出")</f>
        <v/>
      </c>
      <c r="G1016" s="4">
        <f>SUMIFS('01_異動主檔'!$F:$F,'01_異動主檔'!$B:$B,111,'01_異動主檔'!$D:$D,B1016,'01_異動主檔'!$E:$E,"新增")</f>
        <v/>
      </c>
      <c r="H1016" s="4">
        <f>-SUMIFS('01_異動主檔'!$F:$F,'01_異動主檔'!$B:$B,111,'01_異動主檔'!$D:$D,B1016,'01_異動主檔'!$E:$E,"減列")</f>
        <v/>
      </c>
      <c r="I1016" s="4">
        <f>-SUMIFS('01_異動主檔'!$F:$F,'01_異動主檔'!$B:$B,111,'01_異動主檔'!$D:$D,B1016,'01_異動主檔'!$E:$E,"精簡")</f>
        <v/>
      </c>
      <c r="J1016" s="10">
        <f>D1016+E1016+F1016+G1016+H1016+I1016</f>
        <v/>
      </c>
    </row>
    <row r="1017" ht="18" customHeight="1">
      <c r="A1017" s="4" t="inlineStr">
        <is>
          <t>E006</t>
        </is>
      </c>
      <c r="B1017" s="3" t="inlineStr">
        <is>
          <t>監理中心</t>
        </is>
      </c>
      <c r="C1017" s="4" t="n">
        <v>112</v>
      </c>
      <c r="D1017" s="10">
        <f>J1016</f>
        <v/>
      </c>
      <c r="E1017" s="4">
        <f>SUMIFS('01_異動主檔'!$F:$F,'01_異動主檔'!$B:$B,112,'01_異動主檔'!$D:$D,B1017,'01_異動主檔'!$E:$E,"移入")</f>
        <v/>
      </c>
      <c r="F1017" s="4">
        <f>-SUMIFS('01_異動主檔'!$F:$F,'01_異動主檔'!$B:$B,112,'01_異動主檔'!$D:$D,B1017,'01_異動主檔'!$E:$E,"移出")</f>
        <v/>
      </c>
      <c r="G1017" s="4">
        <f>SUMIFS('01_異動主檔'!$F:$F,'01_異動主檔'!$B:$B,112,'01_異動主檔'!$D:$D,B1017,'01_異動主檔'!$E:$E,"新增")</f>
        <v/>
      </c>
      <c r="H1017" s="4">
        <f>-SUMIFS('01_異動主檔'!$F:$F,'01_異動主檔'!$B:$B,112,'01_異動主檔'!$D:$D,B1017,'01_異動主檔'!$E:$E,"減列")</f>
        <v/>
      </c>
      <c r="I1017" s="4">
        <f>-SUMIFS('01_異動主檔'!$F:$F,'01_異動主檔'!$B:$B,112,'01_異動主檔'!$D:$D,B1017,'01_異動主檔'!$E:$E,"精簡")</f>
        <v/>
      </c>
      <c r="J1017" s="10">
        <f>D1017+E1017+F1017+G1017+H1017+I1017</f>
        <v/>
      </c>
    </row>
    <row r="1018" ht="18" customHeight="1">
      <c r="A1018" s="6" t="inlineStr">
        <is>
          <t>E006</t>
        </is>
      </c>
      <c r="B1018" s="5" t="inlineStr">
        <is>
          <t>監理中心</t>
        </is>
      </c>
      <c r="C1018" s="6" t="n">
        <v>113</v>
      </c>
      <c r="D1018" s="10">
        <f>J1017</f>
        <v/>
      </c>
      <c r="E1018" s="4">
        <f>SUMIFS('01_異動主檔'!$F:$F,'01_異動主檔'!$B:$B,113,'01_異動主檔'!$D:$D,B1018,'01_異動主檔'!$E:$E,"移入")</f>
        <v/>
      </c>
      <c r="F1018" s="4">
        <f>-SUMIFS('01_異動主檔'!$F:$F,'01_異動主檔'!$B:$B,113,'01_異動主檔'!$D:$D,B1018,'01_異動主檔'!$E:$E,"移出")</f>
        <v/>
      </c>
      <c r="G1018" s="4">
        <f>SUMIFS('01_異動主檔'!$F:$F,'01_異動主檔'!$B:$B,113,'01_異動主檔'!$D:$D,B1018,'01_異動主檔'!$E:$E,"新增")</f>
        <v/>
      </c>
      <c r="H1018" s="4">
        <f>-SUMIFS('01_異動主檔'!$F:$F,'01_異動主檔'!$B:$B,113,'01_異動主檔'!$D:$D,B1018,'01_異動主檔'!$E:$E,"減列")</f>
        <v/>
      </c>
      <c r="I1018" s="4">
        <f>-SUMIFS('01_異動主檔'!$F:$F,'01_異動主檔'!$B:$B,113,'01_異動主檔'!$D:$D,B1018,'01_異動主檔'!$E:$E,"精簡")</f>
        <v/>
      </c>
      <c r="J1018" s="10">
        <f>D1018+E1018+F1018+G1018+H1018+I1018</f>
        <v/>
      </c>
    </row>
    <row r="1019" ht="18" customHeight="1">
      <c r="A1019" s="4" t="inlineStr">
        <is>
          <t>E006</t>
        </is>
      </c>
      <c r="B1019" s="3" t="inlineStr">
        <is>
          <t>監理中心</t>
        </is>
      </c>
      <c r="C1019" s="4" t="n">
        <v>114</v>
      </c>
      <c r="D1019" s="10">
        <f>J1018</f>
        <v/>
      </c>
      <c r="E1019" s="4">
        <f>SUMIFS('01_異動主檔'!$F:$F,'01_異動主檔'!$B:$B,114,'01_異動主檔'!$D:$D,B1019,'01_異動主檔'!$E:$E,"移入")</f>
        <v/>
      </c>
      <c r="F1019" s="4">
        <f>-SUMIFS('01_異動主檔'!$F:$F,'01_異動主檔'!$B:$B,114,'01_異動主檔'!$D:$D,B1019,'01_異動主檔'!$E:$E,"移出")</f>
        <v/>
      </c>
      <c r="G1019" s="4">
        <f>SUMIFS('01_異動主檔'!$F:$F,'01_異動主檔'!$B:$B,114,'01_異動主檔'!$D:$D,B1019,'01_異動主檔'!$E:$E,"新增")</f>
        <v/>
      </c>
      <c r="H1019" s="4">
        <f>-SUMIFS('01_異動主檔'!$F:$F,'01_異動主檔'!$B:$B,114,'01_異動主檔'!$D:$D,B1019,'01_異動主檔'!$E:$E,"減列")</f>
        <v/>
      </c>
      <c r="I1019" s="4">
        <f>-SUMIFS('01_異動主檔'!$F:$F,'01_異動主檔'!$B:$B,114,'01_異動主檔'!$D:$D,B1019,'01_異動主檔'!$E:$E,"精簡")</f>
        <v/>
      </c>
      <c r="J1019" s="10">
        <f>D1019+E1019+F1019+G1019+H1019+I1019</f>
        <v/>
      </c>
    </row>
    <row r="1020" ht="18" customHeight="1">
      <c r="A1020" s="6" t="inlineStr">
        <is>
          <t>E006</t>
        </is>
      </c>
      <c r="B1020" s="5" t="inlineStr">
        <is>
          <t>監理中心</t>
        </is>
      </c>
      <c r="C1020" s="6" t="n">
        <v>115</v>
      </c>
      <c r="D1020" s="10">
        <f>J1019</f>
        <v/>
      </c>
      <c r="E1020" s="4">
        <f>SUMIFS('01_異動主檔'!$F:$F,'01_異動主檔'!$B:$B,115,'01_異動主檔'!$D:$D,B1020,'01_異動主檔'!$E:$E,"移入")</f>
        <v/>
      </c>
      <c r="F1020" s="4">
        <f>-SUMIFS('01_異動主檔'!$F:$F,'01_異動主檔'!$B:$B,115,'01_異動主檔'!$D:$D,B1020,'01_異動主檔'!$E:$E,"移出")</f>
        <v/>
      </c>
      <c r="G1020" s="4">
        <f>SUMIFS('01_異動主檔'!$F:$F,'01_異動主檔'!$B:$B,115,'01_異動主檔'!$D:$D,B1020,'01_異動主檔'!$E:$E,"新增")</f>
        <v/>
      </c>
      <c r="H1020" s="4">
        <f>-SUMIFS('01_異動主檔'!$F:$F,'01_異動主檔'!$B:$B,115,'01_異動主檔'!$D:$D,B1020,'01_異動主檔'!$E:$E,"減列")</f>
        <v/>
      </c>
      <c r="I1020" s="4">
        <f>-SUMIFS('01_異動主檔'!$F:$F,'01_異動主檔'!$B:$B,115,'01_異動主檔'!$D:$D,B1020,'01_異動主檔'!$E:$E,"精簡")</f>
        <v/>
      </c>
      <c r="J1020" s="10">
        <f>D1020+E1020+F1020+G1020+H1020+I1020</f>
        <v/>
      </c>
    </row>
    <row r="1021" ht="18" customHeight="1">
      <c r="A1021" s="4" t="inlineStr">
        <is>
          <t>E006</t>
        </is>
      </c>
      <c r="B1021" s="3" t="inlineStr">
        <is>
          <t>監理中心</t>
        </is>
      </c>
      <c r="C1021" s="4" t="n">
        <v>116</v>
      </c>
      <c r="D1021" s="10">
        <f>J1020</f>
        <v/>
      </c>
      <c r="E1021" s="4">
        <f>SUMIFS('01_異動主檔'!$F:$F,'01_異動主檔'!$B:$B,116,'01_異動主檔'!$D:$D,B1021,'01_異動主檔'!$E:$E,"移入")</f>
        <v/>
      </c>
      <c r="F1021" s="4">
        <f>-SUMIFS('01_異動主檔'!$F:$F,'01_異動主檔'!$B:$B,116,'01_異動主檔'!$D:$D,B1021,'01_異動主檔'!$E:$E,"移出")</f>
        <v/>
      </c>
      <c r="G1021" s="4">
        <f>SUMIFS('01_異動主檔'!$F:$F,'01_異動主檔'!$B:$B,116,'01_異動主檔'!$D:$D,B1021,'01_異動主檔'!$E:$E,"新增")</f>
        <v/>
      </c>
      <c r="H1021" s="4">
        <f>-SUMIFS('01_異動主檔'!$F:$F,'01_異動主檔'!$B:$B,116,'01_異動主檔'!$D:$D,B1021,'01_異動主檔'!$E:$E,"減列")</f>
        <v/>
      </c>
      <c r="I1021" s="4">
        <f>-SUMIFS('01_異動主檔'!$F:$F,'01_異動主檔'!$B:$B,116,'01_異動主檔'!$D:$D,B1021,'01_異動主檔'!$E:$E,"精簡")</f>
        <v/>
      </c>
      <c r="J1021" s="10">
        <f>D1021+E1021+F1021+G1021+H1021+I1021</f>
        <v/>
      </c>
    </row>
    <row r="1022" ht="18" customHeight="1">
      <c r="A1022" s="6" t="inlineStr">
        <is>
          <t>E006</t>
        </is>
      </c>
      <c r="B1022" s="5" t="inlineStr">
        <is>
          <t>監理中心</t>
        </is>
      </c>
      <c r="C1022" s="6" t="n">
        <v>117</v>
      </c>
      <c r="D1022" s="10">
        <f>J1021</f>
        <v/>
      </c>
      <c r="E1022" s="4">
        <f>SUMIFS('01_異動主檔'!$F:$F,'01_異動主檔'!$B:$B,117,'01_異動主檔'!$D:$D,B1022,'01_異動主檔'!$E:$E,"移入")</f>
        <v/>
      </c>
      <c r="F1022" s="4">
        <f>-SUMIFS('01_異動主檔'!$F:$F,'01_異動主檔'!$B:$B,117,'01_異動主檔'!$D:$D,B1022,'01_異動主檔'!$E:$E,"移出")</f>
        <v/>
      </c>
      <c r="G1022" s="4">
        <f>SUMIFS('01_異動主檔'!$F:$F,'01_異動主檔'!$B:$B,117,'01_異動主檔'!$D:$D,B1022,'01_異動主檔'!$E:$E,"新增")</f>
        <v/>
      </c>
      <c r="H1022" s="4">
        <f>-SUMIFS('01_異動主檔'!$F:$F,'01_異動主檔'!$B:$B,117,'01_異動主檔'!$D:$D,B1022,'01_異動主檔'!$E:$E,"減列")</f>
        <v/>
      </c>
      <c r="I1022" s="4">
        <f>-SUMIFS('01_異動主檔'!$F:$F,'01_異動主檔'!$B:$B,117,'01_異動主檔'!$D:$D,B1022,'01_異動主檔'!$E:$E,"精簡")</f>
        <v/>
      </c>
      <c r="J1022" s="10">
        <f>D1022+E1022+F1022+G1022+H1022+I1022</f>
        <v/>
      </c>
    </row>
    <row r="1023" ht="18" customHeight="1">
      <c r="A1023" s="4" t="inlineStr">
        <is>
          <t>E006</t>
        </is>
      </c>
      <c r="B1023" s="3" t="inlineStr">
        <is>
          <t>監理中心</t>
        </is>
      </c>
      <c r="C1023" s="4" t="n">
        <v>118</v>
      </c>
      <c r="D1023" s="10">
        <f>J1022</f>
        <v/>
      </c>
      <c r="E1023" s="4">
        <f>SUMIFS('01_異動主檔'!$F:$F,'01_異動主檔'!$B:$B,118,'01_異動主檔'!$D:$D,B1023,'01_異動主檔'!$E:$E,"移入")</f>
        <v/>
      </c>
      <c r="F1023" s="4">
        <f>-SUMIFS('01_異動主檔'!$F:$F,'01_異動主檔'!$B:$B,118,'01_異動主檔'!$D:$D,B1023,'01_異動主檔'!$E:$E,"移出")</f>
        <v/>
      </c>
      <c r="G1023" s="4">
        <f>SUMIFS('01_異動主檔'!$F:$F,'01_異動主檔'!$B:$B,118,'01_異動主檔'!$D:$D,B1023,'01_異動主檔'!$E:$E,"新增")</f>
        <v/>
      </c>
      <c r="H1023" s="4">
        <f>-SUMIFS('01_異動主檔'!$F:$F,'01_異動主檔'!$B:$B,118,'01_異動主檔'!$D:$D,B1023,'01_異動主檔'!$E:$E,"減列")</f>
        <v/>
      </c>
      <c r="I1023" s="4">
        <f>-SUMIFS('01_異動主檔'!$F:$F,'01_異動主檔'!$B:$B,118,'01_異動主檔'!$D:$D,B1023,'01_異動主檔'!$E:$E,"精簡")</f>
        <v/>
      </c>
      <c r="J1023" s="10">
        <f>D1023+E1023+F1023+G1023+H1023+I1023</f>
        <v/>
      </c>
    </row>
    <row r="1024" ht="18" customHeight="1">
      <c r="A1024" s="6" t="inlineStr">
        <is>
          <t>E006</t>
        </is>
      </c>
      <c r="B1024" s="5" t="inlineStr">
        <is>
          <t>監理中心</t>
        </is>
      </c>
      <c r="C1024" s="6" t="n">
        <v>119</v>
      </c>
      <c r="D1024" s="10">
        <f>J1023</f>
        <v/>
      </c>
      <c r="E1024" s="4">
        <f>SUMIFS('01_異動主檔'!$F:$F,'01_異動主檔'!$B:$B,119,'01_異動主檔'!$D:$D,B1024,'01_異動主檔'!$E:$E,"移入")</f>
        <v/>
      </c>
      <c r="F1024" s="4">
        <f>-SUMIFS('01_異動主檔'!$F:$F,'01_異動主檔'!$B:$B,119,'01_異動主檔'!$D:$D,B1024,'01_異動主檔'!$E:$E,"移出")</f>
        <v/>
      </c>
      <c r="G1024" s="4">
        <f>SUMIFS('01_異動主檔'!$F:$F,'01_異動主檔'!$B:$B,119,'01_異動主檔'!$D:$D,B1024,'01_異動主檔'!$E:$E,"新增")</f>
        <v/>
      </c>
      <c r="H1024" s="4">
        <f>-SUMIFS('01_異動主檔'!$F:$F,'01_異動主檔'!$B:$B,119,'01_異動主檔'!$D:$D,B1024,'01_異動主檔'!$E:$E,"減列")</f>
        <v/>
      </c>
      <c r="I1024" s="4">
        <f>-SUMIFS('01_異動主檔'!$F:$F,'01_異動主檔'!$B:$B,119,'01_異動主檔'!$D:$D,B1024,'01_異動主檔'!$E:$E,"精簡")</f>
        <v/>
      </c>
      <c r="J1024" s="10">
        <f>D1024+E1024+F1024+G1024+H1024+I1024</f>
        <v/>
      </c>
    </row>
    <row r="1025" ht="18" customHeight="1">
      <c r="A1025" s="4" t="inlineStr">
        <is>
          <t>E006</t>
        </is>
      </c>
      <c r="B1025" s="3" t="inlineStr">
        <is>
          <t>監理中心</t>
        </is>
      </c>
      <c r="C1025" s="4" t="n">
        <v>120</v>
      </c>
      <c r="D1025" s="10">
        <f>J1024</f>
        <v/>
      </c>
      <c r="E1025" s="4">
        <f>SUMIFS('01_異動主檔'!$F:$F,'01_異動主檔'!$B:$B,120,'01_異動主檔'!$D:$D,B1025,'01_異動主檔'!$E:$E,"移入")</f>
        <v/>
      </c>
      <c r="F1025" s="4">
        <f>-SUMIFS('01_異動主檔'!$F:$F,'01_異動主檔'!$B:$B,120,'01_異動主檔'!$D:$D,B1025,'01_異動主檔'!$E:$E,"移出")</f>
        <v/>
      </c>
      <c r="G1025" s="4">
        <f>SUMIFS('01_異動主檔'!$F:$F,'01_異動主檔'!$B:$B,120,'01_異動主檔'!$D:$D,B1025,'01_異動主檔'!$E:$E,"新增")</f>
        <v/>
      </c>
      <c r="H1025" s="4">
        <f>-SUMIFS('01_異動主檔'!$F:$F,'01_異動主檔'!$B:$B,120,'01_異動主檔'!$D:$D,B1025,'01_異動主檔'!$E:$E,"減列")</f>
        <v/>
      </c>
      <c r="I1025" s="4">
        <f>-SUMIFS('01_異動主檔'!$F:$F,'01_異動主檔'!$B:$B,120,'01_異動主檔'!$D:$D,B1025,'01_異動主檔'!$E:$E,"精簡")</f>
        <v/>
      </c>
      <c r="J1025" s="10">
        <f>D1025+E1025+F1025+G1025+H1025+I1025</f>
        <v/>
      </c>
    </row>
    <row r="1026" ht="18" customHeight="1">
      <c r="A1026" s="6" t="inlineStr">
        <is>
          <t>E006</t>
        </is>
      </c>
      <c r="B1026" s="5" t="inlineStr">
        <is>
          <t>監理中心</t>
        </is>
      </c>
      <c r="C1026" s="6" t="n">
        <v>121</v>
      </c>
      <c r="D1026" s="10">
        <f>J1025</f>
        <v/>
      </c>
      <c r="E1026" s="4">
        <f>SUMIFS('01_異動主檔'!$F:$F,'01_異動主檔'!$B:$B,121,'01_異動主檔'!$D:$D,B1026,'01_異動主檔'!$E:$E,"移入")</f>
        <v/>
      </c>
      <c r="F1026" s="4">
        <f>-SUMIFS('01_異動主檔'!$F:$F,'01_異動主檔'!$B:$B,121,'01_異動主檔'!$D:$D,B1026,'01_異動主檔'!$E:$E,"移出")</f>
        <v/>
      </c>
      <c r="G1026" s="4">
        <f>SUMIFS('01_異動主檔'!$F:$F,'01_異動主檔'!$B:$B,121,'01_異動主檔'!$D:$D,B1026,'01_異動主檔'!$E:$E,"新增")</f>
        <v/>
      </c>
      <c r="H1026" s="4">
        <f>-SUMIFS('01_異動主檔'!$F:$F,'01_異動主檔'!$B:$B,121,'01_異動主檔'!$D:$D,B1026,'01_異動主檔'!$E:$E,"減列")</f>
        <v/>
      </c>
      <c r="I1026" s="4">
        <f>-SUMIFS('01_異動主檔'!$F:$F,'01_異動主檔'!$B:$B,121,'01_異動主檔'!$D:$D,B1026,'01_異動主檔'!$E:$E,"精簡")</f>
        <v/>
      </c>
      <c r="J1026" s="10">
        <f>D1026+E1026+F1026+G1026+H1026+I1026</f>
        <v/>
      </c>
    </row>
    <row r="1027" ht="18" customHeight="1">
      <c r="A1027" s="4" t="inlineStr">
        <is>
          <t>E006</t>
        </is>
      </c>
      <c r="B1027" s="3" t="inlineStr">
        <is>
          <t>監理中心</t>
        </is>
      </c>
      <c r="C1027" s="4" t="n">
        <v>122</v>
      </c>
      <c r="D1027" s="10">
        <f>J1026</f>
        <v/>
      </c>
      <c r="E1027" s="4">
        <f>SUMIFS('01_異動主檔'!$F:$F,'01_異動主檔'!$B:$B,122,'01_異動主檔'!$D:$D,B1027,'01_異動主檔'!$E:$E,"移入")</f>
        <v/>
      </c>
      <c r="F1027" s="4">
        <f>-SUMIFS('01_異動主檔'!$F:$F,'01_異動主檔'!$B:$B,122,'01_異動主檔'!$D:$D,B1027,'01_異動主檔'!$E:$E,"移出")</f>
        <v/>
      </c>
      <c r="G1027" s="4">
        <f>SUMIFS('01_異動主檔'!$F:$F,'01_異動主檔'!$B:$B,122,'01_異動主檔'!$D:$D,B1027,'01_異動主檔'!$E:$E,"新增")</f>
        <v/>
      </c>
      <c r="H1027" s="4">
        <f>-SUMIFS('01_異動主檔'!$F:$F,'01_異動主檔'!$B:$B,122,'01_異動主檔'!$D:$D,B1027,'01_異動主檔'!$E:$E,"減列")</f>
        <v/>
      </c>
      <c r="I1027" s="4">
        <f>-SUMIFS('01_異動主檔'!$F:$F,'01_異動主檔'!$B:$B,122,'01_異動主檔'!$D:$D,B1027,'01_異動主檔'!$E:$E,"精簡")</f>
        <v/>
      </c>
      <c r="J1027" s="10">
        <f>D1027+E1027+F1027+G1027+H1027+I1027</f>
        <v/>
      </c>
    </row>
    <row r="1028" ht="18" customHeight="1">
      <c r="A1028" s="6" t="inlineStr">
        <is>
          <t>E006</t>
        </is>
      </c>
      <c r="B1028" s="5" t="inlineStr">
        <is>
          <t>監理中心</t>
        </is>
      </c>
      <c r="C1028" s="6" t="n">
        <v>123</v>
      </c>
      <c r="D1028" s="10">
        <f>J1027</f>
        <v/>
      </c>
      <c r="E1028" s="4">
        <f>SUMIFS('01_異動主檔'!$F:$F,'01_異動主檔'!$B:$B,123,'01_異動主檔'!$D:$D,B1028,'01_異動主檔'!$E:$E,"移入")</f>
        <v/>
      </c>
      <c r="F1028" s="4">
        <f>-SUMIFS('01_異動主檔'!$F:$F,'01_異動主檔'!$B:$B,123,'01_異動主檔'!$D:$D,B1028,'01_異動主檔'!$E:$E,"移出")</f>
        <v/>
      </c>
      <c r="G1028" s="4">
        <f>SUMIFS('01_異動主檔'!$F:$F,'01_異動主檔'!$B:$B,123,'01_異動主檔'!$D:$D,B1028,'01_異動主檔'!$E:$E,"新增")</f>
        <v/>
      </c>
      <c r="H1028" s="4">
        <f>-SUMIFS('01_異動主檔'!$F:$F,'01_異動主檔'!$B:$B,123,'01_異動主檔'!$D:$D,B1028,'01_異動主檔'!$E:$E,"減列")</f>
        <v/>
      </c>
      <c r="I1028" s="4">
        <f>-SUMIFS('01_異動主檔'!$F:$F,'01_異動主檔'!$B:$B,123,'01_異動主檔'!$D:$D,B1028,'01_異動主檔'!$E:$E,"精簡")</f>
        <v/>
      </c>
      <c r="J1028" s="10">
        <f>D1028+E1028+F1028+G1028+H1028+I1028</f>
        <v/>
      </c>
    </row>
    <row r="1029" ht="18" customHeight="1">
      <c r="A1029" s="4" t="inlineStr">
        <is>
          <t>E006</t>
        </is>
      </c>
      <c r="B1029" s="3" t="inlineStr">
        <is>
          <t>監理中心</t>
        </is>
      </c>
      <c r="C1029" s="4" t="n">
        <v>124</v>
      </c>
      <c r="D1029" s="10">
        <f>J1028</f>
        <v/>
      </c>
      <c r="E1029" s="4">
        <f>SUMIFS('01_異動主檔'!$F:$F,'01_異動主檔'!$B:$B,124,'01_異動主檔'!$D:$D,B1029,'01_異動主檔'!$E:$E,"移入")</f>
        <v/>
      </c>
      <c r="F1029" s="4">
        <f>-SUMIFS('01_異動主檔'!$F:$F,'01_異動主檔'!$B:$B,124,'01_異動主檔'!$D:$D,B1029,'01_異動主檔'!$E:$E,"移出")</f>
        <v/>
      </c>
      <c r="G1029" s="4">
        <f>SUMIFS('01_異動主檔'!$F:$F,'01_異動主檔'!$B:$B,124,'01_異動主檔'!$D:$D,B1029,'01_異動主檔'!$E:$E,"新增")</f>
        <v/>
      </c>
      <c r="H1029" s="4">
        <f>-SUMIFS('01_異動主檔'!$F:$F,'01_異動主檔'!$B:$B,124,'01_異動主檔'!$D:$D,B1029,'01_異動主檔'!$E:$E,"減列")</f>
        <v/>
      </c>
      <c r="I1029" s="4">
        <f>-SUMIFS('01_異動主檔'!$F:$F,'01_異動主檔'!$B:$B,124,'01_異動主檔'!$D:$D,B1029,'01_異動主檔'!$E:$E,"精簡")</f>
        <v/>
      </c>
      <c r="J1029" s="10">
        <f>D1029+E1029+F1029+G1029+H1029+I1029</f>
        <v/>
      </c>
    </row>
    <row r="1030" ht="18" customHeight="1">
      <c r="A1030" s="6" t="inlineStr">
        <is>
          <t>E006</t>
        </is>
      </c>
      <c r="B1030" s="5" t="inlineStr">
        <is>
          <t>監理中心</t>
        </is>
      </c>
      <c r="C1030" s="6" t="n">
        <v>125</v>
      </c>
      <c r="D1030" s="10">
        <f>J1029</f>
        <v/>
      </c>
      <c r="E1030" s="4">
        <f>SUMIFS('01_異動主檔'!$F:$F,'01_異動主檔'!$B:$B,125,'01_異動主檔'!$D:$D,B1030,'01_異動主檔'!$E:$E,"移入")</f>
        <v/>
      </c>
      <c r="F1030" s="4">
        <f>-SUMIFS('01_異動主檔'!$F:$F,'01_異動主檔'!$B:$B,125,'01_異動主檔'!$D:$D,B1030,'01_異動主檔'!$E:$E,"移出")</f>
        <v/>
      </c>
      <c r="G1030" s="4">
        <f>SUMIFS('01_異動主檔'!$F:$F,'01_異動主檔'!$B:$B,125,'01_異動主檔'!$D:$D,B1030,'01_異動主檔'!$E:$E,"新增")</f>
        <v/>
      </c>
      <c r="H1030" s="4">
        <f>-SUMIFS('01_異動主檔'!$F:$F,'01_異動主檔'!$B:$B,125,'01_異動主檔'!$D:$D,B1030,'01_異動主檔'!$E:$E,"減列")</f>
        <v/>
      </c>
      <c r="I1030" s="4">
        <f>-SUMIFS('01_異動主檔'!$F:$F,'01_異動主檔'!$B:$B,125,'01_異動主檔'!$D:$D,B1030,'01_異動主檔'!$E:$E,"精簡")</f>
        <v/>
      </c>
      <c r="J1030" s="10">
        <f>D1030+E1030+F1030+G1030+H1030+I1030</f>
        <v/>
      </c>
    </row>
    <row r="1031" ht="18" customHeight="1">
      <c r="A1031" s="4" t="inlineStr">
        <is>
          <t>E007</t>
        </is>
      </c>
      <c r="B1031" s="3" t="inlineStr">
        <is>
          <t>稽核中心</t>
        </is>
      </c>
      <c r="C1031" s="4" t="n">
        <v>99</v>
      </c>
      <c r="D1031" s="10">
        <f>'02_年初員額設定'!C43</f>
        <v/>
      </c>
      <c r="E1031" s="4">
        <f>SUMIFS('01_異動主檔'!$F:$F,'01_異動主檔'!$B:$B,99,'01_異動主檔'!$D:$D,B1031,'01_異動主檔'!$E:$E,"移入")</f>
        <v/>
      </c>
      <c r="F1031" s="4">
        <f>-SUMIFS('01_異動主檔'!$F:$F,'01_異動主檔'!$B:$B,99,'01_異動主檔'!$D:$D,B1031,'01_異動主檔'!$E:$E,"移出")</f>
        <v/>
      </c>
      <c r="G1031" s="4">
        <f>SUMIFS('01_異動主檔'!$F:$F,'01_異動主檔'!$B:$B,99,'01_異動主檔'!$D:$D,B1031,'01_異動主檔'!$E:$E,"新增")</f>
        <v/>
      </c>
      <c r="H1031" s="4">
        <f>-SUMIFS('01_異動主檔'!$F:$F,'01_異動主檔'!$B:$B,99,'01_異動主檔'!$D:$D,B1031,'01_異動主檔'!$E:$E,"減列")</f>
        <v/>
      </c>
      <c r="I1031" s="4">
        <f>-SUMIFS('01_異動主檔'!$F:$F,'01_異動主檔'!$B:$B,99,'01_異動主檔'!$D:$D,B1031,'01_異動主檔'!$E:$E,"精簡")</f>
        <v/>
      </c>
      <c r="J1031" s="10">
        <f>D1031+E1031+F1031+G1031+H1031+I1031</f>
        <v/>
      </c>
    </row>
    <row r="1032" ht="18" customHeight="1">
      <c r="A1032" s="6" t="inlineStr">
        <is>
          <t>E007</t>
        </is>
      </c>
      <c r="B1032" s="5" t="inlineStr">
        <is>
          <t>稽核中心</t>
        </is>
      </c>
      <c r="C1032" s="6" t="n">
        <v>100</v>
      </c>
      <c r="D1032" s="10">
        <f>J1031</f>
        <v/>
      </c>
      <c r="E1032" s="4">
        <f>SUMIFS('01_異動主檔'!$F:$F,'01_異動主檔'!$B:$B,100,'01_異動主檔'!$D:$D,B1032,'01_異動主檔'!$E:$E,"移入")</f>
        <v/>
      </c>
      <c r="F1032" s="4">
        <f>-SUMIFS('01_異動主檔'!$F:$F,'01_異動主檔'!$B:$B,100,'01_異動主檔'!$D:$D,B1032,'01_異動主檔'!$E:$E,"移出")</f>
        <v/>
      </c>
      <c r="G1032" s="4">
        <f>SUMIFS('01_異動主檔'!$F:$F,'01_異動主檔'!$B:$B,100,'01_異動主檔'!$D:$D,B1032,'01_異動主檔'!$E:$E,"新增")</f>
        <v/>
      </c>
      <c r="H1032" s="4">
        <f>-SUMIFS('01_異動主檔'!$F:$F,'01_異動主檔'!$B:$B,100,'01_異動主檔'!$D:$D,B1032,'01_異動主檔'!$E:$E,"減列")</f>
        <v/>
      </c>
      <c r="I1032" s="4">
        <f>-SUMIFS('01_異動主檔'!$F:$F,'01_異動主檔'!$B:$B,100,'01_異動主檔'!$D:$D,B1032,'01_異動主檔'!$E:$E,"精簡")</f>
        <v/>
      </c>
      <c r="J1032" s="10">
        <f>D1032+E1032+F1032+G1032+H1032+I1032</f>
        <v/>
      </c>
    </row>
    <row r="1033" ht="18" customHeight="1">
      <c r="A1033" s="4" t="inlineStr">
        <is>
          <t>E007</t>
        </is>
      </c>
      <c r="B1033" s="3" t="inlineStr">
        <is>
          <t>稽核中心</t>
        </is>
      </c>
      <c r="C1033" s="4" t="n">
        <v>101</v>
      </c>
      <c r="D1033" s="10">
        <f>J1032</f>
        <v/>
      </c>
      <c r="E1033" s="4">
        <f>SUMIFS('01_異動主檔'!$F:$F,'01_異動主檔'!$B:$B,101,'01_異動主檔'!$D:$D,B1033,'01_異動主檔'!$E:$E,"移入")</f>
        <v/>
      </c>
      <c r="F1033" s="4">
        <f>-SUMIFS('01_異動主檔'!$F:$F,'01_異動主檔'!$B:$B,101,'01_異動主檔'!$D:$D,B1033,'01_異動主檔'!$E:$E,"移出")</f>
        <v/>
      </c>
      <c r="G1033" s="4">
        <f>SUMIFS('01_異動主檔'!$F:$F,'01_異動主檔'!$B:$B,101,'01_異動主檔'!$D:$D,B1033,'01_異動主檔'!$E:$E,"新增")</f>
        <v/>
      </c>
      <c r="H1033" s="4">
        <f>-SUMIFS('01_異動主檔'!$F:$F,'01_異動主檔'!$B:$B,101,'01_異動主檔'!$D:$D,B1033,'01_異動主檔'!$E:$E,"減列")</f>
        <v/>
      </c>
      <c r="I1033" s="4">
        <f>-SUMIFS('01_異動主檔'!$F:$F,'01_異動主檔'!$B:$B,101,'01_異動主檔'!$D:$D,B1033,'01_異動主檔'!$E:$E,"精簡")</f>
        <v/>
      </c>
      <c r="J1033" s="10">
        <f>D1033+E1033+F1033+G1033+H1033+I1033</f>
        <v/>
      </c>
    </row>
    <row r="1034" ht="18" customHeight="1">
      <c r="A1034" s="6" t="inlineStr">
        <is>
          <t>E007</t>
        </is>
      </c>
      <c r="B1034" s="5" t="inlineStr">
        <is>
          <t>稽核中心</t>
        </is>
      </c>
      <c r="C1034" s="6" t="n">
        <v>102</v>
      </c>
      <c r="D1034" s="10">
        <f>J1033</f>
        <v/>
      </c>
      <c r="E1034" s="4">
        <f>SUMIFS('01_異動主檔'!$F:$F,'01_異動主檔'!$B:$B,102,'01_異動主檔'!$D:$D,B1034,'01_異動主檔'!$E:$E,"移入")</f>
        <v/>
      </c>
      <c r="F1034" s="4">
        <f>-SUMIFS('01_異動主檔'!$F:$F,'01_異動主檔'!$B:$B,102,'01_異動主檔'!$D:$D,B1034,'01_異動主檔'!$E:$E,"移出")</f>
        <v/>
      </c>
      <c r="G1034" s="4">
        <f>SUMIFS('01_異動主檔'!$F:$F,'01_異動主檔'!$B:$B,102,'01_異動主檔'!$D:$D,B1034,'01_異動主檔'!$E:$E,"新增")</f>
        <v/>
      </c>
      <c r="H1034" s="4">
        <f>-SUMIFS('01_異動主檔'!$F:$F,'01_異動主檔'!$B:$B,102,'01_異動主檔'!$D:$D,B1034,'01_異動主檔'!$E:$E,"減列")</f>
        <v/>
      </c>
      <c r="I1034" s="4">
        <f>-SUMIFS('01_異動主檔'!$F:$F,'01_異動主檔'!$B:$B,102,'01_異動主檔'!$D:$D,B1034,'01_異動主檔'!$E:$E,"精簡")</f>
        <v/>
      </c>
      <c r="J1034" s="10">
        <f>D1034+E1034+F1034+G1034+H1034+I1034</f>
        <v/>
      </c>
    </row>
    <row r="1035" ht="18" customHeight="1">
      <c r="A1035" s="4" t="inlineStr">
        <is>
          <t>E007</t>
        </is>
      </c>
      <c r="B1035" s="3" t="inlineStr">
        <is>
          <t>稽核中心</t>
        </is>
      </c>
      <c r="C1035" s="4" t="n">
        <v>103</v>
      </c>
      <c r="D1035" s="10">
        <f>J1034</f>
        <v/>
      </c>
      <c r="E1035" s="4">
        <f>SUMIFS('01_異動主檔'!$F:$F,'01_異動主檔'!$B:$B,103,'01_異動主檔'!$D:$D,B1035,'01_異動主檔'!$E:$E,"移入")</f>
        <v/>
      </c>
      <c r="F1035" s="4">
        <f>-SUMIFS('01_異動主檔'!$F:$F,'01_異動主檔'!$B:$B,103,'01_異動主檔'!$D:$D,B1035,'01_異動主檔'!$E:$E,"移出")</f>
        <v/>
      </c>
      <c r="G1035" s="4">
        <f>SUMIFS('01_異動主檔'!$F:$F,'01_異動主檔'!$B:$B,103,'01_異動主檔'!$D:$D,B1035,'01_異動主檔'!$E:$E,"新增")</f>
        <v/>
      </c>
      <c r="H1035" s="4">
        <f>-SUMIFS('01_異動主檔'!$F:$F,'01_異動主檔'!$B:$B,103,'01_異動主檔'!$D:$D,B1035,'01_異動主檔'!$E:$E,"減列")</f>
        <v/>
      </c>
      <c r="I1035" s="4">
        <f>-SUMIFS('01_異動主檔'!$F:$F,'01_異動主檔'!$B:$B,103,'01_異動主檔'!$D:$D,B1035,'01_異動主檔'!$E:$E,"精簡")</f>
        <v/>
      </c>
      <c r="J1035" s="10">
        <f>D1035+E1035+F1035+G1035+H1035+I1035</f>
        <v/>
      </c>
    </row>
    <row r="1036" ht="18" customHeight="1">
      <c r="A1036" s="6" t="inlineStr">
        <is>
          <t>E007</t>
        </is>
      </c>
      <c r="B1036" s="5" t="inlineStr">
        <is>
          <t>稽核中心</t>
        </is>
      </c>
      <c r="C1036" s="6" t="n">
        <v>104</v>
      </c>
      <c r="D1036" s="10">
        <f>J1035</f>
        <v/>
      </c>
      <c r="E1036" s="4">
        <f>SUMIFS('01_異動主檔'!$F:$F,'01_異動主檔'!$B:$B,104,'01_異動主檔'!$D:$D,B1036,'01_異動主檔'!$E:$E,"移入")</f>
        <v/>
      </c>
      <c r="F1036" s="4">
        <f>-SUMIFS('01_異動主檔'!$F:$F,'01_異動主檔'!$B:$B,104,'01_異動主檔'!$D:$D,B1036,'01_異動主檔'!$E:$E,"移出")</f>
        <v/>
      </c>
      <c r="G1036" s="4">
        <f>SUMIFS('01_異動主檔'!$F:$F,'01_異動主檔'!$B:$B,104,'01_異動主檔'!$D:$D,B1036,'01_異動主檔'!$E:$E,"新增")</f>
        <v/>
      </c>
      <c r="H1036" s="4">
        <f>-SUMIFS('01_異動主檔'!$F:$F,'01_異動主檔'!$B:$B,104,'01_異動主檔'!$D:$D,B1036,'01_異動主檔'!$E:$E,"減列")</f>
        <v/>
      </c>
      <c r="I1036" s="4">
        <f>-SUMIFS('01_異動主檔'!$F:$F,'01_異動主檔'!$B:$B,104,'01_異動主檔'!$D:$D,B1036,'01_異動主檔'!$E:$E,"精簡")</f>
        <v/>
      </c>
      <c r="J1036" s="10">
        <f>D1036+E1036+F1036+G1036+H1036+I1036</f>
        <v/>
      </c>
    </row>
    <row r="1037" ht="18" customHeight="1">
      <c r="A1037" s="4" t="inlineStr">
        <is>
          <t>E007</t>
        </is>
      </c>
      <c r="B1037" s="3" t="inlineStr">
        <is>
          <t>稽核中心</t>
        </is>
      </c>
      <c r="C1037" s="4" t="n">
        <v>105</v>
      </c>
      <c r="D1037" s="10">
        <f>J1036</f>
        <v/>
      </c>
      <c r="E1037" s="4">
        <f>SUMIFS('01_異動主檔'!$F:$F,'01_異動主檔'!$B:$B,105,'01_異動主檔'!$D:$D,B1037,'01_異動主檔'!$E:$E,"移入")</f>
        <v/>
      </c>
      <c r="F1037" s="4">
        <f>-SUMIFS('01_異動主檔'!$F:$F,'01_異動主檔'!$B:$B,105,'01_異動主檔'!$D:$D,B1037,'01_異動主檔'!$E:$E,"移出")</f>
        <v/>
      </c>
      <c r="G1037" s="4">
        <f>SUMIFS('01_異動主檔'!$F:$F,'01_異動主檔'!$B:$B,105,'01_異動主檔'!$D:$D,B1037,'01_異動主檔'!$E:$E,"新增")</f>
        <v/>
      </c>
      <c r="H1037" s="4">
        <f>-SUMIFS('01_異動主檔'!$F:$F,'01_異動主檔'!$B:$B,105,'01_異動主檔'!$D:$D,B1037,'01_異動主檔'!$E:$E,"減列")</f>
        <v/>
      </c>
      <c r="I1037" s="4">
        <f>-SUMIFS('01_異動主檔'!$F:$F,'01_異動主檔'!$B:$B,105,'01_異動主檔'!$D:$D,B1037,'01_異動主檔'!$E:$E,"精簡")</f>
        <v/>
      </c>
      <c r="J1037" s="10">
        <f>D1037+E1037+F1037+G1037+H1037+I1037</f>
        <v/>
      </c>
    </row>
    <row r="1038" ht="18" customHeight="1">
      <c r="A1038" s="6" t="inlineStr">
        <is>
          <t>E007</t>
        </is>
      </c>
      <c r="B1038" s="5" t="inlineStr">
        <is>
          <t>稽核中心</t>
        </is>
      </c>
      <c r="C1038" s="6" t="n">
        <v>106</v>
      </c>
      <c r="D1038" s="10">
        <f>J1037</f>
        <v/>
      </c>
      <c r="E1038" s="4">
        <f>SUMIFS('01_異動主檔'!$F:$F,'01_異動主檔'!$B:$B,106,'01_異動主檔'!$D:$D,B1038,'01_異動主檔'!$E:$E,"移入")</f>
        <v/>
      </c>
      <c r="F1038" s="4">
        <f>-SUMIFS('01_異動主檔'!$F:$F,'01_異動主檔'!$B:$B,106,'01_異動主檔'!$D:$D,B1038,'01_異動主檔'!$E:$E,"移出")</f>
        <v/>
      </c>
      <c r="G1038" s="4">
        <f>SUMIFS('01_異動主檔'!$F:$F,'01_異動主檔'!$B:$B,106,'01_異動主檔'!$D:$D,B1038,'01_異動主檔'!$E:$E,"新增")</f>
        <v/>
      </c>
      <c r="H1038" s="4">
        <f>-SUMIFS('01_異動主檔'!$F:$F,'01_異動主檔'!$B:$B,106,'01_異動主檔'!$D:$D,B1038,'01_異動主檔'!$E:$E,"減列")</f>
        <v/>
      </c>
      <c r="I1038" s="4">
        <f>-SUMIFS('01_異動主檔'!$F:$F,'01_異動主檔'!$B:$B,106,'01_異動主檔'!$D:$D,B1038,'01_異動主檔'!$E:$E,"精簡")</f>
        <v/>
      </c>
      <c r="J1038" s="10">
        <f>D1038+E1038+F1038+G1038+H1038+I1038</f>
        <v/>
      </c>
    </row>
    <row r="1039" ht="18" customHeight="1">
      <c r="A1039" s="4" t="inlineStr">
        <is>
          <t>E007</t>
        </is>
      </c>
      <c r="B1039" s="3" t="inlineStr">
        <is>
          <t>稽核中心</t>
        </is>
      </c>
      <c r="C1039" s="4" t="n">
        <v>107</v>
      </c>
      <c r="D1039" s="10">
        <f>J1038</f>
        <v/>
      </c>
      <c r="E1039" s="4">
        <f>SUMIFS('01_異動主檔'!$F:$F,'01_異動主檔'!$B:$B,107,'01_異動主檔'!$D:$D,B1039,'01_異動主檔'!$E:$E,"移入")</f>
        <v/>
      </c>
      <c r="F1039" s="4">
        <f>-SUMIFS('01_異動主檔'!$F:$F,'01_異動主檔'!$B:$B,107,'01_異動主檔'!$D:$D,B1039,'01_異動主檔'!$E:$E,"移出")</f>
        <v/>
      </c>
      <c r="G1039" s="4">
        <f>SUMIFS('01_異動主檔'!$F:$F,'01_異動主檔'!$B:$B,107,'01_異動主檔'!$D:$D,B1039,'01_異動主檔'!$E:$E,"新增")</f>
        <v/>
      </c>
      <c r="H1039" s="4">
        <f>-SUMIFS('01_異動主檔'!$F:$F,'01_異動主檔'!$B:$B,107,'01_異動主檔'!$D:$D,B1039,'01_異動主檔'!$E:$E,"減列")</f>
        <v/>
      </c>
      <c r="I1039" s="4">
        <f>-SUMIFS('01_異動主檔'!$F:$F,'01_異動主檔'!$B:$B,107,'01_異動主檔'!$D:$D,B1039,'01_異動主檔'!$E:$E,"精簡")</f>
        <v/>
      </c>
      <c r="J1039" s="10">
        <f>D1039+E1039+F1039+G1039+H1039+I1039</f>
        <v/>
      </c>
    </row>
    <row r="1040" ht="18" customHeight="1">
      <c r="A1040" s="6" t="inlineStr">
        <is>
          <t>E007</t>
        </is>
      </c>
      <c r="B1040" s="5" t="inlineStr">
        <is>
          <t>稽核中心</t>
        </is>
      </c>
      <c r="C1040" s="6" t="n">
        <v>108</v>
      </c>
      <c r="D1040" s="10">
        <f>J1039</f>
        <v/>
      </c>
      <c r="E1040" s="4">
        <f>SUMIFS('01_異動主檔'!$F:$F,'01_異動主檔'!$B:$B,108,'01_異動主檔'!$D:$D,B1040,'01_異動主檔'!$E:$E,"移入")</f>
        <v/>
      </c>
      <c r="F1040" s="4">
        <f>-SUMIFS('01_異動主檔'!$F:$F,'01_異動主檔'!$B:$B,108,'01_異動主檔'!$D:$D,B1040,'01_異動主檔'!$E:$E,"移出")</f>
        <v/>
      </c>
      <c r="G1040" s="4">
        <f>SUMIFS('01_異動主檔'!$F:$F,'01_異動主檔'!$B:$B,108,'01_異動主檔'!$D:$D,B1040,'01_異動主檔'!$E:$E,"新增")</f>
        <v/>
      </c>
      <c r="H1040" s="4">
        <f>-SUMIFS('01_異動主檔'!$F:$F,'01_異動主檔'!$B:$B,108,'01_異動主檔'!$D:$D,B1040,'01_異動主檔'!$E:$E,"減列")</f>
        <v/>
      </c>
      <c r="I1040" s="4">
        <f>-SUMIFS('01_異動主檔'!$F:$F,'01_異動主檔'!$B:$B,108,'01_異動主檔'!$D:$D,B1040,'01_異動主檔'!$E:$E,"精簡")</f>
        <v/>
      </c>
      <c r="J1040" s="10">
        <f>D1040+E1040+F1040+G1040+H1040+I1040</f>
        <v/>
      </c>
    </row>
    <row r="1041" ht="18" customHeight="1">
      <c r="A1041" s="4" t="inlineStr">
        <is>
          <t>E007</t>
        </is>
      </c>
      <c r="B1041" s="3" t="inlineStr">
        <is>
          <t>稽核中心</t>
        </is>
      </c>
      <c r="C1041" s="4" t="n">
        <v>109</v>
      </c>
      <c r="D1041" s="10">
        <f>J1040</f>
        <v/>
      </c>
      <c r="E1041" s="4">
        <f>SUMIFS('01_異動主檔'!$F:$F,'01_異動主檔'!$B:$B,109,'01_異動主檔'!$D:$D,B1041,'01_異動主檔'!$E:$E,"移入")</f>
        <v/>
      </c>
      <c r="F1041" s="4">
        <f>-SUMIFS('01_異動主檔'!$F:$F,'01_異動主檔'!$B:$B,109,'01_異動主檔'!$D:$D,B1041,'01_異動主檔'!$E:$E,"移出")</f>
        <v/>
      </c>
      <c r="G1041" s="4">
        <f>SUMIFS('01_異動主檔'!$F:$F,'01_異動主檔'!$B:$B,109,'01_異動主檔'!$D:$D,B1041,'01_異動主檔'!$E:$E,"新增")</f>
        <v/>
      </c>
      <c r="H1041" s="4">
        <f>-SUMIFS('01_異動主檔'!$F:$F,'01_異動主檔'!$B:$B,109,'01_異動主檔'!$D:$D,B1041,'01_異動主檔'!$E:$E,"減列")</f>
        <v/>
      </c>
      <c r="I1041" s="4">
        <f>-SUMIFS('01_異動主檔'!$F:$F,'01_異動主檔'!$B:$B,109,'01_異動主檔'!$D:$D,B1041,'01_異動主檔'!$E:$E,"精簡")</f>
        <v/>
      </c>
      <c r="J1041" s="10">
        <f>D1041+E1041+F1041+G1041+H1041+I1041</f>
        <v/>
      </c>
    </row>
    <row r="1042" ht="18" customHeight="1">
      <c r="A1042" s="6" t="inlineStr">
        <is>
          <t>E007</t>
        </is>
      </c>
      <c r="B1042" s="5" t="inlineStr">
        <is>
          <t>稽核中心</t>
        </is>
      </c>
      <c r="C1042" s="6" t="n">
        <v>110</v>
      </c>
      <c r="D1042" s="10">
        <f>J1041</f>
        <v/>
      </c>
      <c r="E1042" s="4">
        <f>SUMIFS('01_異動主檔'!$F:$F,'01_異動主檔'!$B:$B,110,'01_異動主檔'!$D:$D,B1042,'01_異動主檔'!$E:$E,"移入")</f>
        <v/>
      </c>
      <c r="F1042" s="4">
        <f>-SUMIFS('01_異動主檔'!$F:$F,'01_異動主檔'!$B:$B,110,'01_異動主檔'!$D:$D,B1042,'01_異動主檔'!$E:$E,"移出")</f>
        <v/>
      </c>
      <c r="G1042" s="4">
        <f>SUMIFS('01_異動主檔'!$F:$F,'01_異動主檔'!$B:$B,110,'01_異動主檔'!$D:$D,B1042,'01_異動主檔'!$E:$E,"新增")</f>
        <v/>
      </c>
      <c r="H1042" s="4">
        <f>-SUMIFS('01_異動主檔'!$F:$F,'01_異動主檔'!$B:$B,110,'01_異動主檔'!$D:$D,B1042,'01_異動主檔'!$E:$E,"減列")</f>
        <v/>
      </c>
      <c r="I1042" s="4">
        <f>-SUMIFS('01_異動主檔'!$F:$F,'01_異動主檔'!$B:$B,110,'01_異動主檔'!$D:$D,B1042,'01_異動主檔'!$E:$E,"精簡")</f>
        <v/>
      </c>
      <c r="J1042" s="10">
        <f>D1042+E1042+F1042+G1042+H1042+I1042</f>
        <v/>
      </c>
    </row>
    <row r="1043" ht="18" customHeight="1">
      <c r="A1043" s="4" t="inlineStr">
        <is>
          <t>E007</t>
        </is>
      </c>
      <c r="B1043" s="3" t="inlineStr">
        <is>
          <t>稽核中心</t>
        </is>
      </c>
      <c r="C1043" s="4" t="n">
        <v>111</v>
      </c>
      <c r="D1043" s="10">
        <f>J1042</f>
        <v/>
      </c>
      <c r="E1043" s="4">
        <f>SUMIFS('01_異動主檔'!$F:$F,'01_異動主檔'!$B:$B,111,'01_異動主檔'!$D:$D,B1043,'01_異動主檔'!$E:$E,"移入")</f>
        <v/>
      </c>
      <c r="F1043" s="4">
        <f>-SUMIFS('01_異動主檔'!$F:$F,'01_異動主檔'!$B:$B,111,'01_異動主檔'!$D:$D,B1043,'01_異動主檔'!$E:$E,"移出")</f>
        <v/>
      </c>
      <c r="G1043" s="4">
        <f>SUMIFS('01_異動主檔'!$F:$F,'01_異動主檔'!$B:$B,111,'01_異動主檔'!$D:$D,B1043,'01_異動主檔'!$E:$E,"新增")</f>
        <v/>
      </c>
      <c r="H1043" s="4">
        <f>-SUMIFS('01_異動主檔'!$F:$F,'01_異動主檔'!$B:$B,111,'01_異動主檔'!$D:$D,B1043,'01_異動主檔'!$E:$E,"減列")</f>
        <v/>
      </c>
      <c r="I1043" s="4">
        <f>-SUMIFS('01_異動主檔'!$F:$F,'01_異動主檔'!$B:$B,111,'01_異動主檔'!$D:$D,B1043,'01_異動主檔'!$E:$E,"精簡")</f>
        <v/>
      </c>
      <c r="J1043" s="10">
        <f>D1043+E1043+F1043+G1043+H1043+I1043</f>
        <v/>
      </c>
    </row>
    <row r="1044" ht="18" customHeight="1">
      <c r="A1044" s="6" t="inlineStr">
        <is>
          <t>E007</t>
        </is>
      </c>
      <c r="B1044" s="5" t="inlineStr">
        <is>
          <t>稽核中心</t>
        </is>
      </c>
      <c r="C1044" s="6" t="n">
        <v>112</v>
      </c>
      <c r="D1044" s="10">
        <f>J1043</f>
        <v/>
      </c>
      <c r="E1044" s="4">
        <f>SUMIFS('01_異動主檔'!$F:$F,'01_異動主檔'!$B:$B,112,'01_異動主檔'!$D:$D,B1044,'01_異動主檔'!$E:$E,"移入")</f>
        <v/>
      </c>
      <c r="F1044" s="4">
        <f>-SUMIFS('01_異動主檔'!$F:$F,'01_異動主檔'!$B:$B,112,'01_異動主檔'!$D:$D,B1044,'01_異動主檔'!$E:$E,"移出")</f>
        <v/>
      </c>
      <c r="G1044" s="4">
        <f>SUMIFS('01_異動主檔'!$F:$F,'01_異動主檔'!$B:$B,112,'01_異動主檔'!$D:$D,B1044,'01_異動主檔'!$E:$E,"新增")</f>
        <v/>
      </c>
      <c r="H1044" s="4">
        <f>-SUMIFS('01_異動主檔'!$F:$F,'01_異動主檔'!$B:$B,112,'01_異動主檔'!$D:$D,B1044,'01_異動主檔'!$E:$E,"減列")</f>
        <v/>
      </c>
      <c r="I1044" s="4">
        <f>-SUMIFS('01_異動主檔'!$F:$F,'01_異動主檔'!$B:$B,112,'01_異動主檔'!$D:$D,B1044,'01_異動主檔'!$E:$E,"精簡")</f>
        <v/>
      </c>
      <c r="J1044" s="10">
        <f>D1044+E1044+F1044+G1044+H1044+I1044</f>
        <v/>
      </c>
    </row>
    <row r="1045" ht="18" customHeight="1">
      <c r="A1045" s="4" t="inlineStr">
        <is>
          <t>E007</t>
        </is>
      </c>
      <c r="B1045" s="3" t="inlineStr">
        <is>
          <t>稽核中心</t>
        </is>
      </c>
      <c r="C1045" s="4" t="n">
        <v>113</v>
      </c>
      <c r="D1045" s="10">
        <f>J1044</f>
        <v/>
      </c>
      <c r="E1045" s="4">
        <f>SUMIFS('01_異動主檔'!$F:$F,'01_異動主檔'!$B:$B,113,'01_異動主檔'!$D:$D,B1045,'01_異動主檔'!$E:$E,"移入")</f>
        <v/>
      </c>
      <c r="F1045" s="4">
        <f>-SUMIFS('01_異動主檔'!$F:$F,'01_異動主檔'!$B:$B,113,'01_異動主檔'!$D:$D,B1045,'01_異動主檔'!$E:$E,"移出")</f>
        <v/>
      </c>
      <c r="G1045" s="4">
        <f>SUMIFS('01_異動主檔'!$F:$F,'01_異動主檔'!$B:$B,113,'01_異動主檔'!$D:$D,B1045,'01_異動主檔'!$E:$E,"新增")</f>
        <v/>
      </c>
      <c r="H1045" s="4">
        <f>-SUMIFS('01_異動主檔'!$F:$F,'01_異動主檔'!$B:$B,113,'01_異動主檔'!$D:$D,B1045,'01_異動主檔'!$E:$E,"減列")</f>
        <v/>
      </c>
      <c r="I1045" s="4">
        <f>-SUMIFS('01_異動主檔'!$F:$F,'01_異動主檔'!$B:$B,113,'01_異動主檔'!$D:$D,B1045,'01_異動主檔'!$E:$E,"精簡")</f>
        <v/>
      </c>
      <c r="J1045" s="10">
        <f>D1045+E1045+F1045+G1045+H1045+I1045</f>
        <v/>
      </c>
    </row>
    <row r="1046" ht="18" customHeight="1">
      <c r="A1046" s="6" t="inlineStr">
        <is>
          <t>E007</t>
        </is>
      </c>
      <c r="B1046" s="5" t="inlineStr">
        <is>
          <t>稽核中心</t>
        </is>
      </c>
      <c r="C1046" s="6" t="n">
        <v>114</v>
      </c>
      <c r="D1046" s="10">
        <f>J1045</f>
        <v/>
      </c>
      <c r="E1046" s="4">
        <f>SUMIFS('01_異動主檔'!$F:$F,'01_異動主檔'!$B:$B,114,'01_異動主檔'!$D:$D,B1046,'01_異動主檔'!$E:$E,"移入")</f>
        <v/>
      </c>
      <c r="F1046" s="4">
        <f>-SUMIFS('01_異動主檔'!$F:$F,'01_異動主檔'!$B:$B,114,'01_異動主檔'!$D:$D,B1046,'01_異動主檔'!$E:$E,"移出")</f>
        <v/>
      </c>
      <c r="G1046" s="4">
        <f>SUMIFS('01_異動主檔'!$F:$F,'01_異動主檔'!$B:$B,114,'01_異動主檔'!$D:$D,B1046,'01_異動主檔'!$E:$E,"新增")</f>
        <v/>
      </c>
      <c r="H1046" s="4">
        <f>-SUMIFS('01_異動主檔'!$F:$F,'01_異動主檔'!$B:$B,114,'01_異動主檔'!$D:$D,B1046,'01_異動主檔'!$E:$E,"減列")</f>
        <v/>
      </c>
      <c r="I1046" s="4">
        <f>-SUMIFS('01_異動主檔'!$F:$F,'01_異動主檔'!$B:$B,114,'01_異動主檔'!$D:$D,B1046,'01_異動主檔'!$E:$E,"精簡")</f>
        <v/>
      </c>
      <c r="J1046" s="10">
        <f>D1046+E1046+F1046+G1046+H1046+I1046</f>
        <v/>
      </c>
    </row>
    <row r="1047" ht="18" customHeight="1">
      <c r="A1047" s="4" t="inlineStr">
        <is>
          <t>E007</t>
        </is>
      </c>
      <c r="B1047" s="3" t="inlineStr">
        <is>
          <t>稽核中心</t>
        </is>
      </c>
      <c r="C1047" s="4" t="n">
        <v>115</v>
      </c>
      <c r="D1047" s="10">
        <f>J1046</f>
        <v/>
      </c>
      <c r="E1047" s="4">
        <f>SUMIFS('01_異動主檔'!$F:$F,'01_異動主檔'!$B:$B,115,'01_異動主檔'!$D:$D,B1047,'01_異動主檔'!$E:$E,"移入")</f>
        <v/>
      </c>
      <c r="F1047" s="4">
        <f>-SUMIFS('01_異動主檔'!$F:$F,'01_異動主檔'!$B:$B,115,'01_異動主檔'!$D:$D,B1047,'01_異動主檔'!$E:$E,"移出")</f>
        <v/>
      </c>
      <c r="G1047" s="4">
        <f>SUMIFS('01_異動主檔'!$F:$F,'01_異動主檔'!$B:$B,115,'01_異動主檔'!$D:$D,B1047,'01_異動主檔'!$E:$E,"新增")</f>
        <v/>
      </c>
      <c r="H1047" s="4">
        <f>-SUMIFS('01_異動主檔'!$F:$F,'01_異動主檔'!$B:$B,115,'01_異動主檔'!$D:$D,B1047,'01_異動主檔'!$E:$E,"減列")</f>
        <v/>
      </c>
      <c r="I1047" s="4">
        <f>-SUMIFS('01_異動主檔'!$F:$F,'01_異動主檔'!$B:$B,115,'01_異動主檔'!$D:$D,B1047,'01_異動主檔'!$E:$E,"精簡")</f>
        <v/>
      </c>
      <c r="J1047" s="10">
        <f>D1047+E1047+F1047+G1047+H1047+I1047</f>
        <v/>
      </c>
    </row>
    <row r="1048" ht="18" customHeight="1">
      <c r="A1048" s="6" t="inlineStr">
        <is>
          <t>E007</t>
        </is>
      </c>
      <c r="B1048" s="5" t="inlineStr">
        <is>
          <t>稽核中心</t>
        </is>
      </c>
      <c r="C1048" s="6" t="n">
        <v>116</v>
      </c>
      <c r="D1048" s="10">
        <f>J1047</f>
        <v/>
      </c>
      <c r="E1048" s="4">
        <f>SUMIFS('01_異動主檔'!$F:$F,'01_異動主檔'!$B:$B,116,'01_異動主檔'!$D:$D,B1048,'01_異動主檔'!$E:$E,"移入")</f>
        <v/>
      </c>
      <c r="F1048" s="4">
        <f>-SUMIFS('01_異動主檔'!$F:$F,'01_異動主檔'!$B:$B,116,'01_異動主檔'!$D:$D,B1048,'01_異動主檔'!$E:$E,"移出")</f>
        <v/>
      </c>
      <c r="G1048" s="4">
        <f>SUMIFS('01_異動主檔'!$F:$F,'01_異動主檔'!$B:$B,116,'01_異動主檔'!$D:$D,B1048,'01_異動主檔'!$E:$E,"新增")</f>
        <v/>
      </c>
      <c r="H1048" s="4">
        <f>-SUMIFS('01_異動主檔'!$F:$F,'01_異動主檔'!$B:$B,116,'01_異動主檔'!$D:$D,B1048,'01_異動主檔'!$E:$E,"減列")</f>
        <v/>
      </c>
      <c r="I1048" s="4">
        <f>-SUMIFS('01_異動主檔'!$F:$F,'01_異動主檔'!$B:$B,116,'01_異動主檔'!$D:$D,B1048,'01_異動主檔'!$E:$E,"精簡")</f>
        <v/>
      </c>
      <c r="J1048" s="10">
        <f>D1048+E1048+F1048+G1048+H1048+I1048</f>
        <v/>
      </c>
    </row>
    <row r="1049" ht="18" customHeight="1">
      <c r="A1049" s="4" t="inlineStr">
        <is>
          <t>E007</t>
        </is>
      </c>
      <c r="B1049" s="3" t="inlineStr">
        <is>
          <t>稽核中心</t>
        </is>
      </c>
      <c r="C1049" s="4" t="n">
        <v>117</v>
      </c>
      <c r="D1049" s="10">
        <f>J1048</f>
        <v/>
      </c>
      <c r="E1049" s="4">
        <f>SUMIFS('01_異動主檔'!$F:$F,'01_異動主檔'!$B:$B,117,'01_異動主檔'!$D:$D,B1049,'01_異動主檔'!$E:$E,"移入")</f>
        <v/>
      </c>
      <c r="F1049" s="4">
        <f>-SUMIFS('01_異動主檔'!$F:$F,'01_異動主檔'!$B:$B,117,'01_異動主檔'!$D:$D,B1049,'01_異動主檔'!$E:$E,"移出")</f>
        <v/>
      </c>
      <c r="G1049" s="4">
        <f>SUMIFS('01_異動主檔'!$F:$F,'01_異動主檔'!$B:$B,117,'01_異動主檔'!$D:$D,B1049,'01_異動主檔'!$E:$E,"新增")</f>
        <v/>
      </c>
      <c r="H1049" s="4">
        <f>-SUMIFS('01_異動主檔'!$F:$F,'01_異動主檔'!$B:$B,117,'01_異動主檔'!$D:$D,B1049,'01_異動主檔'!$E:$E,"減列")</f>
        <v/>
      </c>
      <c r="I1049" s="4">
        <f>-SUMIFS('01_異動主檔'!$F:$F,'01_異動主檔'!$B:$B,117,'01_異動主檔'!$D:$D,B1049,'01_異動主檔'!$E:$E,"精簡")</f>
        <v/>
      </c>
      <c r="J1049" s="10">
        <f>D1049+E1049+F1049+G1049+H1049+I1049</f>
        <v/>
      </c>
    </row>
    <row r="1050" ht="18" customHeight="1">
      <c r="A1050" s="6" t="inlineStr">
        <is>
          <t>E007</t>
        </is>
      </c>
      <c r="B1050" s="5" t="inlineStr">
        <is>
          <t>稽核中心</t>
        </is>
      </c>
      <c r="C1050" s="6" t="n">
        <v>118</v>
      </c>
      <c r="D1050" s="10">
        <f>J1049</f>
        <v/>
      </c>
      <c r="E1050" s="4">
        <f>SUMIFS('01_異動主檔'!$F:$F,'01_異動主檔'!$B:$B,118,'01_異動主檔'!$D:$D,B1050,'01_異動主檔'!$E:$E,"移入")</f>
        <v/>
      </c>
      <c r="F1050" s="4">
        <f>-SUMIFS('01_異動主檔'!$F:$F,'01_異動主檔'!$B:$B,118,'01_異動主檔'!$D:$D,B1050,'01_異動主檔'!$E:$E,"移出")</f>
        <v/>
      </c>
      <c r="G1050" s="4">
        <f>SUMIFS('01_異動主檔'!$F:$F,'01_異動主檔'!$B:$B,118,'01_異動主檔'!$D:$D,B1050,'01_異動主檔'!$E:$E,"新增")</f>
        <v/>
      </c>
      <c r="H1050" s="4">
        <f>-SUMIFS('01_異動主檔'!$F:$F,'01_異動主檔'!$B:$B,118,'01_異動主檔'!$D:$D,B1050,'01_異動主檔'!$E:$E,"減列")</f>
        <v/>
      </c>
      <c r="I1050" s="4">
        <f>-SUMIFS('01_異動主檔'!$F:$F,'01_異動主檔'!$B:$B,118,'01_異動主檔'!$D:$D,B1050,'01_異動主檔'!$E:$E,"精簡")</f>
        <v/>
      </c>
      <c r="J1050" s="10">
        <f>D1050+E1050+F1050+G1050+H1050+I1050</f>
        <v/>
      </c>
    </row>
    <row r="1051" ht="18" customHeight="1">
      <c r="A1051" s="4" t="inlineStr">
        <is>
          <t>E007</t>
        </is>
      </c>
      <c r="B1051" s="3" t="inlineStr">
        <is>
          <t>稽核中心</t>
        </is>
      </c>
      <c r="C1051" s="4" t="n">
        <v>119</v>
      </c>
      <c r="D1051" s="10">
        <f>J1050</f>
        <v/>
      </c>
      <c r="E1051" s="4">
        <f>SUMIFS('01_異動主檔'!$F:$F,'01_異動主檔'!$B:$B,119,'01_異動主檔'!$D:$D,B1051,'01_異動主檔'!$E:$E,"移入")</f>
        <v/>
      </c>
      <c r="F1051" s="4">
        <f>-SUMIFS('01_異動主檔'!$F:$F,'01_異動主檔'!$B:$B,119,'01_異動主檔'!$D:$D,B1051,'01_異動主檔'!$E:$E,"移出")</f>
        <v/>
      </c>
      <c r="G1051" s="4">
        <f>SUMIFS('01_異動主檔'!$F:$F,'01_異動主檔'!$B:$B,119,'01_異動主檔'!$D:$D,B1051,'01_異動主檔'!$E:$E,"新增")</f>
        <v/>
      </c>
      <c r="H1051" s="4">
        <f>-SUMIFS('01_異動主檔'!$F:$F,'01_異動主檔'!$B:$B,119,'01_異動主檔'!$D:$D,B1051,'01_異動主檔'!$E:$E,"減列")</f>
        <v/>
      </c>
      <c r="I1051" s="4">
        <f>-SUMIFS('01_異動主檔'!$F:$F,'01_異動主檔'!$B:$B,119,'01_異動主檔'!$D:$D,B1051,'01_異動主檔'!$E:$E,"精簡")</f>
        <v/>
      </c>
      <c r="J1051" s="10">
        <f>D1051+E1051+F1051+G1051+H1051+I1051</f>
        <v/>
      </c>
    </row>
    <row r="1052" ht="18" customHeight="1">
      <c r="A1052" s="6" t="inlineStr">
        <is>
          <t>E007</t>
        </is>
      </c>
      <c r="B1052" s="5" t="inlineStr">
        <is>
          <t>稽核中心</t>
        </is>
      </c>
      <c r="C1052" s="6" t="n">
        <v>120</v>
      </c>
      <c r="D1052" s="10">
        <f>J1051</f>
        <v/>
      </c>
      <c r="E1052" s="4">
        <f>SUMIFS('01_異動主檔'!$F:$F,'01_異動主檔'!$B:$B,120,'01_異動主檔'!$D:$D,B1052,'01_異動主檔'!$E:$E,"移入")</f>
        <v/>
      </c>
      <c r="F1052" s="4">
        <f>-SUMIFS('01_異動主檔'!$F:$F,'01_異動主檔'!$B:$B,120,'01_異動主檔'!$D:$D,B1052,'01_異動主檔'!$E:$E,"移出")</f>
        <v/>
      </c>
      <c r="G1052" s="4">
        <f>SUMIFS('01_異動主檔'!$F:$F,'01_異動主檔'!$B:$B,120,'01_異動主檔'!$D:$D,B1052,'01_異動主檔'!$E:$E,"新增")</f>
        <v/>
      </c>
      <c r="H1052" s="4">
        <f>-SUMIFS('01_異動主檔'!$F:$F,'01_異動主檔'!$B:$B,120,'01_異動主檔'!$D:$D,B1052,'01_異動主檔'!$E:$E,"減列")</f>
        <v/>
      </c>
      <c r="I1052" s="4">
        <f>-SUMIFS('01_異動主檔'!$F:$F,'01_異動主檔'!$B:$B,120,'01_異動主檔'!$D:$D,B1052,'01_異動主檔'!$E:$E,"精簡")</f>
        <v/>
      </c>
      <c r="J1052" s="10">
        <f>D1052+E1052+F1052+G1052+H1052+I1052</f>
        <v/>
      </c>
    </row>
    <row r="1053" ht="18" customHeight="1">
      <c r="A1053" s="4" t="inlineStr">
        <is>
          <t>E007</t>
        </is>
      </c>
      <c r="B1053" s="3" t="inlineStr">
        <is>
          <t>稽核中心</t>
        </is>
      </c>
      <c r="C1053" s="4" t="n">
        <v>121</v>
      </c>
      <c r="D1053" s="10">
        <f>J1052</f>
        <v/>
      </c>
      <c r="E1053" s="4">
        <f>SUMIFS('01_異動主檔'!$F:$F,'01_異動主檔'!$B:$B,121,'01_異動主檔'!$D:$D,B1053,'01_異動主檔'!$E:$E,"移入")</f>
        <v/>
      </c>
      <c r="F1053" s="4">
        <f>-SUMIFS('01_異動主檔'!$F:$F,'01_異動主檔'!$B:$B,121,'01_異動主檔'!$D:$D,B1053,'01_異動主檔'!$E:$E,"移出")</f>
        <v/>
      </c>
      <c r="G1053" s="4">
        <f>SUMIFS('01_異動主檔'!$F:$F,'01_異動主檔'!$B:$B,121,'01_異動主檔'!$D:$D,B1053,'01_異動主檔'!$E:$E,"新增")</f>
        <v/>
      </c>
      <c r="H1053" s="4">
        <f>-SUMIFS('01_異動主檔'!$F:$F,'01_異動主檔'!$B:$B,121,'01_異動主檔'!$D:$D,B1053,'01_異動主檔'!$E:$E,"減列")</f>
        <v/>
      </c>
      <c r="I1053" s="4">
        <f>-SUMIFS('01_異動主檔'!$F:$F,'01_異動主檔'!$B:$B,121,'01_異動主檔'!$D:$D,B1053,'01_異動主檔'!$E:$E,"精簡")</f>
        <v/>
      </c>
      <c r="J1053" s="10">
        <f>D1053+E1053+F1053+G1053+H1053+I1053</f>
        <v/>
      </c>
    </row>
    <row r="1054" ht="18" customHeight="1">
      <c r="A1054" s="6" t="inlineStr">
        <is>
          <t>E007</t>
        </is>
      </c>
      <c r="B1054" s="5" t="inlineStr">
        <is>
          <t>稽核中心</t>
        </is>
      </c>
      <c r="C1054" s="6" t="n">
        <v>122</v>
      </c>
      <c r="D1054" s="10">
        <f>J1053</f>
        <v/>
      </c>
      <c r="E1054" s="4">
        <f>SUMIFS('01_異動主檔'!$F:$F,'01_異動主檔'!$B:$B,122,'01_異動主檔'!$D:$D,B1054,'01_異動主檔'!$E:$E,"移入")</f>
        <v/>
      </c>
      <c r="F1054" s="4">
        <f>-SUMIFS('01_異動主檔'!$F:$F,'01_異動主檔'!$B:$B,122,'01_異動主檔'!$D:$D,B1054,'01_異動主檔'!$E:$E,"移出")</f>
        <v/>
      </c>
      <c r="G1054" s="4">
        <f>SUMIFS('01_異動主檔'!$F:$F,'01_異動主檔'!$B:$B,122,'01_異動主檔'!$D:$D,B1054,'01_異動主檔'!$E:$E,"新增")</f>
        <v/>
      </c>
      <c r="H1054" s="4">
        <f>-SUMIFS('01_異動主檔'!$F:$F,'01_異動主檔'!$B:$B,122,'01_異動主檔'!$D:$D,B1054,'01_異動主檔'!$E:$E,"減列")</f>
        <v/>
      </c>
      <c r="I1054" s="4">
        <f>-SUMIFS('01_異動主檔'!$F:$F,'01_異動主檔'!$B:$B,122,'01_異動主檔'!$D:$D,B1054,'01_異動主檔'!$E:$E,"精簡")</f>
        <v/>
      </c>
      <c r="J1054" s="10">
        <f>D1054+E1054+F1054+G1054+H1054+I1054</f>
        <v/>
      </c>
    </row>
    <row r="1055" ht="18" customHeight="1">
      <c r="A1055" s="4" t="inlineStr">
        <is>
          <t>E007</t>
        </is>
      </c>
      <c r="B1055" s="3" t="inlineStr">
        <is>
          <t>稽核中心</t>
        </is>
      </c>
      <c r="C1055" s="4" t="n">
        <v>123</v>
      </c>
      <c r="D1055" s="10">
        <f>J1054</f>
        <v/>
      </c>
      <c r="E1055" s="4">
        <f>SUMIFS('01_異動主檔'!$F:$F,'01_異動主檔'!$B:$B,123,'01_異動主檔'!$D:$D,B1055,'01_異動主檔'!$E:$E,"移入")</f>
        <v/>
      </c>
      <c r="F1055" s="4">
        <f>-SUMIFS('01_異動主檔'!$F:$F,'01_異動主檔'!$B:$B,123,'01_異動主檔'!$D:$D,B1055,'01_異動主檔'!$E:$E,"移出")</f>
        <v/>
      </c>
      <c r="G1055" s="4">
        <f>SUMIFS('01_異動主檔'!$F:$F,'01_異動主檔'!$B:$B,123,'01_異動主檔'!$D:$D,B1055,'01_異動主檔'!$E:$E,"新增")</f>
        <v/>
      </c>
      <c r="H1055" s="4">
        <f>-SUMIFS('01_異動主檔'!$F:$F,'01_異動主檔'!$B:$B,123,'01_異動主檔'!$D:$D,B1055,'01_異動主檔'!$E:$E,"減列")</f>
        <v/>
      </c>
      <c r="I1055" s="4">
        <f>-SUMIFS('01_異動主檔'!$F:$F,'01_異動主檔'!$B:$B,123,'01_異動主檔'!$D:$D,B1055,'01_異動主檔'!$E:$E,"精簡")</f>
        <v/>
      </c>
      <c r="J1055" s="10">
        <f>D1055+E1055+F1055+G1055+H1055+I1055</f>
        <v/>
      </c>
    </row>
    <row r="1056" ht="18" customHeight="1">
      <c r="A1056" s="6" t="inlineStr">
        <is>
          <t>E007</t>
        </is>
      </c>
      <c r="B1056" s="5" t="inlineStr">
        <is>
          <t>稽核中心</t>
        </is>
      </c>
      <c r="C1056" s="6" t="n">
        <v>124</v>
      </c>
      <c r="D1056" s="10">
        <f>J1055</f>
        <v/>
      </c>
      <c r="E1056" s="4">
        <f>SUMIFS('01_異動主檔'!$F:$F,'01_異動主檔'!$B:$B,124,'01_異動主檔'!$D:$D,B1056,'01_異動主檔'!$E:$E,"移入")</f>
        <v/>
      </c>
      <c r="F1056" s="4">
        <f>-SUMIFS('01_異動主檔'!$F:$F,'01_異動主檔'!$B:$B,124,'01_異動主檔'!$D:$D,B1056,'01_異動主檔'!$E:$E,"移出")</f>
        <v/>
      </c>
      <c r="G1056" s="4">
        <f>SUMIFS('01_異動主檔'!$F:$F,'01_異動主檔'!$B:$B,124,'01_異動主檔'!$D:$D,B1056,'01_異動主檔'!$E:$E,"新增")</f>
        <v/>
      </c>
      <c r="H1056" s="4">
        <f>-SUMIFS('01_異動主檔'!$F:$F,'01_異動主檔'!$B:$B,124,'01_異動主檔'!$D:$D,B1056,'01_異動主檔'!$E:$E,"減列")</f>
        <v/>
      </c>
      <c r="I1056" s="4">
        <f>-SUMIFS('01_異動主檔'!$F:$F,'01_異動主檔'!$B:$B,124,'01_異動主檔'!$D:$D,B1056,'01_異動主檔'!$E:$E,"精簡")</f>
        <v/>
      </c>
      <c r="J1056" s="10">
        <f>D1056+E1056+F1056+G1056+H1056+I1056</f>
        <v/>
      </c>
    </row>
    <row r="1057" ht="18" customHeight="1">
      <c r="A1057" s="4" t="inlineStr">
        <is>
          <t>E007</t>
        </is>
      </c>
      <c r="B1057" s="3" t="inlineStr">
        <is>
          <t>稽核中心</t>
        </is>
      </c>
      <c r="C1057" s="4" t="n">
        <v>125</v>
      </c>
      <c r="D1057" s="10">
        <f>J1056</f>
        <v/>
      </c>
      <c r="E1057" s="4">
        <f>SUMIFS('01_異動主檔'!$F:$F,'01_異動主檔'!$B:$B,125,'01_異動主檔'!$D:$D,B1057,'01_異動主檔'!$E:$E,"移入")</f>
        <v/>
      </c>
      <c r="F1057" s="4">
        <f>-SUMIFS('01_異動主檔'!$F:$F,'01_異動主檔'!$B:$B,125,'01_異動主檔'!$D:$D,B1057,'01_異動主檔'!$E:$E,"移出")</f>
        <v/>
      </c>
      <c r="G1057" s="4">
        <f>SUMIFS('01_異動主檔'!$F:$F,'01_異動主檔'!$B:$B,125,'01_異動主檔'!$D:$D,B1057,'01_異動主檔'!$E:$E,"新增")</f>
        <v/>
      </c>
      <c r="H1057" s="4">
        <f>-SUMIFS('01_異動主檔'!$F:$F,'01_異動主檔'!$B:$B,125,'01_異動主檔'!$D:$D,B1057,'01_異動主檔'!$E:$E,"減列")</f>
        <v/>
      </c>
      <c r="I1057" s="4">
        <f>-SUMIFS('01_異動主檔'!$F:$F,'01_異動主檔'!$B:$B,125,'01_異動主檔'!$D:$D,B1057,'01_異動主檔'!$E:$E,"精簡")</f>
        <v/>
      </c>
      <c r="J1057" s="10">
        <f>D1057+E1057+F1057+G1057+H1057+I1057</f>
        <v/>
      </c>
    </row>
    <row r="1058" ht="18" customHeight="1">
      <c r="A1058" s="6" t="inlineStr">
        <is>
          <t>E008</t>
        </is>
      </c>
      <c r="B1058" s="5" t="inlineStr">
        <is>
          <t>協調中心</t>
        </is>
      </c>
      <c r="C1058" s="6" t="n">
        <v>99</v>
      </c>
      <c r="D1058" s="10">
        <f>'02_年初員額設定'!C44</f>
        <v/>
      </c>
      <c r="E1058" s="4">
        <f>SUMIFS('01_異動主檔'!$F:$F,'01_異動主檔'!$B:$B,99,'01_異動主檔'!$D:$D,B1058,'01_異動主檔'!$E:$E,"移入")</f>
        <v/>
      </c>
      <c r="F1058" s="4">
        <f>-SUMIFS('01_異動主檔'!$F:$F,'01_異動主檔'!$B:$B,99,'01_異動主檔'!$D:$D,B1058,'01_異動主檔'!$E:$E,"移出")</f>
        <v/>
      </c>
      <c r="G1058" s="4">
        <f>SUMIFS('01_異動主檔'!$F:$F,'01_異動主檔'!$B:$B,99,'01_異動主檔'!$D:$D,B1058,'01_異動主檔'!$E:$E,"新增")</f>
        <v/>
      </c>
      <c r="H1058" s="4">
        <f>-SUMIFS('01_異動主檔'!$F:$F,'01_異動主檔'!$B:$B,99,'01_異動主檔'!$D:$D,B1058,'01_異動主檔'!$E:$E,"減列")</f>
        <v/>
      </c>
      <c r="I1058" s="4">
        <f>-SUMIFS('01_異動主檔'!$F:$F,'01_異動主檔'!$B:$B,99,'01_異動主檔'!$D:$D,B1058,'01_異動主檔'!$E:$E,"精簡")</f>
        <v/>
      </c>
      <c r="J1058" s="10">
        <f>D1058+E1058+F1058+G1058+H1058+I1058</f>
        <v/>
      </c>
    </row>
    <row r="1059" ht="18" customHeight="1">
      <c r="A1059" s="4" t="inlineStr">
        <is>
          <t>E008</t>
        </is>
      </c>
      <c r="B1059" s="3" t="inlineStr">
        <is>
          <t>協調中心</t>
        </is>
      </c>
      <c r="C1059" s="4" t="n">
        <v>100</v>
      </c>
      <c r="D1059" s="10">
        <f>J1058</f>
        <v/>
      </c>
      <c r="E1059" s="4">
        <f>SUMIFS('01_異動主檔'!$F:$F,'01_異動主檔'!$B:$B,100,'01_異動主檔'!$D:$D,B1059,'01_異動主檔'!$E:$E,"移入")</f>
        <v/>
      </c>
      <c r="F1059" s="4">
        <f>-SUMIFS('01_異動主檔'!$F:$F,'01_異動主檔'!$B:$B,100,'01_異動主檔'!$D:$D,B1059,'01_異動主檔'!$E:$E,"移出")</f>
        <v/>
      </c>
      <c r="G1059" s="4">
        <f>SUMIFS('01_異動主檔'!$F:$F,'01_異動主檔'!$B:$B,100,'01_異動主檔'!$D:$D,B1059,'01_異動主檔'!$E:$E,"新增")</f>
        <v/>
      </c>
      <c r="H1059" s="4">
        <f>-SUMIFS('01_異動主檔'!$F:$F,'01_異動主檔'!$B:$B,100,'01_異動主檔'!$D:$D,B1059,'01_異動主檔'!$E:$E,"減列")</f>
        <v/>
      </c>
      <c r="I1059" s="4">
        <f>-SUMIFS('01_異動主檔'!$F:$F,'01_異動主檔'!$B:$B,100,'01_異動主檔'!$D:$D,B1059,'01_異動主檔'!$E:$E,"精簡")</f>
        <v/>
      </c>
      <c r="J1059" s="10">
        <f>D1059+E1059+F1059+G1059+H1059+I1059</f>
        <v/>
      </c>
    </row>
    <row r="1060" ht="18" customHeight="1">
      <c r="A1060" s="6" t="inlineStr">
        <is>
          <t>E008</t>
        </is>
      </c>
      <c r="B1060" s="5" t="inlineStr">
        <is>
          <t>協調中心</t>
        </is>
      </c>
      <c r="C1060" s="6" t="n">
        <v>101</v>
      </c>
      <c r="D1060" s="10">
        <f>J1059</f>
        <v/>
      </c>
      <c r="E1060" s="4">
        <f>SUMIFS('01_異動主檔'!$F:$F,'01_異動主檔'!$B:$B,101,'01_異動主檔'!$D:$D,B1060,'01_異動主檔'!$E:$E,"移入")</f>
        <v/>
      </c>
      <c r="F1060" s="4">
        <f>-SUMIFS('01_異動主檔'!$F:$F,'01_異動主檔'!$B:$B,101,'01_異動主檔'!$D:$D,B1060,'01_異動主檔'!$E:$E,"移出")</f>
        <v/>
      </c>
      <c r="G1060" s="4">
        <f>SUMIFS('01_異動主檔'!$F:$F,'01_異動主檔'!$B:$B,101,'01_異動主檔'!$D:$D,B1060,'01_異動主檔'!$E:$E,"新增")</f>
        <v/>
      </c>
      <c r="H1060" s="4">
        <f>-SUMIFS('01_異動主檔'!$F:$F,'01_異動主檔'!$B:$B,101,'01_異動主檔'!$D:$D,B1060,'01_異動主檔'!$E:$E,"減列")</f>
        <v/>
      </c>
      <c r="I1060" s="4">
        <f>-SUMIFS('01_異動主檔'!$F:$F,'01_異動主檔'!$B:$B,101,'01_異動主檔'!$D:$D,B1060,'01_異動主檔'!$E:$E,"精簡")</f>
        <v/>
      </c>
      <c r="J1060" s="10">
        <f>D1060+E1060+F1060+G1060+H1060+I1060</f>
        <v/>
      </c>
    </row>
    <row r="1061" ht="18" customHeight="1">
      <c r="A1061" s="4" t="inlineStr">
        <is>
          <t>E008</t>
        </is>
      </c>
      <c r="B1061" s="3" t="inlineStr">
        <is>
          <t>協調中心</t>
        </is>
      </c>
      <c r="C1061" s="4" t="n">
        <v>102</v>
      </c>
      <c r="D1061" s="10">
        <f>J1060</f>
        <v/>
      </c>
      <c r="E1061" s="4">
        <f>SUMIFS('01_異動主檔'!$F:$F,'01_異動主檔'!$B:$B,102,'01_異動主檔'!$D:$D,B1061,'01_異動主檔'!$E:$E,"移入")</f>
        <v/>
      </c>
      <c r="F1061" s="4">
        <f>-SUMIFS('01_異動主檔'!$F:$F,'01_異動主檔'!$B:$B,102,'01_異動主檔'!$D:$D,B1061,'01_異動主檔'!$E:$E,"移出")</f>
        <v/>
      </c>
      <c r="G1061" s="4">
        <f>SUMIFS('01_異動主檔'!$F:$F,'01_異動主檔'!$B:$B,102,'01_異動主檔'!$D:$D,B1061,'01_異動主檔'!$E:$E,"新增")</f>
        <v/>
      </c>
      <c r="H1061" s="4">
        <f>-SUMIFS('01_異動主檔'!$F:$F,'01_異動主檔'!$B:$B,102,'01_異動主檔'!$D:$D,B1061,'01_異動主檔'!$E:$E,"減列")</f>
        <v/>
      </c>
      <c r="I1061" s="4">
        <f>-SUMIFS('01_異動主檔'!$F:$F,'01_異動主檔'!$B:$B,102,'01_異動主檔'!$D:$D,B1061,'01_異動主檔'!$E:$E,"精簡")</f>
        <v/>
      </c>
      <c r="J1061" s="10">
        <f>D1061+E1061+F1061+G1061+H1061+I1061</f>
        <v/>
      </c>
    </row>
    <row r="1062" ht="18" customHeight="1">
      <c r="A1062" s="6" t="inlineStr">
        <is>
          <t>E008</t>
        </is>
      </c>
      <c r="B1062" s="5" t="inlineStr">
        <is>
          <t>協調中心</t>
        </is>
      </c>
      <c r="C1062" s="6" t="n">
        <v>103</v>
      </c>
      <c r="D1062" s="10">
        <f>J1061</f>
        <v/>
      </c>
      <c r="E1062" s="4">
        <f>SUMIFS('01_異動主檔'!$F:$F,'01_異動主檔'!$B:$B,103,'01_異動主檔'!$D:$D,B1062,'01_異動主檔'!$E:$E,"移入")</f>
        <v/>
      </c>
      <c r="F1062" s="4">
        <f>-SUMIFS('01_異動主檔'!$F:$F,'01_異動主檔'!$B:$B,103,'01_異動主檔'!$D:$D,B1062,'01_異動主檔'!$E:$E,"移出")</f>
        <v/>
      </c>
      <c r="G1062" s="4">
        <f>SUMIFS('01_異動主檔'!$F:$F,'01_異動主檔'!$B:$B,103,'01_異動主檔'!$D:$D,B1062,'01_異動主檔'!$E:$E,"新增")</f>
        <v/>
      </c>
      <c r="H1062" s="4">
        <f>-SUMIFS('01_異動主檔'!$F:$F,'01_異動主檔'!$B:$B,103,'01_異動主檔'!$D:$D,B1062,'01_異動主檔'!$E:$E,"減列")</f>
        <v/>
      </c>
      <c r="I1062" s="4">
        <f>-SUMIFS('01_異動主檔'!$F:$F,'01_異動主檔'!$B:$B,103,'01_異動主檔'!$D:$D,B1062,'01_異動主檔'!$E:$E,"精簡")</f>
        <v/>
      </c>
      <c r="J1062" s="10">
        <f>D1062+E1062+F1062+G1062+H1062+I1062</f>
        <v/>
      </c>
    </row>
    <row r="1063" ht="18" customHeight="1">
      <c r="A1063" s="4" t="inlineStr">
        <is>
          <t>E008</t>
        </is>
      </c>
      <c r="B1063" s="3" t="inlineStr">
        <is>
          <t>協調中心</t>
        </is>
      </c>
      <c r="C1063" s="4" t="n">
        <v>104</v>
      </c>
      <c r="D1063" s="10">
        <f>J1062</f>
        <v/>
      </c>
      <c r="E1063" s="4">
        <f>SUMIFS('01_異動主檔'!$F:$F,'01_異動主檔'!$B:$B,104,'01_異動主檔'!$D:$D,B1063,'01_異動主檔'!$E:$E,"移入")</f>
        <v/>
      </c>
      <c r="F1063" s="4">
        <f>-SUMIFS('01_異動主檔'!$F:$F,'01_異動主檔'!$B:$B,104,'01_異動主檔'!$D:$D,B1063,'01_異動主檔'!$E:$E,"移出")</f>
        <v/>
      </c>
      <c r="G1063" s="4">
        <f>SUMIFS('01_異動主檔'!$F:$F,'01_異動主檔'!$B:$B,104,'01_異動主檔'!$D:$D,B1063,'01_異動主檔'!$E:$E,"新增")</f>
        <v/>
      </c>
      <c r="H1063" s="4">
        <f>-SUMIFS('01_異動主檔'!$F:$F,'01_異動主檔'!$B:$B,104,'01_異動主檔'!$D:$D,B1063,'01_異動主檔'!$E:$E,"減列")</f>
        <v/>
      </c>
      <c r="I1063" s="4">
        <f>-SUMIFS('01_異動主檔'!$F:$F,'01_異動主檔'!$B:$B,104,'01_異動主檔'!$D:$D,B1063,'01_異動主檔'!$E:$E,"精簡")</f>
        <v/>
      </c>
      <c r="J1063" s="10">
        <f>D1063+E1063+F1063+G1063+H1063+I1063</f>
        <v/>
      </c>
    </row>
    <row r="1064" ht="18" customHeight="1">
      <c r="A1064" s="6" t="inlineStr">
        <is>
          <t>E008</t>
        </is>
      </c>
      <c r="B1064" s="5" t="inlineStr">
        <is>
          <t>協調中心</t>
        </is>
      </c>
      <c r="C1064" s="6" t="n">
        <v>105</v>
      </c>
      <c r="D1064" s="10">
        <f>J1063</f>
        <v/>
      </c>
      <c r="E1064" s="4">
        <f>SUMIFS('01_異動主檔'!$F:$F,'01_異動主檔'!$B:$B,105,'01_異動主檔'!$D:$D,B1064,'01_異動主檔'!$E:$E,"移入")</f>
        <v/>
      </c>
      <c r="F1064" s="4">
        <f>-SUMIFS('01_異動主檔'!$F:$F,'01_異動主檔'!$B:$B,105,'01_異動主檔'!$D:$D,B1064,'01_異動主檔'!$E:$E,"移出")</f>
        <v/>
      </c>
      <c r="G1064" s="4">
        <f>SUMIFS('01_異動主檔'!$F:$F,'01_異動主檔'!$B:$B,105,'01_異動主檔'!$D:$D,B1064,'01_異動主檔'!$E:$E,"新增")</f>
        <v/>
      </c>
      <c r="H1064" s="4">
        <f>-SUMIFS('01_異動主檔'!$F:$F,'01_異動主檔'!$B:$B,105,'01_異動主檔'!$D:$D,B1064,'01_異動主檔'!$E:$E,"減列")</f>
        <v/>
      </c>
      <c r="I1064" s="4">
        <f>-SUMIFS('01_異動主檔'!$F:$F,'01_異動主檔'!$B:$B,105,'01_異動主檔'!$D:$D,B1064,'01_異動主檔'!$E:$E,"精簡")</f>
        <v/>
      </c>
      <c r="J1064" s="10">
        <f>D1064+E1064+F1064+G1064+H1064+I1064</f>
        <v/>
      </c>
    </row>
    <row r="1065" ht="18" customHeight="1">
      <c r="A1065" s="4" t="inlineStr">
        <is>
          <t>E008</t>
        </is>
      </c>
      <c r="B1065" s="3" t="inlineStr">
        <is>
          <t>協調中心</t>
        </is>
      </c>
      <c r="C1065" s="4" t="n">
        <v>106</v>
      </c>
      <c r="D1065" s="10">
        <f>J1064</f>
        <v/>
      </c>
      <c r="E1065" s="4">
        <f>SUMIFS('01_異動主檔'!$F:$F,'01_異動主檔'!$B:$B,106,'01_異動主檔'!$D:$D,B1065,'01_異動主檔'!$E:$E,"移入")</f>
        <v/>
      </c>
      <c r="F1065" s="4">
        <f>-SUMIFS('01_異動主檔'!$F:$F,'01_異動主檔'!$B:$B,106,'01_異動主檔'!$D:$D,B1065,'01_異動主檔'!$E:$E,"移出")</f>
        <v/>
      </c>
      <c r="G1065" s="4">
        <f>SUMIFS('01_異動主檔'!$F:$F,'01_異動主檔'!$B:$B,106,'01_異動主檔'!$D:$D,B1065,'01_異動主檔'!$E:$E,"新增")</f>
        <v/>
      </c>
      <c r="H1065" s="4">
        <f>-SUMIFS('01_異動主檔'!$F:$F,'01_異動主檔'!$B:$B,106,'01_異動主檔'!$D:$D,B1065,'01_異動主檔'!$E:$E,"減列")</f>
        <v/>
      </c>
      <c r="I1065" s="4">
        <f>-SUMIFS('01_異動主檔'!$F:$F,'01_異動主檔'!$B:$B,106,'01_異動主檔'!$D:$D,B1065,'01_異動主檔'!$E:$E,"精簡")</f>
        <v/>
      </c>
      <c r="J1065" s="10">
        <f>D1065+E1065+F1065+G1065+H1065+I1065</f>
        <v/>
      </c>
    </row>
    <row r="1066" ht="18" customHeight="1">
      <c r="A1066" s="6" t="inlineStr">
        <is>
          <t>E008</t>
        </is>
      </c>
      <c r="B1066" s="5" t="inlineStr">
        <is>
          <t>協調中心</t>
        </is>
      </c>
      <c r="C1066" s="6" t="n">
        <v>107</v>
      </c>
      <c r="D1066" s="10">
        <f>J1065</f>
        <v/>
      </c>
      <c r="E1066" s="4">
        <f>SUMIFS('01_異動主檔'!$F:$F,'01_異動主檔'!$B:$B,107,'01_異動主檔'!$D:$D,B1066,'01_異動主檔'!$E:$E,"移入")</f>
        <v/>
      </c>
      <c r="F1066" s="4">
        <f>-SUMIFS('01_異動主檔'!$F:$F,'01_異動主檔'!$B:$B,107,'01_異動主檔'!$D:$D,B1066,'01_異動主檔'!$E:$E,"移出")</f>
        <v/>
      </c>
      <c r="G1066" s="4">
        <f>SUMIFS('01_異動主檔'!$F:$F,'01_異動主檔'!$B:$B,107,'01_異動主檔'!$D:$D,B1066,'01_異動主檔'!$E:$E,"新增")</f>
        <v/>
      </c>
      <c r="H1066" s="4">
        <f>-SUMIFS('01_異動主檔'!$F:$F,'01_異動主檔'!$B:$B,107,'01_異動主檔'!$D:$D,B1066,'01_異動主檔'!$E:$E,"減列")</f>
        <v/>
      </c>
      <c r="I1066" s="4">
        <f>-SUMIFS('01_異動主檔'!$F:$F,'01_異動主檔'!$B:$B,107,'01_異動主檔'!$D:$D,B1066,'01_異動主檔'!$E:$E,"精簡")</f>
        <v/>
      </c>
      <c r="J1066" s="10">
        <f>D1066+E1066+F1066+G1066+H1066+I1066</f>
        <v/>
      </c>
    </row>
    <row r="1067" ht="18" customHeight="1">
      <c r="A1067" s="4" t="inlineStr">
        <is>
          <t>E008</t>
        </is>
      </c>
      <c r="B1067" s="3" t="inlineStr">
        <is>
          <t>協調中心</t>
        </is>
      </c>
      <c r="C1067" s="4" t="n">
        <v>108</v>
      </c>
      <c r="D1067" s="10">
        <f>J1066</f>
        <v/>
      </c>
      <c r="E1067" s="4">
        <f>SUMIFS('01_異動主檔'!$F:$F,'01_異動主檔'!$B:$B,108,'01_異動主檔'!$D:$D,B1067,'01_異動主檔'!$E:$E,"移入")</f>
        <v/>
      </c>
      <c r="F1067" s="4">
        <f>-SUMIFS('01_異動主檔'!$F:$F,'01_異動主檔'!$B:$B,108,'01_異動主檔'!$D:$D,B1067,'01_異動主檔'!$E:$E,"移出")</f>
        <v/>
      </c>
      <c r="G1067" s="4">
        <f>SUMIFS('01_異動主檔'!$F:$F,'01_異動主檔'!$B:$B,108,'01_異動主檔'!$D:$D,B1067,'01_異動主檔'!$E:$E,"新增")</f>
        <v/>
      </c>
      <c r="H1067" s="4">
        <f>-SUMIFS('01_異動主檔'!$F:$F,'01_異動主檔'!$B:$B,108,'01_異動主檔'!$D:$D,B1067,'01_異動主檔'!$E:$E,"減列")</f>
        <v/>
      </c>
      <c r="I1067" s="4">
        <f>-SUMIFS('01_異動主檔'!$F:$F,'01_異動主檔'!$B:$B,108,'01_異動主檔'!$D:$D,B1067,'01_異動主檔'!$E:$E,"精簡")</f>
        <v/>
      </c>
      <c r="J1067" s="10">
        <f>D1067+E1067+F1067+G1067+H1067+I1067</f>
        <v/>
      </c>
    </row>
    <row r="1068" ht="18" customHeight="1">
      <c r="A1068" s="6" t="inlineStr">
        <is>
          <t>E008</t>
        </is>
      </c>
      <c r="B1068" s="5" t="inlineStr">
        <is>
          <t>協調中心</t>
        </is>
      </c>
      <c r="C1068" s="6" t="n">
        <v>109</v>
      </c>
      <c r="D1068" s="10">
        <f>J1067</f>
        <v/>
      </c>
      <c r="E1068" s="4">
        <f>SUMIFS('01_異動主檔'!$F:$F,'01_異動主檔'!$B:$B,109,'01_異動主檔'!$D:$D,B1068,'01_異動主檔'!$E:$E,"移入")</f>
        <v/>
      </c>
      <c r="F1068" s="4">
        <f>-SUMIFS('01_異動主檔'!$F:$F,'01_異動主檔'!$B:$B,109,'01_異動主檔'!$D:$D,B1068,'01_異動主檔'!$E:$E,"移出")</f>
        <v/>
      </c>
      <c r="G1068" s="4">
        <f>SUMIFS('01_異動主檔'!$F:$F,'01_異動主檔'!$B:$B,109,'01_異動主檔'!$D:$D,B1068,'01_異動主檔'!$E:$E,"新增")</f>
        <v/>
      </c>
      <c r="H1068" s="4">
        <f>-SUMIFS('01_異動主檔'!$F:$F,'01_異動主檔'!$B:$B,109,'01_異動主檔'!$D:$D,B1068,'01_異動主檔'!$E:$E,"減列")</f>
        <v/>
      </c>
      <c r="I1068" s="4">
        <f>-SUMIFS('01_異動主檔'!$F:$F,'01_異動主檔'!$B:$B,109,'01_異動主檔'!$D:$D,B1068,'01_異動主檔'!$E:$E,"精簡")</f>
        <v/>
      </c>
      <c r="J1068" s="10">
        <f>D1068+E1068+F1068+G1068+H1068+I1068</f>
        <v/>
      </c>
    </row>
    <row r="1069" ht="18" customHeight="1">
      <c r="A1069" s="4" t="inlineStr">
        <is>
          <t>E008</t>
        </is>
      </c>
      <c r="B1069" s="3" t="inlineStr">
        <is>
          <t>協調中心</t>
        </is>
      </c>
      <c r="C1069" s="4" t="n">
        <v>110</v>
      </c>
      <c r="D1069" s="10">
        <f>J1068</f>
        <v/>
      </c>
      <c r="E1069" s="4">
        <f>SUMIFS('01_異動主檔'!$F:$F,'01_異動主檔'!$B:$B,110,'01_異動主檔'!$D:$D,B1069,'01_異動主檔'!$E:$E,"移入")</f>
        <v/>
      </c>
      <c r="F1069" s="4">
        <f>-SUMIFS('01_異動主檔'!$F:$F,'01_異動主檔'!$B:$B,110,'01_異動主檔'!$D:$D,B1069,'01_異動主檔'!$E:$E,"移出")</f>
        <v/>
      </c>
      <c r="G1069" s="4">
        <f>SUMIFS('01_異動主檔'!$F:$F,'01_異動主檔'!$B:$B,110,'01_異動主檔'!$D:$D,B1069,'01_異動主檔'!$E:$E,"新增")</f>
        <v/>
      </c>
      <c r="H1069" s="4">
        <f>-SUMIFS('01_異動主檔'!$F:$F,'01_異動主檔'!$B:$B,110,'01_異動主檔'!$D:$D,B1069,'01_異動主檔'!$E:$E,"減列")</f>
        <v/>
      </c>
      <c r="I1069" s="4">
        <f>-SUMIFS('01_異動主檔'!$F:$F,'01_異動主檔'!$B:$B,110,'01_異動主檔'!$D:$D,B1069,'01_異動主檔'!$E:$E,"精簡")</f>
        <v/>
      </c>
      <c r="J1069" s="10">
        <f>D1069+E1069+F1069+G1069+H1069+I1069</f>
        <v/>
      </c>
    </row>
    <row r="1070" ht="18" customHeight="1">
      <c r="A1070" s="6" t="inlineStr">
        <is>
          <t>E008</t>
        </is>
      </c>
      <c r="B1070" s="5" t="inlineStr">
        <is>
          <t>協調中心</t>
        </is>
      </c>
      <c r="C1070" s="6" t="n">
        <v>111</v>
      </c>
      <c r="D1070" s="10">
        <f>J1069</f>
        <v/>
      </c>
      <c r="E1070" s="4">
        <f>SUMIFS('01_異動主檔'!$F:$F,'01_異動主檔'!$B:$B,111,'01_異動主檔'!$D:$D,B1070,'01_異動主檔'!$E:$E,"移入")</f>
        <v/>
      </c>
      <c r="F1070" s="4">
        <f>-SUMIFS('01_異動主檔'!$F:$F,'01_異動主檔'!$B:$B,111,'01_異動主檔'!$D:$D,B1070,'01_異動主檔'!$E:$E,"移出")</f>
        <v/>
      </c>
      <c r="G1070" s="4">
        <f>SUMIFS('01_異動主檔'!$F:$F,'01_異動主檔'!$B:$B,111,'01_異動主檔'!$D:$D,B1070,'01_異動主檔'!$E:$E,"新增")</f>
        <v/>
      </c>
      <c r="H1070" s="4">
        <f>-SUMIFS('01_異動主檔'!$F:$F,'01_異動主檔'!$B:$B,111,'01_異動主檔'!$D:$D,B1070,'01_異動主檔'!$E:$E,"減列")</f>
        <v/>
      </c>
      <c r="I1070" s="4">
        <f>-SUMIFS('01_異動主檔'!$F:$F,'01_異動主檔'!$B:$B,111,'01_異動主檔'!$D:$D,B1070,'01_異動主檔'!$E:$E,"精簡")</f>
        <v/>
      </c>
      <c r="J1070" s="10">
        <f>D1070+E1070+F1070+G1070+H1070+I1070</f>
        <v/>
      </c>
    </row>
    <row r="1071" ht="18" customHeight="1">
      <c r="A1071" s="4" t="inlineStr">
        <is>
          <t>E008</t>
        </is>
      </c>
      <c r="B1071" s="3" t="inlineStr">
        <is>
          <t>協調中心</t>
        </is>
      </c>
      <c r="C1071" s="4" t="n">
        <v>112</v>
      </c>
      <c r="D1071" s="10">
        <f>J1070</f>
        <v/>
      </c>
      <c r="E1071" s="4">
        <f>SUMIFS('01_異動主檔'!$F:$F,'01_異動主檔'!$B:$B,112,'01_異動主檔'!$D:$D,B1071,'01_異動主檔'!$E:$E,"移入")</f>
        <v/>
      </c>
      <c r="F1071" s="4">
        <f>-SUMIFS('01_異動主檔'!$F:$F,'01_異動主檔'!$B:$B,112,'01_異動主檔'!$D:$D,B1071,'01_異動主檔'!$E:$E,"移出")</f>
        <v/>
      </c>
      <c r="G1071" s="4">
        <f>SUMIFS('01_異動主檔'!$F:$F,'01_異動主檔'!$B:$B,112,'01_異動主檔'!$D:$D,B1071,'01_異動主檔'!$E:$E,"新增")</f>
        <v/>
      </c>
      <c r="H1071" s="4">
        <f>-SUMIFS('01_異動主檔'!$F:$F,'01_異動主檔'!$B:$B,112,'01_異動主檔'!$D:$D,B1071,'01_異動主檔'!$E:$E,"減列")</f>
        <v/>
      </c>
      <c r="I1071" s="4">
        <f>-SUMIFS('01_異動主檔'!$F:$F,'01_異動主檔'!$B:$B,112,'01_異動主檔'!$D:$D,B1071,'01_異動主檔'!$E:$E,"精簡")</f>
        <v/>
      </c>
      <c r="J1071" s="10">
        <f>D1071+E1071+F1071+G1071+H1071+I1071</f>
        <v/>
      </c>
    </row>
    <row r="1072" ht="18" customHeight="1">
      <c r="A1072" s="6" t="inlineStr">
        <is>
          <t>E008</t>
        </is>
      </c>
      <c r="B1072" s="5" t="inlineStr">
        <is>
          <t>協調中心</t>
        </is>
      </c>
      <c r="C1072" s="6" t="n">
        <v>113</v>
      </c>
      <c r="D1072" s="10">
        <f>J1071</f>
        <v/>
      </c>
      <c r="E1072" s="4">
        <f>SUMIFS('01_異動主檔'!$F:$F,'01_異動主檔'!$B:$B,113,'01_異動主檔'!$D:$D,B1072,'01_異動主檔'!$E:$E,"移入")</f>
        <v/>
      </c>
      <c r="F1072" s="4">
        <f>-SUMIFS('01_異動主檔'!$F:$F,'01_異動主檔'!$B:$B,113,'01_異動主檔'!$D:$D,B1072,'01_異動主檔'!$E:$E,"移出")</f>
        <v/>
      </c>
      <c r="G1072" s="4">
        <f>SUMIFS('01_異動主檔'!$F:$F,'01_異動主檔'!$B:$B,113,'01_異動主檔'!$D:$D,B1072,'01_異動主檔'!$E:$E,"新增")</f>
        <v/>
      </c>
      <c r="H1072" s="4">
        <f>-SUMIFS('01_異動主檔'!$F:$F,'01_異動主檔'!$B:$B,113,'01_異動主檔'!$D:$D,B1072,'01_異動主檔'!$E:$E,"減列")</f>
        <v/>
      </c>
      <c r="I1072" s="4">
        <f>-SUMIFS('01_異動主檔'!$F:$F,'01_異動主檔'!$B:$B,113,'01_異動主檔'!$D:$D,B1072,'01_異動主檔'!$E:$E,"精簡")</f>
        <v/>
      </c>
      <c r="J1072" s="10">
        <f>D1072+E1072+F1072+G1072+H1072+I1072</f>
        <v/>
      </c>
    </row>
    <row r="1073" ht="18" customHeight="1">
      <c r="A1073" s="4" t="inlineStr">
        <is>
          <t>E008</t>
        </is>
      </c>
      <c r="B1073" s="3" t="inlineStr">
        <is>
          <t>協調中心</t>
        </is>
      </c>
      <c r="C1073" s="4" t="n">
        <v>114</v>
      </c>
      <c r="D1073" s="10">
        <f>J1072</f>
        <v/>
      </c>
      <c r="E1073" s="4">
        <f>SUMIFS('01_異動主檔'!$F:$F,'01_異動主檔'!$B:$B,114,'01_異動主檔'!$D:$D,B1073,'01_異動主檔'!$E:$E,"移入")</f>
        <v/>
      </c>
      <c r="F1073" s="4">
        <f>-SUMIFS('01_異動主檔'!$F:$F,'01_異動主檔'!$B:$B,114,'01_異動主檔'!$D:$D,B1073,'01_異動主檔'!$E:$E,"移出")</f>
        <v/>
      </c>
      <c r="G1073" s="4">
        <f>SUMIFS('01_異動主檔'!$F:$F,'01_異動主檔'!$B:$B,114,'01_異動主檔'!$D:$D,B1073,'01_異動主檔'!$E:$E,"新增")</f>
        <v/>
      </c>
      <c r="H1073" s="4">
        <f>-SUMIFS('01_異動主檔'!$F:$F,'01_異動主檔'!$B:$B,114,'01_異動主檔'!$D:$D,B1073,'01_異動主檔'!$E:$E,"減列")</f>
        <v/>
      </c>
      <c r="I1073" s="4">
        <f>-SUMIFS('01_異動主檔'!$F:$F,'01_異動主檔'!$B:$B,114,'01_異動主檔'!$D:$D,B1073,'01_異動主檔'!$E:$E,"精簡")</f>
        <v/>
      </c>
      <c r="J1073" s="10">
        <f>D1073+E1073+F1073+G1073+H1073+I1073</f>
        <v/>
      </c>
    </row>
    <row r="1074" ht="18" customHeight="1">
      <c r="A1074" s="6" t="inlineStr">
        <is>
          <t>E008</t>
        </is>
      </c>
      <c r="B1074" s="5" t="inlineStr">
        <is>
          <t>協調中心</t>
        </is>
      </c>
      <c r="C1074" s="6" t="n">
        <v>115</v>
      </c>
      <c r="D1074" s="10">
        <f>J1073</f>
        <v/>
      </c>
      <c r="E1074" s="4">
        <f>SUMIFS('01_異動主檔'!$F:$F,'01_異動主檔'!$B:$B,115,'01_異動主檔'!$D:$D,B1074,'01_異動主檔'!$E:$E,"移入")</f>
        <v/>
      </c>
      <c r="F1074" s="4">
        <f>-SUMIFS('01_異動主檔'!$F:$F,'01_異動主檔'!$B:$B,115,'01_異動主檔'!$D:$D,B1074,'01_異動主檔'!$E:$E,"移出")</f>
        <v/>
      </c>
      <c r="G1074" s="4">
        <f>SUMIFS('01_異動主檔'!$F:$F,'01_異動主檔'!$B:$B,115,'01_異動主檔'!$D:$D,B1074,'01_異動主檔'!$E:$E,"新增")</f>
        <v/>
      </c>
      <c r="H1074" s="4">
        <f>-SUMIFS('01_異動主檔'!$F:$F,'01_異動主檔'!$B:$B,115,'01_異動主檔'!$D:$D,B1074,'01_異動主檔'!$E:$E,"減列")</f>
        <v/>
      </c>
      <c r="I1074" s="4">
        <f>-SUMIFS('01_異動主檔'!$F:$F,'01_異動主檔'!$B:$B,115,'01_異動主檔'!$D:$D,B1074,'01_異動主檔'!$E:$E,"精簡")</f>
        <v/>
      </c>
      <c r="J1074" s="10">
        <f>D1074+E1074+F1074+G1074+H1074+I1074</f>
        <v/>
      </c>
    </row>
    <row r="1075" ht="18" customHeight="1">
      <c r="A1075" s="4" t="inlineStr">
        <is>
          <t>E008</t>
        </is>
      </c>
      <c r="B1075" s="3" t="inlineStr">
        <is>
          <t>協調中心</t>
        </is>
      </c>
      <c r="C1075" s="4" t="n">
        <v>116</v>
      </c>
      <c r="D1075" s="10">
        <f>J1074</f>
        <v/>
      </c>
      <c r="E1075" s="4">
        <f>SUMIFS('01_異動主檔'!$F:$F,'01_異動主檔'!$B:$B,116,'01_異動主檔'!$D:$D,B1075,'01_異動主檔'!$E:$E,"移入")</f>
        <v/>
      </c>
      <c r="F1075" s="4">
        <f>-SUMIFS('01_異動主檔'!$F:$F,'01_異動主檔'!$B:$B,116,'01_異動主檔'!$D:$D,B1075,'01_異動主檔'!$E:$E,"移出")</f>
        <v/>
      </c>
      <c r="G1075" s="4">
        <f>SUMIFS('01_異動主檔'!$F:$F,'01_異動主檔'!$B:$B,116,'01_異動主檔'!$D:$D,B1075,'01_異動主檔'!$E:$E,"新增")</f>
        <v/>
      </c>
      <c r="H1075" s="4">
        <f>-SUMIFS('01_異動主檔'!$F:$F,'01_異動主檔'!$B:$B,116,'01_異動主檔'!$D:$D,B1075,'01_異動主檔'!$E:$E,"減列")</f>
        <v/>
      </c>
      <c r="I1075" s="4">
        <f>-SUMIFS('01_異動主檔'!$F:$F,'01_異動主檔'!$B:$B,116,'01_異動主檔'!$D:$D,B1075,'01_異動主檔'!$E:$E,"精簡")</f>
        <v/>
      </c>
      <c r="J1075" s="10">
        <f>D1075+E1075+F1075+G1075+H1075+I1075</f>
        <v/>
      </c>
    </row>
    <row r="1076" ht="18" customHeight="1">
      <c r="A1076" s="6" t="inlineStr">
        <is>
          <t>E008</t>
        </is>
      </c>
      <c r="B1076" s="5" t="inlineStr">
        <is>
          <t>協調中心</t>
        </is>
      </c>
      <c r="C1076" s="6" t="n">
        <v>117</v>
      </c>
      <c r="D1076" s="10">
        <f>J1075</f>
        <v/>
      </c>
      <c r="E1076" s="4">
        <f>SUMIFS('01_異動主檔'!$F:$F,'01_異動主檔'!$B:$B,117,'01_異動主檔'!$D:$D,B1076,'01_異動主檔'!$E:$E,"移入")</f>
        <v/>
      </c>
      <c r="F1076" s="4">
        <f>-SUMIFS('01_異動主檔'!$F:$F,'01_異動主檔'!$B:$B,117,'01_異動主檔'!$D:$D,B1076,'01_異動主檔'!$E:$E,"移出")</f>
        <v/>
      </c>
      <c r="G1076" s="4">
        <f>SUMIFS('01_異動主檔'!$F:$F,'01_異動主檔'!$B:$B,117,'01_異動主檔'!$D:$D,B1076,'01_異動主檔'!$E:$E,"新增")</f>
        <v/>
      </c>
      <c r="H1076" s="4">
        <f>-SUMIFS('01_異動主檔'!$F:$F,'01_異動主檔'!$B:$B,117,'01_異動主檔'!$D:$D,B1076,'01_異動主檔'!$E:$E,"減列")</f>
        <v/>
      </c>
      <c r="I1076" s="4">
        <f>-SUMIFS('01_異動主檔'!$F:$F,'01_異動主檔'!$B:$B,117,'01_異動主檔'!$D:$D,B1076,'01_異動主檔'!$E:$E,"精簡")</f>
        <v/>
      </c>
      <c r="J1076" s="10">
        <f>D1076+E1076+F1076+G1076+H1076+I1076</f>
        <v/>
      </c>
    </row>
    <row r="1077" ht="18" customHeight="1">
      <c r="A1077" s="4" t="inlineStr">
        <is>
          <t>E008</t>
        </is>
      </c>
      <c r="B1077" s="3" t="inlineStr">
        <is>
          <t>協調中心</t>
        </is>
      </c>
      <c r="C1077" s="4" t="n">
        <v>118</v>
      </c>
      <c r="D1077" s="10">
        <f>J1076</f>
        <v/>
      </c>
      <c r="E1077" s="4">
        <f>SUMIFS('01_異動主檔'!$F:$F,'01_異動主檔'!$B:$B,118,'01_異動主檔'!$D:$D,B1077,'01_異動主檔'!$E:$E,"移入")</f>
        <v/>
      </c>
      <c r="F1077" s="4">
        <f>-SUMIFS('01_異動主檔'!$F:$F,'01_異動主檔'!$B:$B,118,'01_異動主檔'!$D:$D,B1077,'01_異動主檔'!$E:$E,"移出")</f>
        <v/>
      </c>
      <c r="G1077" s="4">
        <f>SUMIFS('01_異動主檔'!$F:$F,'01_異動主檔'!$B:$B,118,'01_異動主檔'!$D:$D,B1077,'01_異動主檔'!$E:$E,"新增")</f>
        <v/>
      </c>
      <c r="H1077" s="4">
        <f>-SUMIFS('01_異動主檔'!$F:$F,'01_異動主檔'!$B:$B,118,'01_異動主檔'!$D:$D,B1077,'01_異動主檔'!$E:$E,"減列")</f>
        <v/>
      </c>
      <c r="I1077" s="4">
        <f>-SUMIFS('01_異動主檔'!$F:$F,'01_異動主檔'!$B:$B,118,'01_異動主檔'!$D:$D,B1077,'01_異動主檔'!$E:$E,"精簡")</f>
        <v/>
      </c>
      <c r="J1077" s="10">
        <f>D1077+E1077+F1077+G1077+H1077+I1077</f>
        <v/>
      </c>
    </row>
    <row r="1078" ht="18" customHeight="1">
      <c r="A1078" s="6" t="inlineStr">
        <is>
          <t>E008</t>
        </is>
      </c>
      <c r="B1078" s="5" t="inlineStr">
        <is>
          <t>協調中心</t>
        </is>
      </c>
      <c r="C1078" s="6" t="n">
        <v>119</v>
      </c>
      <c r="D1078" s="10">
        <f>J1077</f>
        <v/>
      </c>
      <c r="E1078" s="4">
        <f>SUMIFS('01_異動主檔'!$F:$F,'01_異動主檔'!$B:$B,119,'01_異動主檔'!$D:$D,B1078,'01_異動主檔'!$E:$E,"移入")</f>
        <v/>
      </c>
      <c r="F1078" s="4">
        <f>-SUMIFS('01_異動主檔'!$F:$F,'01_異動主檔'!$B:$B,119,'01_異動主檔'!$D:$D,B1078,'01_異動主檔'!$E:$E,"移出")</f>
        <v/>
      </c>
      <c r="G1078" s="4">
        <f>SUMIFS('01_異動主檔'!$F:$F,'01_異動主檔'!$B:$B,119,'01_異動主檔'!$D:$D,B1078,'01_異動主檔'!$E:$E,"新增")</f>
        <v/>
      </c>
      <c r="H1078" s="4">
        <f>-SUMIFS('01_異動主檔'!$F:$F,'01_異動主檔'!$B:$B,119,'01_異動主檔'!$D:$D,B1078,'01_異動主檔'!$E:$E,"減列")</f>
        <v/>
      </c>
      <c r="I1078" s="4">
        <f>-SUMIFS('01_異動主檔'!$F:$F,'01_異動主檔'!$B:$B,119,'01_異動主檔'!$D:$D,B1078,'01_異動主檔'!$E:$E,"精簡")</f>
        <v/>
      </c>
      <c r="J1078" s="10">
        <f>D1078+E1078+F1078+G1078+H1078+I1078</f>
        <v/>
      </c>
    </row>
    <row r="1079" ht="18" customHeight="1">
      <c r="A1079" s="4" t="inlineStr">
        <is>
          <t>E008</t>
        </is>
      </c>
      <c r="B1079" s="3" t="inlineStr">
        <is>
          <t>協調中心</t>
        </is>
      </c>
      <c r="C1079" s="4" t="n">
        <v>120</v>
      </c>
      <c r="D1079" s="10">
        <f>J1078</f>
        <v/>
      </c>
      <c r="E1079" s="4">
        <f>SUMIFS('01_異動主檔'!$F:$F,'01_異動主檔'!$B:$B,120,'01_異動主檔'!$D:$D,B1079,'01_異動主檔'!$E:$E,"移入")</f>
        <v/>
      </c>
      <c r="F1079" s="4">
        <f>-SUMIFS('01_異動主檔'!$F:$F,'01_異動主檔'!$B:$B,120,'01_異動主檔'!$D:$D,B1079,'01_異動主檔'!$E:$E,"移出")</f>
        <v/>
      </c>
      <c r="G1079" s="4">
        <f>SUMIFS('01_異動主檔'!$F:$F,'01_異動主檔'!$B:$B,120,'01_異動主檔'!$D:$D,B1079,'01_異動主檔'!$E:$E,"新增")</f>
        <v/>
      </c>
      <c r="H1079" s="4">
        <f>-SUMIFS('01_異動主檔'!$F:$F,'01_異動主檔'!$B:$B,120,'01_異動主檔'!$D:$D,B1079,'01_異動主檔'!$E:$E,"減列")</f>
        <v/>
      </c>
      <c r="I1079" s="4">
        <f>-SUMIFS('01_異動主檔'!$F:$F,'01_異動主檔'!$B:$B,120,'01_異動主檔'!$D:$D,B1079,'01_異動主檔'!$E:$E,"精簡")</f>
        <v/>
      </c>
      <c r="J1079" s="10">
        <f>D1079+E1079+F1079+G1079+H1079+I1079</f>
        <v/>
      </c>
    </row>
    <row r="1080" ht="18" customHeight="1">
      <c r="A1080" s="6" t="inlineStr">
        <is>
          <t>E008</t>
        </is>
      </c>
      <c r="B1080" s="5" t="inlineStr">
        <is>
          <t>協調中心</t>
        </is>
      </c>
      <c r="C1080" s="6" t="n">
        <v>121</v>
      </c>
      <c r="D1080" s="10">
        <f>J1079</f>
        <v/>
      </c>
      <c r="E1080" s="4">
        <f>SUMIFS('01_異動主檔'!$F:$F,'01_異動主檔'!$B:$B,121,'01_異動主檔'!$D:$D,B1080,'01_異動主檔'!$E:$E,"移入")</f>
        <v/>
      </c>
      <c r="F1080" s="4">
        <f>-SUMIFS('01_異動主檔'!$F:$F,'01_異動主檔'!$B:$B,121,'01_異動主檔'!$D:$D,B1080,'01_異動主檔'!$E:$E,"移出")</f>
        <v/>
      </c>
      <c r="G1080" s="4">
        <f>SUMIFS('01_異動主檔'!$F:$F,'01_異動主檔'!$B:$B,121,'01_異動主檔'!$D:$D,B1080,'01_異動主檔'!$E:$E,"新增")</f>
        <v/>
      </c>
      <c r="H1080" s="4">
        <f>-SUMIFS('01_異動主檔'!$F:$F,'01_異動主檔'!$B:$B,121,'01_異動主檔'!$D:$D,B1080,'01_異動主檔'!$E:$E,"減列")</f>
        <v/>
      </c>
      <c r="I1080" s="4">
        <f>-SUMIFS('01_異動主檔'!$F:$F,'01_異動主檔'!$B:$B,121,'01_異動主檔'!$D:$D,B1080,'01_異動主檔'!$E:$E,"精簡")</f>
        <v/>
      </c>
      <c r="J1080" s="10">
        <f>D1080+E1080+F1080+G1080+H1080+I1080</f>
        <v/>
      </c>
    </row>
    <row r="1081" ht="18" customHeight="1">
      <c r="A1081" s="4" t="inlineStr">
        <is>
          <t>E008</t>
        </is>
      </c>
      <c r="B1081" s="3" t="inlineStr">
        <is>
          <t>協調中心</t>
        </is>
      </c>
      <c r="C1081" s="4" t="n">
        <v>122</v>
      </c>
      <c r="D1081" s="10">
        <f>J1080</f>
        <v/>
      </c>
      <c r="E1081" s="4">
        <f>SUMIFS('01_異動主檔'!$F:$F,'01_異動主檔'!$B:$B,122,'01_異動主檔'!$D:$D,B1081,'01_異動主檔'!$E:$E,"移入")</f>
        <v/>
      </c>
      <c r="F1081" s="4">
        <f>-SUMIFS('01_異動主檔'!$F:$F,'01_異動主檔'!$B:$B,122,'01_異動主檔'!$D:$D,B1081,'01_異動主檔'!$E:$E,"移出")</f>
        <v/>
      </c>
      <c r="G1081" s="4">
        <f>SUMIFS('01_異動主檔'!$F:$F,'01_異動主檔'!$B:$B,122,'01_異動主檔'!$D:$D,B1081,'01_異動主檔'!$E:$E,"新增")</f>
        <v/>
      </c>
      <c r="H1081" s="4">
        <f>-SUMIFS('01_異動主檔'!$F:$F,'01_異動主檔'!$B:$B,122,'01_異動主檔'!$D:$D,B1081,'01_異動主檔'!$E:$E,"減列")</f>
        <v/>
      </c>
      <c r="I1081" s="4">
        <f>-SUMIFS('01_異動主檔'!$F:$F,'01_異動主檔'!$B:$B,122,'01_異動主檔'!$D:$D,B1081,'01_異動主檔'!$E:$E,"精簡")</f>
        <v/>
      </c>
      <c r="J1081" s="10">
        <f>D1081+E1081+F1081+G1081+H1081+I1081</f>
        <v/>
      </c>
    </row>
    <row r="1082" ht="18" customHeight="1">
      <c r="A1082" s="6" t="inlineStr">
        <is>
          <t>E008</t>
        </is>
      </c>
      <c r="B1082" s="5" t="inlineStr">
        <is>
          <t>協調中心</t>
        </is>
      </c>
      <c r="C1082" s="6" t="n">
        <v>123</v>
      </c>
      <c r="D1082" s="10">
        <f>J1081</f>
        <v/>
      </c>
      <c r="E1082" s="4">
        <f>SUMIFS('01_異動主檔'!$F:$F,'01_異動主檔'!$B:$B,123,'01_異動主檔'!$D:$D,B1082,'01_異動主檔'!$E:$E,"移入")</f>
        <v/>
      </c>
      <c r="F1082" s="4">
        <f>-SUMIFS('01_異動主檔'!$F:$F,'01_異動主檔'!$B:$B,123,'01_異動主檔'!$D:$D,B1082,'01_異動主檔'!$E:$E,"移出")</f>
        <v/>
      </c>
      <c r="G1082" s="4">
        <f>SUMIFS('01_異動主檔'!$F:$F,'01_異動主檔'!$B:$B,123,'01_異動主檔'!$D:$D,B1082,'01_異動主檔'!$E:$E,"新增")</f>
        <v/>
      </c>
      <c r="H1082" s="4">
        <f>-SUMIFS('01_異動主檔'!$F:$F,'01_異動主檔'!$B:$B,123,'01_異動主檔'!$D:$D,B1082,'01_異動主檔'!$E:$E,"減列")</f>
        <v/>
      </c>
      <c r="I1082" s="4">
        <f>-SUMIFS('01_異動主檔'!$F:$F,'01_異動主檔'!$B:$B,123,'01_異動主檔'!$D:$D,B1082,'01_異動主檔'!$E:$E,"精簡")</f>
        <v/>
      </c>
      <c r="J1082" s="10">
        <f>D1082+E1082+F1082+G1082+H1082+I1082</f>
        <v/>
      </c>
    </row>
    <row r="1083" ht="18" customHeight="1">
      <c r="A1083" s="4" t="inlineStr">
        <is>
          <t>E008</t>
        </is>
      </c>
      <c r="B1083" s="3" t="inlineStr">
        <is>
          <t>協調中心</t>
        </is>
      </c>
      <c r="C1083" s="4" t="n">
        <v>124</v>
      </c>
      <c r="D1083" s="10">
        <f>J1082</f>
        <v/>
      </c>
      <c r="E1083" s="4">
        <f>SUMIFS('01_異動主檔'!$F:$F,'01_異動主檔'!$B:$B,124,'01_異動主檔'!$D:$D,B1083,'01_異動主檔'!$E:$E,"移入")</f>
        <v/>
      </c>
      <c r="F1083" s="4">
        <f>-SUMIFS('01_異動主檔'!$F:$F,'01_異動主檔'!$B:$B,124,'01_異動主檔'!$D:$D,B1083,'01_異動主檔'!$E:$E,"移出")</f>
        <v/>
      </c>
      <c r="G1083" s="4">
        <f>SUMIFS('01_異動主檔'!$F:$F,'01_異動主檔'!$B:$B,124,'01_異動主檔'!$D:$D,B1083,'01_異動主檔'!$E:$E,"新增")</f>
        <v/>
      </c>
      <c r="H1083" s="4">
        <f>-SUMIFS('01_異動主檔'!$F:$F,'01_異動主檔'!$B:$B,124,'01_異動主檔'!$D:$D,B1083,'01_異動主檔'!$E:$E,"減列")</f>
        <v/>
      </c>
      <c r="I1083" s="4">
        <f>-SUMIFS('01_異動主檔'!$F:$F,'01_異動主檔'!$B:$B,124,'01_異動主檔'!$D:$D,B1083,'01_異動主檔'!$E:$E,"精簡")</f>
        <v/>
      </c>
      <c r="J1083" s="10">
        <f>D1083+E1083+F1083+G1083+H1083+I1083</f>
        <v/>
      </c>
    </row>
    <row r="1084" ht="18" customHeight="1">
      <c r="A1084" s="6" t="inlineStr">
        <is>
          <t>E008</t>
        </is>
      </c>
      <c r="B1084" s="5" t="inlineStr">
        <is>
          <t>協調中心</t>
        </is>
      </c>
      <c r="C1084" s="6" t="n">
        <v>125</v>
      </c>
      <c r="D1084" s="10">
        <f>J1083</f>
        <v/>
      </c>
      <c r="E1084" s="4">
        <f>SUMIFS('01_異動主檔'!$F:$F,'01_異動主檔'!$B:$B,125,'01_異動主檔'!$D:$D,B1084,'01_異動主檔'!$E:$E,"移入")</f>
        <v/>
      </c>
      <c r="F1084" s="4">
        <f>-SUMIFS('01_異動主檔'!$F:$F,'01_異動主檔'!$B:$B,125,'01_異動主檔'!$D:$D,B1084,'01_異動主檔'!$E:$E,"移出")</f>
        <v/>
      </c>
      <c r="G1084" s="4">
        <f>SUMIFS('01_異動主檔'!$F:$F,'01_異動主檔'!$B:$B,125,'01_異動主檔'!$D:$D,B1084,'01_異動主檔'!$E:$E,"新增")</f>
        <v/>
      </c>
      <c r="H1084" s="4">
        <f>-SUMIFS('01_異動主檔'!$F:$F,'01_異動主檔'!$B:$B,125,'01_異動主檔'!$D:$D,B1084,'01_異動主檔'!$E:$E,"減列")</f>
        <v/>
      </c>
      <c r="I1084" s="4">
        <f>-SUMIFS('01_異動主檔'!$F:$F,'01_異動主檔'!$B:$B,125,'01_異動主檔'!$D:$D,B1084,'01_異動主檔'!$E:$E,"精簡")</f>
        <v/>
      </c>
      <c r="J1084" s="10">
        <f>D1084+E1084+F1084+G1084+H1084+I1084</f>
        <v/>
      </c>
    </row>
    <row r="1085" ht="18" customHeight="1">
      <c r="A1085" s="4" t="inlineStr">
        <is>
          <t>F001</t>
        </is>
      </c>
      <c r="B1085" s="3" t="inlineStr">
        <is>
          <t>企劃組</t>
        </is>
      </c>
      <c r="C1085" s="4" t="n">
        <v>99</v>
      </c>
      <c r="D1085" s="10">
        <f>'02_年初員額設定'!C45</f>
        <v/>
      </c>
      <c r="E1085" s="4">
        <f>SUMIFS('01_異動主檔'!$F:$F,'01_異動主檔'!$B:$B,99,'01_異動主檔'!$D:$D,B1085,'01_異動主檔'!$E:$E,"移入")</f>
        <v/>
      </c>
      <c r="F1085" s="4">
        <f>-SUMIFS('01_異動主檔'!$F:$F,'01_異動主檔'!$B:$B,99,'01_異動主檔'!$D:$D,B1085,'01_異動主檔'!$E:$E,"移出")</f>
        <v/>
      </c>
      <c r="G1085" s="4">
        <f>SUMIFS('01_異動主檔'!$F:$F,'01_異動主檔'!$B:$B,99,'01_異動主檔'!$D:$D,B1085,'01_異動主檔'!$E:$E,"新增")</f>
        <v/>
      </c>
      <c r="H1085" s="4">
        <f>-SUMIFS('01_異動主檔'!$F:$F,'01_異動主檔'!$B:$B,99,'01_異動主檔'!$D:$D,B1085,'01_異動主檔'!$E:$E,"減列")</f>
        <v/>
      </c>
      <c r="I1085" s="4">
        <f>-SUMIFS('01_異動主檔'!$F:$F,'01_異動主檔'!$B:$B,99,'01_異動主檔'!$D:$D,B1085,'01_異動主檔'!$E:$E,"精簡")</f>
        <v/>
      </c>
      <c r="J1085" s="10">
        <f>D1085+E1085+F1085+G1085+H1085+I1085</f>
        <v/>
      </c>
    </row>
    <row r="1086" ht="18" customHeight="1">
      <c r="A1086" s="6" t="inlineStr">
        <is>
          <t>F001</t>
        </is>
      </c>
      <c r="B1086" s="5" t="inlineStr">
        <is>
          <t>企劃組</t>
        </is>
      </c>
      <c r="C1086" s="6" t="n">
        <v>100</v>
      </c>
      <c r="D1086" s="10">
        <f>J1085</f>
        <v/>
      </c>
      <c r="E1086" s="4">
        <f>SUMIFS('01_異動主檔'!$F:$F,'01_異動主檔'!$B:$B,100,'01_異動主檔'!$D:$D,B1086,'01_異動主檔'!$E:$E,"移入")</f>
        <v/>
      </c>
      <c r="F1086" s="4">
        <f>-SUMIFS('01_異動主檔'!$F:$F,'01_異動主檔'!$B:$B,100,'01_異動主檔'!$D:$D,B1086,'01_異動主檔'!$E:$E,"移出")</f>
        <v/>
      </c>
      <c r="G1086" s="4">
        <f>SUMIFS('01_異動主檔'!$F:$F,'01_異動主檔'!$B:$B,100,'01_異動主檔'!$D:$D,B1086,'01_異動主檔'!$E:$E,"新增")</f>
        <v/>
      </c>
      <c r="H1086" s="4">
        <f>-SUMIFS('01_異動主檔'!$F:$F,'01_異動主檔'!$B:$B,100,'01_異動主檔'!$D:$D,B1086,'01_異動主檔'!$E:$E,"減列")</f>
        <v/>
      </c>
      <c r="I1086" s="4">
        <f>-SUMIFS('01_異動主檔'!$F:$F,'01_異動主檔'!$B:$B,100,'01_異動主檔'!$D:$D,B1086,'01_異動主檔'!$E:$E,"精簡")</f>
        <v/>
      </c>
      <c r="J1086" s="10">
        <f>D1086+E1086+F1086+G1086+H1086+I1086</f>
        <v/>
      </c>
    </row>
    <row r="1087" ht="18" customHeight="1">
      <c r="A1087" s="4" t="inlineStr">
        <is>
          <t>F001</t>
        </is>
      </c>
      <c r="B1087" s="3" t="inlineStr">
        <is>
          <t>企劃組</t>
        </is>
      </c>
      <c r="C1087" s="4" t="n">
        <v>101</v>
      </c>
      <c r="D1087" s="10">
        <f>J1086</f>
        <v/>
      </c>
      <c r="E1087" s="4">
        <f>SUMIFS('01_異動主檔'!$F:$F,'01_異動主檔'!$B:$B,101,'01_異動主檔'!$D:$D,B1087,'01_異動主檔'!$E:$E,"移入")</f>
        <v/>
      </c>
      <c r="F1087" s="4">
        <f>-SUMIFS('01_異動主檔'!$F:$F,'01_異動主檔'!$B:$B,101,'01_異動主檔'!$D:$D,B1087,'01_異動主檔'!$E:$E,"移出")</f>
        <v/>
      </c>
      <c r="G1087" s="4">
        <f>SUMIFS('01_異動主檔'!$F:$F,'01_異動主檔'!$B:$B,101,'01_異動主檔'!$D:$D,B1087,'01_異動主檔'!$E:$E,"新增")</f>
        <v/>
      </c>
      <c r="H1087" s="4">
        <f>-SUMIFS('01_異動主檔'!$F:$F,'01_異動主檔'!$B:$B,101,'01_異動主檔'!$D:$D,B1087,'01_異動主檔'!$E:$E,"減列")</f>
        <v/>
      </c>
      <c r="I1087" s="4">
        <f>-SUMIFS('01_異動主檔'!$F:$F,'01_異動主檔'!$B:$B,101,'01_異動主檔'!$D:$D,B1087,'01_異動主檔'!$E:$E,"精簡")</f>
        <v/>
      </c>
      <c r="J1087" s="10">
        <f>D1087+E1087+F1087+G1087+H1087+I1087</f>
        <v/>
      </c>
    </row>
    <row r="1088" ht="18" customHeight="1">
      <c r="A1088" s="6" t="inlineStr">
        <is>
          <t>F001</t>
        </is>
      </c>
      <c r="B1088" s="5" t="inlineStr">
        <is>
          <t>企劃組</t>
        </is>
      </c>
      <c r="C1088" s="6" t="n">
        <v>102</v>
      </c>
      <c r="D1088" s="10">
        <f>J1087</f>
        <v/>
      </c>
      <c r="E1088" s="4">
        <f>SUMIFS('01_異動主檔'!$F:$F,'01_異動主檔'!$B:$B,102,'01_異動主檔'!$D:$D,B1088,'01_異動主檔'!$E:$E,"移入")</f>
        <v/>
      </c>
      <c r="F1088" s="4">
        <f>-SUMIFS('01_異動主檔'!$F:$F,'01_異動主檔'!$B:$B,102,'01_異動主檔'!$D:$D,B1088,'01_異動主檔'!$E:$E,"移出")</f>
        <v/>
      </c>
      <c r="G1088" s="4">
        <f>SUMIFS('01_異動主檔'!$F:$F,'01_異動主檔'!$B:$B,102,'01_異動主檔'!$D:$D,B1088,'01_異動主檔'!$E:$E,"新增")</f>
        <v/>
      </c>
      <c r="H1088" s="4">
        <f>-SUMIFS('01_異動主檔'!$F:$F,'01_異動主檔'!$B:$B,102,'01_異動主檔'!$D:$D,B1088,'01_異動主檔'!$E:$E,"減列")</f>
        <v/>
      </c>
      <c r="I1088" s="4">
        <f>-SUMIFS('01_異動主檔'!$F:$F,'01_異動主檔'!$B:$B,102,'01_異動主檔'!$D:$D,B1088,'01_異動主檔'!$E:$E,"精簡")</f>
        <v/>
      </c>
      <c r="J1088" s="10">
        <f>D1088+E1088+F1088+G1088+H1088+I1088</f>
        <v/>
      </c>
    </row>
    <row r="1089" ht="18" customHeight="1">
      <c r="A1089" s="4" t="inlineStr">
        <is>
          <t>F001</t>
        </is>
      </c>
      <c r="B1089" s="3" t="inlineStr">
        <is>
          <t>企劃組</t>
        </is>
      </c>
      <c r="C1089" s="4" t="n">
        <v>103</v>
      </c>
      <c r="D1089" s="10">
        <f>J1088</f>
        <v/>
      </c>
      <c r="E1089" s="4">
        <f>SUMIFS('01_異動主檔'!$F:$F,'01_異動主檔'!$B:$B,103,'01_異動主檔'!$D:$D,B1089,'01_異動主檔'!$E:$E,"移入")</f>
        <v/>
      </c>
      <c r="F1089" s="4">
        <f>-SUMIFS('01_異動主檔'!$F:$F,'01_異動主檔'!$B:$B,103,'01_異動主檔'!$D:$D,B1089,'01_異動主檔'!$E:$E,"移出")</f>
        <v/>
      </c>
      <c r="G1089" s="4">
        <f>SUMIFS('01_異動主檔'!$F:$F,'01_異動主檔'!$B:$B,103,'01_異動主檔'!$D:$D,B1089,'01_異動主檔'!$E:$E,"新增")</f>
        <v/>
      </c>
      <c r="H1089" s="4">
        <f>-SUMIFS('01_異動主檔'!$F:$F,'01_異動主檔'!$B:$B,103,'01_異動主檔'!$D:$D,B1089,'01_異動主檔'!$E:$E,"減列")</f>
        <v/>
      </c>
      <c r="I1089" s="4">
        <f>-SUMIFS('01_異動主檔'!$F:$F,'01_異動主檔'!$B:$B,103,'01_異動主檔'!$D:$D,B1089,'01_異動主檔'!$E:$E,"精簡")</f>
        <v/>
      </c>
      <c r="J1089" s="10">
        <f>D1089+E1089+F1089+G1089+H1089+I1089</f>
        <v/>
      </c>
    </row>
    <row r="1090" ht="18" customHeight="1">
      <c r="A1090" s="6" t="inlineStr">
        <is>
          <t>F001</t>
        </is>
      </c>
      <c r="B1090" s="5" t="inlineStr">
        <is>
          <t>企劃組</t>
        </is>
      </c>
      <c r="C1090" s="6" t="n">
        <v>104</v>
      </c>
      <c r="D1090" s="10">
        <f>J1089</f>
        <v/>
      </c>
      <c r="E1090" s="4">
        <f>SUMIFS('01_異動主檔'!$F:$F,'01_異動主檔'!$B:$B,104,'01_異動主檔'!$D:$D,B1090,'01_異動主檔'!$E:$E,"移入")</f>
        <v/>
      </c>
      <c r="F1090" s="4">
        <f>-SUMIFS('01_異動主檔'!$F:$F,'01_異動主檔'!$B:$B,104,'01_異動主檔'!$D:$D,B1090,'01_異動主檔'!$E:$E,"移出")</f>
        <v/>
      </c>
      <c r="G1090" s="4">
        <f>SUMIFS('01_異動主檔'!$F:$F,'01_異動主檔'!$B:$B,104,'01_異動主檔'!$D:$D,B1090,'01_異動主檔'!$E:$E,"新增")</f>
        <v/>
      </c>
      <c r="H1090" s="4">
        <f>-SUMIFS('01_異動主檔'!$F:$F,'01_異動主檔'!$B:$B,104,'01_異動主檔'!$D:$D,B1090,'01_異動主檔'!$E:$E,"減列")</f>
        <v/>
      </c>
      <c r="I1090" s="4">
        <f>-SUMIFS('01_異動主檔'!$F:$F,'01_異動主檔'!$B:$B,104,'01_異動主檔'!$D:$D,B1090,'01_異動主檔'!$E:$E,"精簡")</f>
        <v/>
      </c>
      <c r="J1090" s="10">
        <f>D1090+E1090+F1090+G1090+H1090+I1090</f>
        <v/>
      </c>
    </row>
    <row r="1091" ht="18" customHeight="1">
      <c r="A1091" s="4" t="inlineStr">
        <is>
          <t>F001</t>
        </is>
      </c>
      <c r="B1091" s="3" t="inlineStr">
        <is>
          <t>企劃組</t>
        </is>
      </c>
      <c r="C1091" s="4" t="n">
        <v>105</v>
      </c>
      <c r="D1091" s="10">
        <f>J1090</f>
        <v/>
      </c>
      <c r="E1091" s="4">
        <f>SUMIFS('01_異動主檔'!$F:$F,'01_異動主檔'!$B:$B,105,'01_異動主檔'!$D:$D,B1091,'01_異動主檔'!$E:$E,"移入")</f>
        <v/>
      </c>
      <c r="F1091" s="4">
        <f>-SUMIFS('01_異動主檔'!$F:$F,'01_異動主檔'!$B:$B,105,'01_異動主檔'!$D:$D,B1091,'01_異動主檔'!$E:$E,"移出")</f>
        <v/>
      </c>
      <c r="G1091" s="4">
        <f>SUMIFS('01_異動主檔'!$F:$F,'01_異動主檔'!$B:$B,105,'01_異動主檔'!$D:$D,B1091,'01_異動主檔'!$E:$E,"新增")</f>
        <v/>
      </c>
      <c r="H1091" s="4">
        <f>-SUMIFS('01_異動主檔'!$F:$F,'01_異動主檔'!$B:$B,105,'01_異動主檔'!$D:$D,B1091,'01_異動主檔'!$E:$E,"減列")</f>
        <v/>
      </c>
      <c r="I1091" s="4">
        <f>-SUMIFS('01_異動主檔'!$F:$F,'01_異動主檔'!$B:$B,105,'01_異動主檔'!$D:$D,B1091,'01_異動主檔'!$E:$E,"精簡")</f>
        <v/>
      </c>
      <c r="J1091" s="10">
        <f>D1091+E1091+F1091+G1091+H1091+I1091</f>
        <v/>
      </c>
    </row>
    <row r="1092" ht="18" customHeight="1">
      <c r="A1092" s="6" t="inlineStr">
        <is>
          <t>F001</t>
        </is>
      </c>
      <c r="B1092" s="5" t="inlineStr">
        <is>
          <t>企劃組</t>
        </is>
      </c>
      <c r="C1092" s="6" t="n">
        <v>106</v>
      </c>
      <c r="D1092" s="10">
        <f>J1091</f>
        <v/>
      </c>
      <c r="E1092" s="4">
        <f>SUMIFS('01_異動主檔'!$F:$F,'01_異動主檔'!$B:$B,106,'01_異動主檔'!$D:$D,B1092,'01_異動主檔'!$E:$E,"移入")</f>
        <v/>
      </c>
      <c r="F1092" s="4">
        <f>-SUMIFS('01_異動主檔'!$F:$F,'01_異動主檔'!$B:$B,106,'01_異動主檔'!$D:$D,B1092,'01_異動主檔'!$E:$E,"移出")</f>
        <v/>
      </c>
      <c r="G1092" s="4">
        <f>SUMIFS('01_異動主檔'!$F:$F,'01_異動主檔'!$B:$B,106,'01_異動主檔'!$D:$D,B1092,'01_異動主檔'!$E:$E,"新增")</f>
        <v/>
      </c>
      <c r="H1092" s="4">
        <f>-SUMIFS('01_異動主檔'!$F:$F,'01_異動主檔'!$B:$B,106,'01_異動主檔'!$D:$D,B1092,'01_異動主檔'!$E:$E,"減列")</f>
        <v/>
      </c>
      <c r="I1092" s="4">
        <f>-SUMIFS('01_異動主檔'!$F:$F,'01_異動主檔'!$B:$B,106,'01_異動主檔'!$D:$D,B1092,'01_異動主檔'!$E:$E,"精簡")</f>
        <v/>
      </c>
      <c r="J1092" s="10">
        <f>D1092+E1092+F1092+G1092+H1092+I1092</f>
        <v/>
      </c>
    </row>
    <row r="1093" ht="18" customHeight="1">
      <c r="A1093" s="4" t="inlineStr">
        <is>
          <t>F001</t>
        </is>
      </c>
      <c r="B1093" s="3" t="inlineStr">
        <is>
          <t>企劃組</t>
        </is>
      </c>
      <c r="C1093" s="4" t="n">
        <v>107</v>
      </c>
      <c r="D1093" s="10">
        <f>J1092</f>
        <v/>
      </c>
      <c r="E1093" s="4">
        <f>SUMIFS('01_異動主檔'!$F:$F,'01_異動主檔'!$B:$B,107,'01_異動主檔'!$D:$D,B1093,'01_異動主檔'!$E:$E,"移入")</f>
        <v/>
      </c>
      <c r="F1093" s="4">
        <f>-SUMIFS('01_異動主檔'!$F:$F,'01_異動主檔'!$B:$B,107,'01_異動主檔'!$D:$D,B1093,'01_異動主檔'!$E:$E,"移出")</f>
        <v/>
      </c>
      <c r="G1093" s="4">
        <f>SUMIFS('01_異動主檔'!$F:$F,'01_異動主檔'!$B:$B,107,'01_異動主檔'!$D:$D,B1093,'01_異動主檔'!$E:$E,"新增")</f>
        <v/>
      </c>
      <c r="H1093" s="4">
        <f>-SUMIFS('01_異動主檔'!$F:$F,'01_異動主檔'!$B:$B,107,'01_異動主檔'!$D:$D,B1093,'01_異動主檔'!$E:$E,"減列")</f>
        <v/>
      </c>
      <c r="I1093" s="4">
        <f>-SUMIFS('01_異動主檔'!$F:$F,'01_異動主檔'!$B:$B,107,'01_異動主檔'!$D:$D,B1093,'01_異動主檔'!$E:$E,"精簡")</f>
        <v/>
      </c>
      <c r="J1093" s="10">
        <f>D1093+E1093+F1093+G1093+H1093+I1093</f>
        <v/>
      </c>
    </row>
    <row r="1094" ht="18" customHeight="1">
      <c r="A1094" s="6" t="inlineStr">
        <is>
          <t>F001</t>
        </is>
      </c>
      <c r="B1094" s="5" t="inlineStr">
        <is>
          <t>企劃組</t>
        </is>
      </c>
      <c r="C1094" s="6" t="n">
        <v>108</v>
      </c>
      <c r="D1094" s="10">
        <f>J1093</f>
        <v/>
      </c>
      <c r="E1094" s="4">
        <f>SUMIFS('01_異動主檔'!$F:$F,'01_異動主檔'!$B:$B,108,'01_異動主檔'!$D:$D,B1094,'01_異動主檔'!$E:$E,"移入")</f>
        <v/>
      </c>
      <c r="F1094" s="4">
        <f>-SUMIFS('01_異動主檔'!$F:$F,'01_異動主檔'!$B:$B,108,'01_異動主檔'!$D:$D,B1094,'01_異動主檔'!$E:$E,"移出")</f>
        <v/>
      </c>
      <c r="G1094" s="4">
        <f>SUMIFS('01_異動主檔'!$F:$F,'01_異動主檔'!$B:$B,108,'01_異動主檔'!$D:$D,B1094,'01_異動主檔'!$E:$E,"新增")</f>
        <v/>
      </c>
      <c r="H1094" s="4">
        <f>-SUMIFS('01_異動主檔'!$F:$F,'01_異動主檔'!$B:$B,108,'01_異動主檔'!$D:$D,B1094,'01_異動主檔'!$E:$E,"減列")</f>
        <v/>
      </c>
      <c r="I1094" s="4">
        <f>-SUMIFS('01_異動主檔'!$F:$F,'01_異動主檔'!$B:$B,108,'01_異動主檔'!$D:$D,B1094,'01_異動主檔'!$E:$E,"精簡")</f>
        <v/>
      </c>
      <c r="J1094" s="10">
        <f>D1094+E1094+F1094+G1094+H1094+I1094</f>
        <v/>
      </c>
    </row>
    <row r="1095" ht="18" customHeight="1">
      <c r="A1095" s="4" t="inlineStr">
        <is>
          <t>F001</t>
        </is>
      </c>
      <c r="B1095" s="3" t="inlineStr">
        <is>
          <t>企劃組</t>
        </is>
      </c>
      <c r="C1095" s="4" t="n">
        <v>109</v>
      </c>
      <c r="D1095" s="10">
        <f>J1094</f>
        <v/>
      </c>
      <c r="E1095" s="4">
        <f>SUMIFS('01_異動主檔'!$F:$F,'01_異動主檔'!$B:$B,109,'01_異動主檔'!$D:$D,B1095,'01_異動主檔'!$E:$E,"移入")</f>
        <v/>
      </c>
      <c r="F1095" s="4">
        <f>-SUMIFS('01_異動主檔'!$F:$F,'01_異動主檔'!$B:$B,109,'01_異動主檔'!$D:$D,B1095,'01_異動主檔'!$E:$E,"移出")</f>
        <v/>
      </c>
      <c r="G1095" s="4">
        <f>SUMIFS('01_異動主檔'!$F:$F,'01_異動主檔'!$B:$B,109,'01_異動主檔'!$D:$D,B1095,'01_異動主檔'!$E:$E,"新增")</f>
        <v/>
      </c>
      <c r="H1095" s="4">
        <f>-SUMIFS('01_異動主檔'!$F:$F,'01_異動主檔'!$B:$B,109,'01_異動主檔'!$D:$D,B1095,'01_異動主檔'!$E:$E,"減列")</f>
        <v/>
      </c>
      <c r="I1095" s="4">
        <f>-SUMIFS('01_異動主檔'!$F:$F,'01_異動主檔'!$B:$B,109,'01_異動主檔'!$D:$D,B1095,'01_異動主檔'!$E:$E,"精簡")</f>
        <v/>
      </c>
      <c r="J1095" s="10">
        <f>D1095+E1095+F1095+G1095+H1095+I1095</f>
        <v/>
      </c>
    </row>
    <row r="1096" ht="18" customHeight="1">
      <c r="A1096" s="6" t="inlineStr">
        <is>
          <t>F001</t>
        </is>
      </c>
      <c r="B1096" s="5" t="inlineStr">
        <is>
          <t>企劃組</t>
        </is>
      </c>
      <c r="C1096" s="6" t="n">
        <v>110</v>
      </c>
      <c r="D1096" s="10">
        <f>J1095</f>
        <v/>
      </c>
      <c r="E1096" s="4">
        <f>SUMIFS('01_異動主檔'!$F:$F,'01_異動主檔'!$B:$B,110,'01_異動主檔'!$D:$D,B1096,'01_異動主檔'!$E:$E,"移入")</f>
        <v/>
      </c>
      <c r="F1096" s="4">
        <f>-SUMIFS('01_異動主檔'!$F:$F,'01_異動主檔'!$B:$B,110,'01_異動主檔'!$D:$D,B1096,'01_異動主檔'!$E:$E,"移出")</f>
        <v/>
      </c>
      <c r="G1096" s="4">
        <f>SUMIFS('01_異動主檔'!$F:$F,'01_異動主檔'!$B:$B,110,'01_異動主檔'!$D:$D,B1096,'01_異動主檔'!$E:$E,"新增")</f>
        <v/>
      </c>
      <c r="H1096" s="4">
        <f>-SUMIFS('01_異動主檔'!$F:$F,'01_異動主檔'!$B:$B,110,'01_異動主檔'!$D:$D,B1096,'01_異動主檔'!$E:$E,"減列")</f>
        <v/>
      </c>
      <c r="I1096" s="4">
        <f>-SUMIFS('01_異動主檔'!$F:$F,'01_異動主檔'!$B:$B,110,'01_異動主檔'!$D:$D,B1096,'01_異動主檔'!$E:$E,"精簡")</f>
        <v/>
      </c>
      <c r="J1096" s="10">
        <f>D1096+E1096+F1096+G1096+H1096+I1096</f>
        <v/>
      </c>
    </row>
    <row r="1097" ht="18" customHeight="1">
      <c r="A1097" s="4" t="inlineStr">
        <is>
          <t>F001</t>
        </is>
      </c>
      <c r="B1097" s="3" t="inlineStr">
        <is>
          <t>企劃組</t>
        </is>
      </c>
      <c r="C1097" s="4" t="n">
        <v>111</v>
      </c>
      <c r="D1097" s="10">
        <f>J1096</f>
        <v/>
      </c>
      <c r="E1097" s="4">
        <f>SUMIFS('01_異動主檔'!$F:$F,'01_異動主檔'!$B:$B,111,'01_異動主檔'!$D:$D,B1097,'01_異動主檔'!$E:$E,"移入")</f>
        <v/>
      </c>
      <c r="F1097" s="4">
        <f>-SUMIFS('01_異動主檔'!$F:$F,'01_異動主檔'!$B:$B,111,'01_異動主檔'!$D:$D,B1097,'01_異動主檔'!$E:$E,"移出")</f>
        <v/>
      </c>
      <c r="G1097" s="4">
        <f>SUMIFS('01_異動主檔'!$F:$F,'01_異動主檔'!$B:$B,111,'01_異動主檔'!$D:$D,B1097,'01_異動主檔'!$E:$E,"新增")</f>
        <v/>
      </c>
      <c r="H1097" s="4">
        <f>-SUMIFS('01_異動主檔'!$F:$F,'01_異動主檔'!$B:$B,111,'01_異動主檔'!$D:$D,B1097,'01_異動主檔'!$E:$E,"減列")</f>
        <v/>
      </c>
      <c r="I1097" s="4">
        <f>-SUMIFS('01_異動主檔'!$F:$F,'01_異動主檔'!$B:$B,111,'01_異動主檔'!$D:$D,B1097,'01_異動主檔'!$E:$E,"精簡")</f>
        <v/>
      </c>
      <c r="J1097" s="10">
        <f>D1097+E1097+F1097+G1097+H1097+I1097</f>
        <v/>
      </c>
    </row>
    <row r="1098" ht="18" customHeight="1">
      <c r="A1098" s="6" t="inlineStr">
        <is>
          <t>F001</t>
        </is>
      </c>
      <c r="B1098" s="5" t="inlineStr">
        <is>
          <t>企劃組</t>
        </is>
      </c>
      <c r="C1098" s="6" t="n">
        <v>112</v>
      </c>
      <c r="D1098" s="10">
        <f>J1097</f>
        <v/>
      </c>
      <c r="E1098" s="4">
        <f>SUMIFS('01_異動主檔'!$F:$F,'01_異動主檔'!$B:$B,112,'01_異動主檔'!$D:$D,B1098,'01_異動主檔'!$E:$E,"移入")</f>
        <v/>
      </c>
      <c r="F1098" s="4">
        <f>-SUMIFS('01_異動主檔'!$F:$F,'01_異動主檔'!$B:$B,112,'01_異動主檔'!$D:$D,B1098,'01_異動主檔'!$E:$E,"移出")</f>
        <v/>
      </c>
      <c r="G1098" s="4">
        <f>SUMIFS('01_異動主檔'!$F:$F,'01_異動主檔'!$B:$B,112,'01_異動主檔'!$D:$D,B1098,'01_異動主檔'!$E:$E,"新增")</f>
        <v/>
      </c>
      <c r="H1098" s="4">
        <f>-SUMIFS('01_異動主檔'!$F:$F,'01_異動主檔'!$B:$B,112,'01_異動主檔'!$D:$D,B1098,'01_異動主檔'!$E:$E,"減列")</f>
        <v/>
      </c>
      <c r="I1098" s="4">
        <f>-SUMIFS('01_異動主檔'!$F:$F,'01_異動主檔'!$B:$B,112,'01_異動主檔'!$D:$D,B1098,'01_異動主檔'!$E:$E,"精簡")</f>
        <v/>
      </c>
      <c r="J1098" s="10">
        <f>D1098+E1098+F1098+G1098+H1098+I1098</f>
        <v/>
      </c>
    </row>
    <row r="1099" ht="18" customHeight="1">
      <c r="A1099" s="4" t="inlineStr">
        <is>
          <t>F001</t>
        </is>
      </c>
      <c r="B1099" s="3" t="inlineStr">
        <is>
          <t>企劃組</t>
        </is>
      </c>
      <c r="C1099" s="4" t="n">
        <v>113</v>
      </c>
      <c r="D1099" s="10">
        <f>J1098</f>
        <v/>
      </c>
      <c r="E1099" s="4">
        <f>SUMIFS('01_異動主檔'!$F:$F,'01_異動主檔'!$B:$B,113,'01_異動主檔'!$D:$D,B1099,'01_異動主檔'!$E:$E,"移入")</f>
        <v/>
      </c>
      <c r="F1099" s="4">
        <f>-SUMIFS('01_異動主檔'!$F:$F,'01_異動主檔'!$B:$B,113,'01_異動主檔'!$D:$D,B1099,'01_異動主檔'!$E:$E,"移出")</f>
        <v/>
      </c>
      <c r="G1099" s="4">
        <f>SUMIFS('01_異動主檔'!$F:$F,'01_異動主檔'!$B:$B,113,'01_異動主檔'!$D:$D,B1099,'01_異動主檔'!$E:$E,"新增")</f>
        <v/>
      </c>
      <c r="H1099" s="4">
        <f>-SUMIFS('01_異動主檔'!$F:$F,'01_異動主檔'!$B:$B,113,'01_異動主檔'!$D:$D,B1099,'01_異動主檔'!$E:$E,"減列")</f>
        <v/>
      </c>
      <c r="I1099" s="4">
        <f>-SUMIFS('01_異動主檔'!$F:$F,'01_異動主檔'!$B:$B,113,'01_異動主檔'!$D:$D,B1099,'01_異動主檔'!$E:$E,"精簡")</f>
        <v/>
      </c>
      <c r="J1099" s="10">
        <f>D1099+E1099+F1099+G1099+H1099+I1099</f>
        <v/>
      </c>
    </row>
    <row r="1100" ht="18" customHeight="1">
      <c r="A1100" s="6" t="inlineStr">
        <is>
          <t>F001</t>
        </is>
      </c>
      <c r="B1100" s="5" t="inlineStr">
        <is>
          <t>企劃組</t>
        </is>
      </c>
      <c r="C1100" s="6" t="n">
        <v>114</v>
      </c>
      <c r="D1100" s="10">
        <f>J1099</f>
        <v/>
      </c>
      <c r="E1100" s="4">
        <f>SUMIFS('01_異動主檔'!$F:$F,'01_異動主檔'!$B:$B,114,'01_異動主檔'!$D:$D,B1100,'01_異動主檔'!$E:$E,"移入")</f>
        <v/>
      </c>
      <c r="F1100" s="4">
        <f>-SUMIFS('01_異動主檔'!$F:$F,'01_異動主檔'!$B:$B,114,'01_異動主檔'!$D:$D,B1100,'01_異動主檔'!$E:$E,"移出")</f>
        <v/>
      </c>
      <c r="G1100" s="4">
        <f>SUMIFS('01_異動主檔'!$F:$F,'01_異動主檔'!$B:$B,114,'01_異動主檔'!$D:$D,B1100,'01_異動主檔'!$E:$E,"新增")</f>
        <v/>
      </c>
      <c r="H1100" s="4">
        <f>-SUMIFS('01_異動主檔'!$F:$F,'01_異動主檔'!$B:$B,114,'01_異動主檔'!$D:$D,B1100,'01_異動主檔'!$E:$E,"減列")</f>
        <v/>
      </c>
      <c r="I1100" s="4">
        <f>-SUMIFS('01_異動主檔'!$F:$F,'01_異動主檔'!$B:$B,114,'01_異動主檔'!$D:$D,B1100,'01_異動主檔'!$E:$E,"精簡")</f>
        <v/>
      </c>
      <c r="J1100" s="10">
        <f>D1100+E1100+F1100+G1100+H1100+I1100</f>
        <v/>
      </c>
    </row>
    <row r="1101" ht="18" customHeight="1">
      <c r="A1101" s="4" t="inlineStr">
        <is>
          <t>F001</t>
        </is>
      </c>
      <c r="B1101" s="3" t="inlineStr">
        <is>
          <t>企劃組</t>
        </is>
      </c>
      <c r="C1101" s="4" t="n">
        <v>115</v>
      </c>
      <c r="D1101" s="10">
        <f>J1100</f>
        <v/>
      </c>
      <c r="E1101" s="4">
        <f>SUMIFS('01_異動主檔'!$F:$F,'01_異動主檔'!$B:$B,115,'01_異動主檔'!$D:$D,B1101,'01_異動主檔'!$E:$E,"移入")</f>
        <v/>
      </c>
      <c r="F1101" s="4">
        <f>-SUMIFS('01_異動主檔'!$F:$F,'01_異動主檔'!$B:$B,115,'01_異動主檔'!$D:$D,B1101,'01_異動主檔'!$E:$E,"移出")</f>
        <v/>
      </c>
      <c r="G1101" s="4">
        <f>SUMIFS('01_異動主檔'!$F:$F,'01_異動主檔'!$B:$B,115,'01_異動主檔'!$D:$D,B1101,'01_異動主檔'!$E:$E,"新增")</f>
        <v/>
      </c>
      <c r="H1101" s="4">
        <f>-SUMIFS('01_異動主檔'!$F:$F,'01_異動主檔'!$B:$B,115,'01_異動主檔'!$D:$D,B1101,'01_異動主檔'!$E:$E,"減列")</f>
        <v/>
      </c>
      <c r="I1101" s="4">
        <f>-SUMIFS('01_異動主檔'!$F:$F,'01_異動主檔'!$B:$B,115,'01_異動主檔'!$D:$D,B1101,'01_異動主檔'!$E:$E,"精簡")</f>
        <v/>
      </c>
      <c r="J1101" s="10">
        <f>D1101+E1101+F1101+G1101+H1101+I1101</f>
        <v/>
      </c>
    </row>
    <row r="1102" ht="18" customHeight="1">
      <c r="A1102" s="6" t="inlineStr">
        <is>
          <t>F001</t>
        </is>
      </c>
      <c r="B1102" s="5" t="inlineStr">
        <is>
          <t>企劃組</t>
        </is>
      </c>
      <c r="C1102" s="6" t="n">
        <v>116</v>
      </c>
      <c r="D1102" s="10">
        <f>J1101</f>
        <v/>
      </c>
      <c r="E1102" s="4">
        <f>SUMIFS('01_異動主檔'!$F:$F,'01_異動主檔'!$B:$B,116,'01_異動主檔'!$D:$D,B1102,'01_異動主檔'!$E:$E,"移入")</f>
        <v/>
      </c>
      <c r="F1102" s="4">
        <f>-SUMIFS('01_異動主檔'!$F:$F,'01_異動主檔'!$B:$B,116,'01_異動主檔'!$D:$D,B1102,'01_異動主檔'!$E:$E,"移出")</f>
        <v/>
      </c>
      <c r="G1102" s="4">
        <f>SUMIFS('01_異動主檔'!$F:$F,'01_異動主檔'!$B:$B,116,'01_異動主檔'!$D:$D,B1102,'01_異動主檔'!$E:$E,"新增")</f>
        <v/>
      </c>
      <c r="H1102" s="4">
        <f>-SUMIFS('01_異動主檔'!$F:$F,'01_異動主檔'!$B:$B,116,'01_異動主檔'!$D:$D,B1102,'01_異動主檔'!$E:$E,"減列")</f>
        <v/>
      </c>
      <c r="I1102" s="4">
        <f>-SUMIFS('01_異動主檔'!$F:$F,'01_異動主檔'!$B:$B,116,'01_異動主檔'!$D:$D,B1102,'01_異動主檔'!$E:$E,"精簡")</f>
        <v/>
      </c>
      <c r="J1102" s="10">
        <f>D1102+E1102+F1102+G1102+H1102+I1102</f>
        <v/>
      </c>
    </row>
    <row r="1103" ht="18" customHeight="1">
      <c r="A1103" s="4" t="inlineStr">
        <is>
          <t>F001</t>
        </is>
      </c>
      <c r="B1103" s="3" t="inlineStr">
        <is>
          <t>企劃組</t>
        </is>
      </c>
      <c r="C1103" s="4" t="n">
        <v>117</v>
      </c>
      <c r="D1103" s="10">
        <f>J1102</f>
        <v/>
      </c>
      <c r="E1103" s="4">
        <f>SUMIFS('01_異動主檔'!$F:$F,'01_異動主檔'!$B:$B,117,'01_異動主檔'!$D:$D,B1103,'01_異動主檔'!$E:$E,"移入")</f>
        <v/>
      </c>
      <c r="F1103" s="4">
        <f>-SUMIFS('01_異動主檔'!$F:$F,'01_異動主檔'!$B:$B,117,'01_異動主檔'!$D:$D,B1103,'01_異動主檔'!$E:$E,"移出")</f>
        <v/>
      </c>
      <c r="G1103" s="4">
        <f>SUMIFS('01_異動主檔'!$F:$F,'01_異動主檔'!$B:$B,117,'01_異動主檔'!$D:$D,B1103,'01_異動主檔'!$E:$E,"新增")</f>
        <v/>
      </c>
      <c r="H1103" s="4">
        <f>-SUMIFS('01_異動主檔'!$F:$F,'01_異動主檔'!$B:$B,117,'01_異動主檔'!$D:$D,B1103,'01_異動主檔'!$E:$E,"減列")</f>
        <v/>
      </c>
      <c r="I1103" s="4">
        <f>-SUMIFS('01_異動主檔'!$F:$F,'01_異動主檔'!$B:$B,117,'01_異動主檔'!$D:$D,B1103,'01_異動主檔'!$E:$E,"精簡")</f>
        <v/>
      </c>
      <c r="J1103" s="10">
        <f>D1103+E1103+F1103+G1103+H1103+I1103</f>
        <v/>
      </c>
    </row>
    <row r="1104" ht="18" customHeight="1">
      <c r="A1104" s="6" t="inlineStr">
        <is>
          <t>F001</t>
        </is>
      </c>
      <c r="B1104" s="5" t="inlineStr">
        <is>
          <t>企劃組</t>
        </is>
      </c>
      <c r="C1104" s="6" t="n">
        <v>118</v>
      </c>
      <c r="D1104" s="10">
        <f>J1103</f>
        <v/>
      </c>
      <c r="E1104" s="4">
        <f>SUMIFS('01_異動主檔'!$F:$F,'01_異動主檔'!$B:$B,118,'01_異動主檔'!$D:$D,B1104,'01_異動主檔'!$E:$E,"移入")</f>
        <v/>
      </c>
      <c r="F1104" s="4">
        <f>-SUMIFS('01_異動主檔'!$F:$F,'01_異動主檔'!$B:$B,118,'01_異動主檔'!$D:$D,B1104,'01_異動主檔'!$E:$E,"移出")</f>
        <v/>
      </c>
      <c r="G1104" s="4">
        <f>SUMIFS('01_異動主檔'!$F:$F,'01_異動主檔'!$B:$B,118,'01_異動主檔'!$D:$D,B1104,'01_異動主檔'!$E:$E,"新增")</f>
        <v/>
      </c>
      <c r="H1104" s="4">
        <f>-SUMIFS('01_異動主檔'!$F:$F,'01_異動主檔'!$B:$B,118,'01_異動主檔'!$D:$D,B1104,'01_異動主檔'!$E:$E,"減列")</f>
        <v/>
      </c>
      <c r="I1104" s="4">
        <f>-SUMIFS('01_異動主檔'!$F:$F,'01_異動主檔'!$B:$B,118,'01_異動主檔'!$D:$D,B1104,'01_異動主檔'!$E:$E,"精簡")</f>
        <v/>
      </c>
      <c r="J1104" s="10">
        <f>D1104+E1104+F1104+G1104+H1104+I1104</f>
        <v/>
      </c>
    </row>
    <row r="1105" ht="18" customHeight="1">
      <c r="A1105" s="4" t="inlineStr">
        <is>
          <t>F001</t>
        </is>
      </c>
      <c r="B1105" s="3" t="inlineStr">
        <is>
          <t>企劃組</t>
        </is>
      </c>
      <c r="C1105" s="4" t="n">
        <v>119</v>
      </c>
      <c r="D1105" s="10">
        <f>J1104</f>
        <v/>
      </c>
      <c r="E1105" s="4">
        <f>SUMIFS('01_異動主檔'!$F:$F,'01_異動主檔'!$B:$B,119,'01_異動主檔'!$D:$D,B1105,'01_異動主檔'!$E:$E,"移入")</f>
        <v/>
      </c>
      <c r="F1105" s="4">
        <f>-SUMIFS('01_異動主檔'!$F:$F,'01_異動主檔'!$B:$B,119,'01_異動主檔'!$D:$D,B1105,'01_異動主檔'!$E:$E,"移出")</f>
        <v/>
      </c>
      <c r="G1105" s="4">
        <f>SUMIFS('01_異動主檔'!$F:$F,'01_異動主檔'!$B:$B,119,'01_異動主檔'!$D:$D,B1105,'01_異動主檔'!$E:$E,"新增")</f>
        <v/>
      </c>
      <c r="H1105" s="4">
        <f>-SUMIFS('01_異動主檔'!$F:$F,'01_異動主檔'!$B:$B,119,'01_異動主檔'!$D:$D,B1105,'01_異動主檔'!$E:$E,"減列")</f>
        <v/>
      </c>
      <c r="I1105" s="4">
        <f>-SUMIFS('01_異動主檔'!$F:$F,'01_異動主檔'!$B:$B,119,'01_異動主檔'!$D:$D,B1105,'01_異動主檔'!$E:$E,"精簡")</f>
        <v/>
      </c>
      <c r="J1105" s="10">
        <f>D1105+E1105+F1105+G1105+H1105+I1105</f>
        <v/>
      </c>
    </row>
    <row r="1106" ht="18" customHeight="1">
      <c r="A1106" s="6" t="inlineStr">
        <is>
          <t>F001</t>
        </is>
      </c>
      <c r="B1106" s="5" t="inlineStr">
        <is>
          <t>企劃組</t>
        </is>
      </c>
      <c r="C1106" s="6" t="n">
        <v>120</v>
      </c>
      <c r="D1106" s="10">
        <f>J1105</f>
        <v/>
      </c>
      <c r="E1106" s="4">
        <f>SUMIFS('01_異動主檔'!$F:$F,'01_異動主檔'!$B:$B,120,'01_異動主檔'!$D:$D,B1106,'01_異動主檔'!$E:$E,"移入")</f>
        <v/>
      </c>
      <c r="F1106" s="4">
        <f>-SUMIFS('01_異動主檔'!$F:$F,'01_異動主檔'!$B:$B,120,'01_異動主檔'!$D:$D,B1106,'01_異動主檔'!$E:$E,"移出")</f>
        <v/>
      </c>
      <c r="G1106" s="4">
        <f>SUMIFS('01_異動主檔'!$F:$F,'01_異動主檔'!$B:$B,120,'01_異動主檔'!$D:$D,B1106,'01_異動主檔'!$E:$E,"新增")</f>
        <v/>
      </c>
      <c r="H1106" s="4">
        <f>-SUMIFS('01_異動主檔'!$F:$F,'01_異動主檔'!$B:$B,120,'01_異動主檔'!$D:$D,B1106,'01_異動主檔'!$E:$E,"減列")</f>
        <v/>
      </c>
      <c r="I1106" s="4">
        <f>-SUMIFS('01_異動主檔'!$F:$F,'01_異動主檔'!$B:$B,120,'01_異動主檔'!$D:$D,B1106,'01_異動主檔'!$E:$E,"精簡")</f>
        <v/>
      </c>
      <c r="J1106" s="10">
        <f>D1106+E1106+F1106+G1106+H1106+I1106</f>
        <v/>
      </c>
    </row>
    <row r="1107" ht="18" customHeight="1">
      <c r="A1107" s="4" t="inlineStr">
        <is>
          <t>F001</t>
        </is>
      </c>
      <c r="B1107" s="3" t="inlineStr">
        <is>
          <t>企劃組</t>
        </is>
      </c>
      <c r="C1107" s="4" t="n">
        <v>121</v>
      </c>
      <c r="D1107" s="10">
        <f>J1106</f>
        <v/>
      </c>
      <c r="E1107" s="4">
        <f>SUMIFS('01_異動主檔'!$F:$F,'01_異動主檔'!$B:$B,121,'01_異動主檔'!$D:$D,B1107,'01_異動主檔'!$E:$E,"移入")</f>
        <v/>
      </c>
      <c r="F1107" s="4">
        <f>-SUMIFS('01_異動主檔'!$F:$F,'01_異動主檔'!$B:$B,121,'01_異動主檔'!$D:$D,B1107,'01_異動主檔'!$E:$E,"移出")</f>
        <v/>
      </c>
      <c r="G1107" s="4">
        <f>SUMIFS('01_異動主檔'!$F:$F,'01_異動主檔'!$B:$B,121,'01_異動主檔'!$D:$D,B1107,'01_異動主檔'!$E:$E,"新增")</f>
        <v/>
      </c>
      <c r="H1107" s="4">
        <f>-SUMIFS('01_異動主檔'!$F:$F,'01_異動主檔'!$B:$B,121,'01_異動主檔'!$D:$D,B1107,'01_異動主檔'!$E:$E,"減列")</f>
        <v/>
      </c>
      <c r="I1107" s="4">
        <f>-SUMIFS('01_異動主檔'!$F:$F,'01_異動主檔'!$B:$B,121,'01_異動主檔'!$D:$D,B1107,'01_異動主檔'!$E:$E,"精簡")</f>
        <v/>
      </c>
      <c r="J1107" s="10">
        <f>D1107+E1107+F1107+G1107+H1107+I1107</f>
        <v/>
      </c>
    </row>
    <row r="1108" ht="18" customHeight="1">
      <c r="A1108" s="6" t="inlineStr">
        <is>
          <t>F001</t>
        </is>
      </c>
      <c r="B1108" s="5" t="inlineStr">
        <is>
          <t>企劃組</t>
        </is>
      </c>
      <c r="C1108" s="6" t="n">
        <v>122</v>
      </c>
      <c r="D1108" s="10">
        <f>J1107</f>
        <v/>
      </c>
      <c r="E1108" s="4">
        <f>SUMIFS('01_異動主檔'!$F:$F,'01_異動主檔'!$B:$B,122,'01_異動主檔'!$D:$D,B1108,'01_異動主檔'!$E:$E,"移入")</f>
        <v/>
      </c>
      <c r="F1108" s="4">
        <f>-SUMIFS('01_異動主檔'!$F:$F,'01_異動主檔'!$B:$B,122,'01_異動主檔'!$D:$D,B1108,'01_異動主檔'!$E:$E,"移出")</f>
        <v/>
      </c>
      <c r="G1108" s="4">
        <f>SUMIFS('01_異動主檔'!$F:$F,'01_異動主檔'!$B:$B,122,'01_異動主檔'!$D:$D,B1108,'01_異動主檔'!$E:$E,"新增")</f>
        <v/>
      </c>
      <c r="H1108" s="4">
        <f>-SUMIFS('01_異動主檔'!$F:$F,'01_異動主檔'!$B:$B,122,'01_異動主檔'!$D:$D,B1108,'01_異動主檔'!$E:$E,"減列")</f>
        <v/>
      </c>
      <c r="I1108" s="4">
        <f>-SUMIFS('01_異動主檔'!$F:$F,'01_異動主檔'!$B:$B,122,'01_異動主檔'!$D:$D,B1108,'01_異動主檔'!$E:$E,"精簡")</f>
        <v/>
      </c>
      <c r="J1108" s="10">
        <f>D1108+E1108+F1108+G1108+H1108+I1108</f>
        <v/>
      </c>
    </row>
    <row r="1109" ht="18" customHeight="1">
      <c r="A1109" s="4" t="inlineStr">
        <is>
          <t>F001</t>
        </is>
      </c>
      <c r="B1109" s="3" t="inlineStr">
        <is>
          <t>企劃組</t>
        </is>
      </c>
      <c r="C1109" s="4" t="n">
        <v>123</v>
      </c>
      <c r="D1109" s="10">
        <f>J1108</f>
        <v/>
      </c>
      <c r="E1109" s="4">
        <f>SUMIFS('01_異動主檔'!$F:$F,'01_異動主檔'!$B:$B,123,'01_異動主檔'!$D:$D,B1109,'01_異動主檔'!$E:$E,"移入")</f>
        <v/>
      </c>
      <c r="F1109" s="4">
        <f>-SUMIFS('01_異動主檔'!$F:$F,'01_異動主檔'!$B:$B,123,'01_異動主檔'!$D:$D,B1109,'01_異動主檔'!$E:$E,"移出")</f>
        <v/>
      </c>
      <c r="G1109" s="4">
        <f>SUMIFS('01_異動主檔'!$F:$F,'01_異動主檔'!$B:$B,123,'01_異動主檔'!$D:$D,B1109,'01_異動主檔'!$E:$E,"新增")</f>
        <v/>
      </c>
      <c r="H1109" s="4">
        <f>-SUMIFS('01_異動主檔'!$F:$F,'01_異動主檔'!$B:$B,123,'01_異動主檔'!$D:$D,B1109,'01_異動主檔'!$E:$E,"減列")</f>
        <v/>
      </c>
      <c r="I1109" s="4">
        <f>-SUMIFS('01_異動主檔'!$F:$F,'01_異動主檔'!$B:$B,123,'01_異動主檔'!$D:$D,B1109,'01_異動主檔'!$E:$E,"精簡")</f>
        <v/>
      </c>
      <c r="J1109" s="10">
        <f>D1109+E1109+F1109+G1109+H1109+I1109</f>
        <v/>
      </c>
    </row>
    <row r="1110" ht="18" customHeight="1">
      <c r="A1110" s="6" t="inlineStr">
        <is>
          <t>F001</t>
        </is>
      </c>
      <c r="B1110" s="5" t="inlineStr">
        <is>
          <t>企劃組</t>
        </is>
      </c>
      <c r="C1110" s="6" t="n">
        <v>124</v>
      </c>
      <c r="D1110" s="10">
        <f>J1109</f>
        <v/>
      </c>
      <c r="E1110" s="4">
        <f>SUMIFS('01_異動主檔'!$F:$F,'01_異動主檔'!$B:$B,124,'01_異動主檔'!$D:$D,B1110,'01_異動主檔'!$E:$E,"移入")</f>
        <v/>
      </c>
      <c r="F1110" s="4">
        <f>-SUMIFS('01_異動主檔'!$F:$F,'01_異動主檔'!$B:$B,124,'01_異動主檔'!$D:$D,B1110,'01_異動主檔'!$E:$E,"移出")</f>
        <v/>
      </c>
      <c r="G1110" s="4">
        <f>SUMIFS('01_異動主檔'!$F:$F,'01_異動主檔'!$B:$B,124,'01_異動主檔'!$D:$D,B1110,'01_異動主檔'!$E:$E,"新增")</f>
        <v/>
      </c>
      <c r="H1110" s="4">
        <f>-SUMIFS('01_異動主檔'!$F:$F,'01_異動主檔'!$B:$B,124,'01_異動主檔'!$D:$D,B1110,'01_異動主檔'!$E:$E,"減列")</f>
        <v/>
      </c>
      <c r="I1110" s="4">
        <f>-SUMIFS('01_異動主檔'!$F:$F,'01_異動主檔'!$B:$B,124,'01_異動主檔'!$D:$D,B1110,'01_異動主檔'!$E:$E,"精簡")</f>
        <v/>
      </c>
      <c r="J1110" s="10">
        <f>D1110+E1110+F1110+G1110+H1110+I1110</f>
        <v/>
      </c>
    </row>
    <row r="1111" ht="18" customHeight="1">
      <c r="A1111" s="4" t="inlineStr">
        <is>
          <t>F001</t>
        </is>
      </c>
      <c r="B1111" s="3" t="inlineStr">
        <is>
          <t>企劃組</t>
        </is>
      </c>
      <c r="C1111" s="4" t="n">
        <v>125</v>
      </c>
      <c r="D1111" s="10">
        <f>J1110</f>
        <v/>
      </c>
      <c r="E1111" s="4">
        <f>SUMIFS('01_異動主檔'!$F:$F,'01_異動主檔'!$B:$B,125,'01_異動主檔'!$D:$D,B1111,'01_異動主檔'!$E:$E,"移入")</f>
        <v/>
      </c>
      <c r="F1111" s="4">
        <f>-SUMIFS('01_異動主檔'!$F:$F,'01_異動主檔'!$B:$B,125,'01_異動主檔'!$D:$D,B1111,'01_異動主檔'!$E:$E,"移出")</f>
        <v/>
      </c>
      <c r="G1111" s="4">
        <f>SUMIFS('01_異動主檔'!$F:$F,'01_異動主檔'!$B:$B,125,'01_異動主檔'!$D:$D,B1111,'01_異動主檔'!$E:$E,"新增")</f>
        <v/>
      </c>
      <c r="H1111" s="4">
        <f>-SUMIFS('01_異動主檔'!$F:$F,'01_異動主檔'!$B:$B,125,'01_異動主檔'!$D:$D,B1111,'01_異動主檔'!$E:$E,"減列")</f>
        <v/>
      </c>
      <c r="I1111" s="4">
        <f>-SUMIFS('01_異動主檔'!$F:$F,'01_異動主檔'!$B:$B,125,'01_異動主檔'!$D:$D,B1111,'01_異動主檔'!$E:$E,"精簡")</f>
        <v/>
      </c>
      <c r="J1111" s="10">
        <f>D1111+E1111+F1111+G1111+H1111+I1111</f>
        <v/>
      </c>
    </row>
    <row r="1112" ht="18" customHeight="1">
      <c r="A1112" s="6" t="inlineStr">
        <is>
          <t>F002</t>
        </is>
      </c>
      <c r="B1112" s="5" t="inlineStr">
        <is>
          <t>管理組</t>
        </is>
      </c>
      <c r="C1112" s="6" t="n">
        <v>99</v>
      </c>
      <c r="D1112" s="10">
        <f>'02_年初員額設定'!C46</f>
        <v/>
      </c>
      <c r="E1112" s="4">
        <f>SUMIFS('01_異動主檔'!$F:$F,'01_異動主檔'!$B:$B,99,'01_異動主檔'!$D:$D,B1112,'01_異動主檔'!$E:$E,"移入")</f>
        <v/>
      </c>
      <c r="F1112" s="4">
        <f>-SUMIFS('01_異動主檔'!$F:$F,'01_異動主檔'!$B:$B,99,'01_異動主檔'!$D:$D,B1112,'01_異動主檔'!$E:$E,"移出")</f>
        <v/>
      </c>
      <c r="G1112" s="4">
        <f>SUMIFS('01_異動主檔'!$F:$F,'01_異動主檔'!$B:$B,99,'01_異動主檔'!$D:$D,B1112,'01_異動主檔'!$E:$E,"新增")</f>
        <v/>
      </c>
      <c r="H1112" s="4">
        <f>-SUMIFS('01_異動主檔'!$F:$F,'01_異動主檔'!$B:$B,99,'01_異動主檔'!$D:$D,B1112,'01_異動主檔'!$E:$E,"減列")</f>
        <v/>
      </c>
      <c r="I1112" s="4">
        <f>-SUMIFS('01_異動主檔'!$F:$F,'01_異動主檔'!$B:$B,99,'01_異動主檔'!$D:$D,B1112,'01_異動主檔'!$E:$E,"精簡")</f>
        <v/>
      </c>
      <c r="J1112" s="10">
        <f>D1112+E1112+F1112+G1112+H1112+I1112</f>
        <v/>
      </c>
    </row>
    <row r="1113" ht="18" customHeight="1">
      <c r="A1113" s="4" t="inlineStr">
        <is>
          <t>F002</t>
        </is>
      </c>
      <c r="B1113" s="3" t="inlineStr">
        <is>
          <t>管理組</t>
        </is>
      </c>
      <c r="C1113" s="4" t="n">
        <v>100</v>
      </c>
      <c r="D1113" s="10">
        <f>J1112</f>
        <v/>
      </c>
      <c r="E1113" s="4">
        <f>SUMIFS('01_異動主檔'!$F:$F,'01_異動主檔'!$B:$B,100,'01_異動主檔'!$D:$D,B1113,'01_異動主檔'!$E:$E,"移入")</f>
        <v/>
      </c>
      <c r="F1113" s="4">
        <f>-SUMIFS('01_異動主檔'!$F:$F,'01_異動主檔'!$B:$B,100,'01_異動主檔'!$D:$D,B1113,'01_異動主檔'!$E:$E,"移出")</f>
        <v/>
      </c>
      <c r="G1113" s="4">
        <f>SUMIFS('01_異動主檔'!$F:$F,'01_異動主檔'!$B:$B,100,'01_異動主檔'!$D:$D,B1113,'01_異動主檔'!$E:$E,"新增")</f>
        <v/>
      </c>
      <c r="H1113" s="4">
        <f>-SUMIFS('01_異動主檔'!$F:$F,'01_異動主檔'!$B:$B,100,'01_異動主檔'!$D:$D,B1113,'01_異動主檔'!$E:$E,"減列")</f>
        <v/>
      </c>
      <c r="I1113" s="4">
        <f>-SUMIFS('01_異動主檔'!$F:$F,'01_異動主檔'!$B:$B,100,'01_異動主檔'!$D:$D,B1113,'01_異動主檔'!$E:$E,"精簡")</f>
        <v/>
      </c>
      <c r="J1113" s="10">
        <f>D1113+E1113+F1113+G1113+H1113+I1113</f>
        <v/>
      </c>
    </row>
    <row r="1114" ht="18" customHeight="1">
      <c r="A1114" s="6" t="inlineStr">
        <is>
          <t>F002</t>
        </is>
      </c>
      <c r="B1114" s="5" t="inlineStr">
        <is>
          <t>管理組</t>
        </is>
      </c>
      <c r="C1114" s="6" t="n">
        <v>101</v>
      </c>
      <c r="D1114" s="10">
        <f>J1113</f>
        <v/>
      </c>
      <c r="E1114" s="4">
        <f>SUMIFS('01_異動主檔'!$F:$F,'01_異動主檔'!$B:$B,101,'01_異動主檔'!$D:$D,B1114,'01_異動主檔'!$E:$E,"移入")</f>
        <v/>
      </c>
      <c r="F1114" s="4">
        <f>-SUMIFS('01_異動主檔'!$F:$F,'01_異動主檔'!$B:$B,101,'01_異動主檔'!$D:$D,B1114,'01_異動主檔'!$E:$E,"移出")</f>
        <v/>
      </c>
      <c r="G1114" s="4">
        <f>SUMIFS('01_異動主檔'!$F:$F,'01_異動主檔'!$B:$B,101,'01_異動主檔'!$D:$D,B1114,'01_異動主檔'!$E:$E,"新增")</f>
        <v/>
      </c>
      <c r="H1114" s="4">
        <f>-SUMIFS('01_異動主檔'!$F:$F,'01_異動主檔'!$B:$B,101,'01_異動主檔'!$D:$D,B1114,'01_異動主檔'!$E:$E,"減列")</f>
        <v/>
      </c>
      <c r="I1114" s="4">
        <f>-SUMIFS('01_異動主檔'!$F:$F,'01_異動主檔'!$B:$B,101,'01_異動主檔'!$D:$D,B1114,'01_異動主檔'!$E:$E,"精簡")</f>
        <v/>
      </c>
      <c r="J1114" s="10">
        <f>D1114+E1114+F1114+G1114+H1114+I1114</f>
        <v/>
      </c>
    </row>
    <row r="1115" ht="18" customHeight="1">
      <c r="A1115" s="4" t="inlineStr">
        <is>
          <t>F002</t>
        </is>
      </c>
      <c r="B1115" s="3" t="inlineStr">
        <is>
          <t>管理組</t>
        </is>
      </c>
      <c r="C1115" s="4" t="n">
        <v>102</v>
      </c>
      <c r="D1115" s="10">
        <f>J1114</f>
        <v/>
      </c>
      <c r="E1115" s="4">
        <f>SUMIFS('01_異動主檔'!$F:$F,'01_異動主檔'!$B:$B,102,'01_異動主檔'!$D:$D,B1115,'01_異動主檔'!$E:$E,"移入")</f>
        <v/>
      </c>
      <c r="F1115" s="4">
        <f>-SUMIFS('01_異動主檔'!$F:$F,'01_異動主檔'!$B:$B,102,'01_異動主檔'!$D:$D,B1115,'01_異動主檔'!$E:$E,"移出")</f>
        <v/>
      </c>
      <c r="G1115" s="4">
        <f>SUMIFS('01_異動主檔'!$F:$F,'01_異動主檔'!$B:$B,102,'01_異動主檔'!$D:$D,B1115,'01_異動主檔'!$E:$E,"新增")</f>
        <v/>
      </c>
      <c r="H1115" s="4">
        <f>-SUMIFS('01_異動主檔'!$F:$F,'01_異動主檔'!$B:$B,102,'01_異動主檔'!$D:$D,B1115,'01_異動主檔'!$E:$E,"減列")</f>
        <v/>
      </c>
      <c r="I1115" s="4">
        <f>-SUMIFS('01_異動主檔'!$F:$F,'01_異動主檔'!$B:$B,102,'01_異動主檔'!$D:$D,B1115,'01_異動主檔'!$E:$E,"精簡")</f>
        <v/>
      </c>
      <c r="J1115" s="10">
        <f>D1115+E1115+F1115+G1115+H1115+I1115</f>
        <v/>
      </c>
    </row>
    <row r="1116" ht="18" customHeight="1">
      <c r="A1116" s="6" t="inlineStr">
        <is>
          <t>F002</t>
        </is>
      </c>
      <c r="B1116" s="5" t="inlineStr">
        <is>
          <t>管理組</t>
        </is>
      </c>
      <c r="C1116" s="6" t="n">
        <v>103</v>
      </c>
      <c r="D1116" s="10">
        <f>J1115</f>
        <v/>
      </c>
      <c r="E1116" s="4">
        <f>SUMIFS('01_異動主檔'!$F:$F,'01_異動主檔'!$B:$B,103,'01_異動主檔'!$D:$D,B1116,'01_異動主檔'!$E:$E,"移入")</f>
        <v/>
      </c>
      <c r="F1116" s="4">
        <f>-SUMIFS('01_異動主檔'!$F:$F,'01_異動主檔'!$B:$B,103,'01_異動主檔'!$D:$D,B1116,'01_異動主檔'!$E:$E,"移出")</f>
        <v/>
      </c>
      <c r="G1116" s="4">
        <f>SUMIFS('01_異動主檔'!$F:$F,'01_異動主檔'!$B:$B,103,'01_異動主檔'!$D:$D,B1116,'01_異動主檔'!$E:$E,"新增")</f>
        <v/>
      </c>
      <c r="H1116" s="4">
        <f>-SUMIFS('01_異動主檔'!$F:$F,'01_異動主檔'!$B:$B,103,'01_異動主檔'!$D:$D,B1116,'01_異動主檔'!$E:$E,"減列")</f>
        <v/>
      </c>
      <c r="I1116" s="4">
        <f>-SUMIFS('01_異動主檔'!$F:$F,'01_異動主檔'!$B:$B,103,'01_異動主檔'!$D:$D,B1116,'01_異動主檔'!$E:$E,"精簡")</f>
        <v/>
      </c>
      <c r="J1116" s="10">
        <f>D1116+E1116+F1116+G1116+H1116+I1116</f>
        <v/>
      </c>
    </row>
    <row r="1117" ht="18" customHeight="1">
      <c r="A1117" s="4" t="inlineStr">
        <is>
          <t>F002</t>
        </is>
      </c>
      <c r="B1117" s="3" t="inlineStr">
        <is>
          <t>管理組</t>
        </is>
      </c>
      <c r="C1117" s="4" t="n">
        <v>104</v>
      </c>
      <c r="D1117" s="10">
        <f>J1116</f>
        <v/>
      </c>
      <c r="E1117" s="4">
        <f>SUMIFS('01_異動主檔'!$F:$F,'01_異動主檔'!$B:$B,104,'01_異動主檔'!$D:$D,B1117,'01_異動主檔'!$E:$E,"移入")</f>
        <v/>
      </c>
      <c r="F1117" s="4">
        <f>-SUMIFS('01_異動主檔'!$F:$F,'01_異動主檔'!$B:$B,104,'01_異動主檔'!$D:$D,B1117,'01_異動主檔'!$E:$E,"移出")</f>
        <v/>
      </c>
      <c r="G1117" s="4">
        <f>SUMIFS('01_異動主檔'!$F:$F,'01_異動主檔'!$B:$B,104,'01_異動主檔'!$D:$D,B1117,'01_異動主檔'!$E:$E,"新增")</f>
        <v/>
      </c>
      <c r="H1117" s="4">
        <f>-SUMIFS('01_異動主檔'!$F:$F,'01_異動主檔'!$B:$B,104,'01_異動主檔'!$D:$D,B1117,'01_異動主檔'!$E:$E,"減列")</f>
        <v/>
      </c>
      <c r="I1117" s="4">
        <f>-SUMIFS('01_異動主檔'!$F:$F,'01_異動主檔'!$B:$B,104,'01_異動主檔'!$D:$D,B1117,'01_異動主檔'!$E:$E,"精簡")</f>
        <v/>
      </c>
      <c r="J1117" s="10">
        <f>D1117+E1117+F1117+G1117+H1117+I1117</f>
        <v/>
      </c>
    </row>
    <row r="1118" ht="18" customHeight="1">
      <c r="A1118" s="6" t="inlineStr">
        <is>
          <t>F002</t>
        </is>
      </c>
      <c r="B1118" s="5" t="inlineStr">
        <is>
          <t>管理組</t>
        </is>
      </c>
      <c r="C1118" s="6" t="n">
        <v>105</v>
      </c>
      <c r="D1118" s="10">
        <f>J1117</f>
        <v/>
      </c>
      <c r="E1118" s="4">
        <f>SUMIFS('01_異動主檔'!$F:$F,'01_異動主檔'!$B:$B,105,'01_異動主檔'!$D:$D,B1118,'01_異動主檔'!$E:$E,"移入")</f>
        <v/>
      </c>
      <c r="F1118" s="4">
        <f>-SUMIFS('01_異動主檔'!$F:$F,'01_異動主檔'!$B:$B,105,'01_異動主檔'!$D:$D,B1118,'01_異動主檔'!$E:$E,"移出")</f>
        <v/>
      </c>
      <c r="G1118" s="4">
        <f>SUMIFS('01_異動主檔'!$F:$F,'01_異動主檔'!$B:$B,105,'01_異動主檔'!$D:$D,B1118,'01_異動主檔'!$E:$E,"新增")</f>
        <v/>
      </c>
      <c r="H1118" s="4">
        <f>-SUMIFS('01_異動主檔'!$F:$F,'01_異動主檔'!$B:$B,105,'01_異動主檔'!$D:$D,B1118,'01_異動主檔'!$E:$E,"減列")</f>
        <v/>
      </c>
      <c r="I1118" s="4">
        <f>-SUMIFS('01_異動主檔'!$F:$F,'01_異動主檔'!$B:$B,105,'01_異動主檔'!$D:$D,B1118,'01_異動主檔'!$E:$E,"精簡")</f>
        <v/>
      </c>
      <c r="J1118" s="10">
        <f>D1118+E1118+F1118+G1118+H1118+I1118</f>
        <v/>
      </c>
    </row>
    <row r="1119" ht="18" customHeight="1">
      <c r="A1119" s="4" t="inlineStr">
        <is>
          <t>F002</t>
        </is>
      </c>
      <c r="B1119" s="3" t="inlineStr">
        <is>
          <t>管理組</t>
        </is>
      </c>
      <c r="C1119" s="4" t="n">
        <v>106</v>
      </c>
      <c r="D1119" s="10">
        <f>J1118</f>
        <v/>
      </c>
      <c r="E1119" s="4">
        <f>SUMIFS('01_異動主檔'!$F:$F,'01_異動主檔'!$B:$B,106,'01_異動主檔'!$D:$D,B1119,'01_異動主檔'!$E:$E,"移入")</f>
        <v/>
      </c>
      <c r="F1119" s="4">
        <f>-SUMIFS('01_異動主檔'!$F:$F,'01_異動主檔'!$B:$B,106,'01_異動主檔'!$D:$D,B1119,'01_異動主檔'!$E:$E,"移出")</f>
        <v/>
      </c>
      <c r="G1119" s="4">
        <f>SUMIFS('01_異動主檔'!$F:$F,'01_異動主檔'!$B:$B,106,'01_異動主檔'!$D:$D,B1119,'01_異動主檔'!$E:$E,"新增")</f>
        <v/>
      </c>
      <c r="H1119" s="4">
        <f>-SUMIFS('01_異動主檔'!$F:$F,'01_異動主檔'!$B:$B,106,'01_異動主檔'!$D:$D,B1119,'01_異動主檔'!$E:$E,"減列")</f>
        <v/>
      </c>
      <c r="I1119" s="4">
        <f>-SUMIFS('01_異動主檔'!$F:$F,'01_異動主檔'!$B:$B,106,'01_異動主檔'!$D:$D,B1119,'01_異動主檔'!$E:$E,"精簡")</f>
        <v/>
      </c>
      <c r="J1119" s="10">
        <f>D1119+E1119+F1119+G1119+H1119+I1119</f>
        <v/>
      </c>
    </row>
    <row r="1120" ht="18" customHeight="1">
      <c r="A1120" s="6" t="inlineStr">
        <is>
          <t>F002</t>
        </is>
      </c>
      <c r="B1120" s="5" t="inlineStr">
        <is>
          <t>管理組</t>
        </is>
      </c>
      <c r="C1120" s="6" t="n">
        <v>107</v>
      </c>
      <c r="D1120" s="10">
        <f>J1119</f>
        <v/>
      </c>
      <c r="E1120" s="4">
        <f>SUMIFS('01_異動主檔'!$F:$F,'01_異動主檔'!$B:$B,107,'01_異動主檔'!$D:$D,B1120,'01_異動主檔'!$E:$E,"移入")</f>
        <v/>
      </c>
      <c r="F1120" s="4">
        <f>-SUMIFS('01_異動主檔'!$F:$F,'01_異動主檔'!$B:$B,107,'01_異動主檔'!$D:$D,B1120,'01_異動主檔'!$E:$E,"移出")</f>
        <v/>
      </c>
      <c r="G1120" s="4">
        <f>SUMIFS('01_異動主檔'!$F:$F,'01_異動主檔'!$B:$B,107,'01_異動主檔'!$D:$D,B1120,'01_異動主檔'!$E:$E,"新增")</f>
        <v/>
      </c>
      <c r="H1120" s="4">
        <f>-SUMIFS('01_異動主檔'!$F:$F,'01_異動主檔'!$B:$B,107,'01_異動主檔'!$D:$D,B1120,'01_異動主檔'!$E:$E,"減列")</f>
        <v/>
      </c>
      <c r="I1120" s="4">
        <f>-SUMIFS('01_異動主檔'!$F:$F,'01_異動主檔'!$B:$B,107,'01_異動主檔'!$D:$D,B1120,'01_異動主檔'!$E:$E,"精簡")</f>
        <v/>
      </c>
      <c r="J1120" s="10">
        <f>D1120+E1120+F1120+G1120+H1120+I1120</f>
        <v/>
      </c>
    </row>
    <row r="1121" ht="18" customHeight="1">
      <c r="A1121" s="4" t="inlineStr">
        <is>
          <t>F002</t>
        </is>
      </c>
      <c r="B1121" s="3" t="inlineStr">
        <is>
          <t>管理組</t>
        </is>
      </c>
      <c r="C1121" s="4" t="n">
        <v>108</v>
      </c>
      <c r="D1121" s="10">
        <f>J1120</f>
        <v/>
      </c>
      <c r="E1121" s="4">
        <f>SUMIFS('01_異動主檔'!$F:$F,'01_異動主檔'!$B:$B,108,'01_異動主檔'!$D:$D,B1121,'01_異動主檔'!$E:$E,"移入")</f>
        <v/>
      </c>
      <c r="F1121" s="4">
        <f>-SUMIFS('01_異動主檔'!$F:$F,'01_異動主檔'!$B:$B,108,'01_異動主檔'!$D:$D,B1121,'01_異動主檔'!$E:$E,"移出")</f>
        <v/>
      </c>
      <c r="G1121" s="4">
        <f>SUMIFS('01_異動主檔'!$F:$F,'01_異動主檔'!$B:$B,108,'01_異動主檔'!$D:$D,B1121,'01_異動主檔'!$E:$E,"新增")</f>
        <v/>
      </c>
      <c r="H1121" s="4">
        <f>-SUMIFS('01_異動主檔'!$F:$F,'01_異動主檔'!$B:$B,108,'01_異動主檔'!$D:$D,B1121,'01_異動主檔'!$E:$E,"減列")</f>
        <v/>
      </c>
      <c r="I1121" s="4">
        <f>-SUMIFS('01_異動主檔'!$F:$F,'01_異動主檔'!$B:$B,108,'01_異動主檔'!$D:$D,B1121,'01_異動主檔'!$E:$E,"精簡")</f>
        <v/>
      </c>
      <c r="J1121" s="10">
        <f>D1121+E1121+F1121+G1121+H1121+I1121</f>
        <v/>
      </c>
    </row>
    <row r="1122" ht="18" customHeight="1">
      <c r="A1122" s="6" t="inlineStr">
        <is>
          <t>F002</t>
        </is>
      </c>
      <c r="B1122" s="5" t="inlineStr">
        <is>
          <t>管理組</t>
        </is>
      </c>
      <c r="C1122" s="6" t="n">
        <v>109</v>
      </c>
      <c r="D1122" s="10">
        <f>J1121</f>
        <v/>
      </c>
      <c r="E1122" s="4">
        <f>SUMIFS('01_異動主檔'!$F:$F,'01_異動主檔'!$B:$B,109,'01_異動主檔'!$D:$D,B1122,'01_異動主檔'!$E:$E,"移入")</f>
        <v/>
      </c>
      <c r="F1122" s="4">
        <f>-SUMIFS('01_異動主檔'!$F:$F,'01_異動主檔'!$B:$B,109,'01_異動主檔'!$D:$D,B1122,'01_異動主檔'!$E:$E,"移出")</f>
        <v/>
      </c>
      <c r="G1122" s="4">
        <f>SUMIFS('01_異動主檔'!$F:$F,'01_異動主檔'!$B:$B,109,'01_異動主檔'!$D:$D,B1122,'01_異動主檔'!$E:$E,"新增")</f>
        <v/>
      </c>
      <c r="H1122" s="4">
        <f>-SUMIFS('01_異動主檔'!$F:$F,'01_異動主檔'!$B:$B,109,'01_異動主檔'!$D:$D,B1122,'01_異動主檔'!$E:$E,"減列")</f>
        <v/>
      </c>
      <c r="I1122" s="4">
        <f>-SUMIFS('01_異動主檔'!$F:$F,'01_異動主檔'!$B:$B,109,'01_異動主檔'!$D:$D,B1122,'01_異動主檔'!$E:$E,"精簡")</f>
        <v/>
      </c>
      <c r="J1122" s="10">
        <f>D1122+E1122+F1122+G1122+H1122+I1122</f>
        <v/>
      </c>
    </row>
    <row r="1123" ht="18" customHeight="1">
      <c r="A1123" s="4" t="inlineStr">
        <is>
          <t>F002</t>
        </is>
      </c>
      <c r="B1123" s="3" t="inlineStr">
        <is>
          <t>管理組</t>
        </is>
      </c>
      <c r="C1123" s="4" t="n">
        <v>110</v>
      </c>
      <c r="D1123" s="10">
        <f>J1122</f>
        <v/>
      </c>
      <c r="E1123" s="4">
        <f>SUMIFS('01_異動主檔'!$F:$F,'01_異動主檔'!$B:$B,110,'01_異動主檔'!$D:$D,B1123,'01_異動主檔'!$E:$E,"移入")</f>
        <v/>
      </c>
      <c r="F1123" s="4">
        <f>-SUMIFS('01_異動主檔'!$F:$F,'01_異動主檔'!$B:$B,110,'01_異動主檔'!$D:$D,B1123,'01_異動主檔'!$E:$E,"移出")</f>
        <v/>
      </c>
      <c r="G1123" s="4">
        <f>SUMIFS('01_異動主檔'!$F:$F,'01_異動主檔'!$B:$B,110,'01_異動主檔'!$D:$D,B1123,'01_異動主檔'!$E:$E,"新增")</f>
        <v/>
      </c>
      <c r="H1123" s="4">
        <f>-SUMIFS('01_異動主檔'!$F:$F,'01_異動主檔'!$B:$B,110,'01_異動主檔'!$D:$D,B1123,'01_異動主檔'!$E:$E,"減列")</f>
        <v/>
      </c>
      <c r="I1123" s="4">
        <f>-SUMIFS('01_異動主檔'!$F:$F,'01_異動主檔'!$B:$B,110,'01_異動主檔'!$D:$D,B1123,'01_異動主檔'!$E:$E,"精簡")</f>
        <v/>
      </c>
      <c r="J1123" s="10">
        <f>D1123+E1123+F1123+G1123+H1123+I1123</f>
        <v/>
      </c>
    </row>
    <row r="1124" ht="18" customHeight="1">
      <c r="A1124" s="6" t="inlineStr">
        <is>
          <t>F002</t>
        </is>
      </c>
      <c r="B1124" s="5" t="inlineStr">
        <is>
          <t>管理組</t>
        </is>
      </c>
      <c r="C1124" s="6" t="n">
        <v>111</v>
      </c>
      <c r="D1124" s="10">
        <f>J1123</f>
        <v/>
      </c>
      <c r="E1124" s="4">
        <f>SUMIFS('01_異動主檔'!$F:$F,'01_異動主檔'!$B:$B,111,'01_異動主檔'!$D:$D,B1124,'01_異動主檔'!$E:$E,"移入")</f>
        <v/>
      </c>
      <c r="F1124" s="4">
        <f>-SUMIFS('01_異動主檔'!$F:$F,'01_異動主檔'!$B:$B,111,'01_異動主檔'!$D:$D,B1124,'01_異動主檔'!$E:$E,"移出")</f>
        <v/>
      </c>
      <c r="G1124" s="4">
        <f>SUMIFS('01_異動主檔'!$F:$F,'01_異動主檔'!$B:$B,111,'01_異動主檔'!$D:$D,B1124,'01_異動主檔'!$E:$E,"新增")</f>
        <v/>
      </c>
      <c r="H1124" s="4">
        <f>-SUMIFS('01_異動主檔'!$F:$F,'01_異動主檔'!$B:$B,111,'01_異動主檔'!$D:$D,B1124,'01_異動主檔'!$E:$E,"減列")</f>
        <v/>
      </c>
      <c r="I1124" s="4">
        <f>-SUMIFS('01_異動主檔'!$F:$F,'01_異動主檔'!$B:$B,111,'01_異動主檔'!$D:$D,B1124,'01_異動主檔'!$E:$E,"精簡")</f>
        <v/>
      </c>
      <c r="J1124" s="10">
        <f>D1124+E1124+F1124+G1124+H1124+I1124</f>
        <v/>
      </c>
    </row>
    <row r="1125" ht="18" customHeight="1">
      <c r="A1125" s="4" t="inlineStr">
        <is>
          <t>F002</t>
        </is>
      </c>
      <c r="B1125" s="3" t="inlineStr">
        <is>
          <t>管理組</t>
        </is>
      </c>
      <c r="C1125" s="4" t="n">
        <v>112</v>
      </c>
      <c r="D1125" s="10">
        <f>J1124</f>
        <v/>
      </c>
      <c r="E1125" s="4">
        <f>SUMIFS('01_異動主檔'!$F:$F,'01_異動主檔'!$B:$B,112,'01_異動主檔'!$D:$D,B1125,'01_異動主檔'!$E:$E,"移入")</f>
        <v/>
      </c>
      <c r="F1125" s="4">
        <f>-SUMIFS('01_異動主檔'!$F:$F,'01_異動主檔'!$B:$B,112,'01_異動主檔'!$D:$D,B1125,'01_異動主檔'!$E:$E,"移出")</f>
        <v/>
      </c>
      <c r="G1125" s="4">
        <f>SUMIFS('01_異動主檔'!$F:$F,'01_異動主檔'!$B:$B,112,'01_異動主檔'!$D:$D,B1125,'01_異動主檔'!$E:$E,"新增")</f>
        <v/>
      </c>
      <c r="H1125" s="4">
        <f>-SUMIFS('01_異動主檔'!$F:$F,'01_異動主檔'!$B:$B,112,'01_異動主檔'!$D:$D,B1125,'01_異動主檔'!$E:$E,"減列")</f>
        <v/>
      </c>
      <c r="I1125" s="4">
        <f>-SUMIFS('01_異動主檔'!$F:$F,'01_異動主檔'!$B:$B,112,'01_異動主檔'!$D:$D,B1125,'01_異動主檔'!$E:$E,"精簡")</f>
        <v/>
      </c>
      <c r="J1125" s="10">
        <f>D1125+E1125+F1125+G1125+H1125+I1125</f>
        <v/>
      </c>
    </row>
    <row r="1126" ht="18" customHeight="1">
      <c r="A1126" s="6" t="inlineStr">
        <is>
          <t>F002</t>
        </is>
      </c>
      <c r="B1126" s="5" t="inlineStr">
        <is>
          <t>管理組</t>
        </is>
      </c>
      <c r="C1126" s="6" t="n">
        <v>113</v>
      </c>
      <c r="D1126" s="10">
        <f>J1125</f>
        <v/>
      </c>
      <c r="E1126" s="4">
        <f>SUMIFS('01_異動主檔'!$F:$F,'01_異動主檔'!$B:$B,113,'01_異動主檔'!$D:$D,B1126,'01_異動主檔'!$E:$E,"移入")</f>
        <v/>
      </c>
      <c r="F1126" s="4">
        <f>-SUMIFS('01_異動主檔'!$F:$F,'01_異動主檔'!$B:$B,113,'01_異動主檔'!$D:$D,B1126,'01_異動主檔'!$E:$E,"移出")</f>
        <v/>
      </c>
      <c r="G1126" s="4">
        <f>SUMIFS('01_異動主檔'!$F:$F,'01_異動主檔'!$B:$B,113,'01_異動主檔'!$D:$D,B1126,'01_異動主檔'!$E:$E,"新增")</f>
        <v/>
      </c>
      <c r="H1126" s="4">
        <f>-SUMIFS('01_異動主檔'!$F:$F,'01_異動主檔'!$B:$B,113,'01_異動主檔'!$D:$D,B1126,'01_異動主檔'!$E:$E,"減列")</f>
        <v/>
      </c>
      <c r="I1126" s="4">
        <f>-SUMIFS('01_異動主檔'!$F:$F,'01_異動主檔'!$B:$B,113,'01_異動主檔'!$D:$D,B1126,'01_異動主檔'!$E:$E,"精簡")</f>
        <v/>
      </c>
      <c r="J1126" s="10">
        <f>D1126+E1126+F1126+G1126+H1126+I1126</f>
        <v/>
      </c>
    </row>
    <row r="1127" ht="18" customHeight="1">
      <c r="A1127" s="4" t="inlineStr">
        <is>
          <t>F002</t>
        </is>
      </c>
      <c r="B1127" s="3" t="inlineStr">
        <is>
          <t>管理組</t>
        </is>
      </c>
      <c r="C1127" s="4" t="n">
        <v>114</v>
      </c>
      <c r="D1127" s="10">
        <f>J1126</f>
        <v/>
      </c>
      <c r="E1127" s="4">
        <f>SUMIFS('01_異動主檔'!$F:$F,'01_異動主檔'!$B:$B,114,'01_異動主檔'!$D:$D,B1127,'01_異動主檔'!$E:$E,"移入")</f>
        <v/>
      </c>
      <c r="F1127" s="4">
        <f>-SUMIFS('01_異動主檔'!$F:$F,'01_異動主檔'!$B:$B,114,'01_異動主檔'!$D:$D,B1127,'01_異動主檔'!$E:$E,"移出")</f>
        <v/>
      </c>
      <c r="G1127" s="4">
        <f>SUMIFS('01_異動主檔'!$F:$F,'01_異動主檔'!$B:$B,114,'01_異動主檔'!$D:$D,B1127,'01_異動主檔'!$E:$E,"新增")</f>
        <v/>
      </c>
      <c r="H1127" s="4">
        <f>-SUMIFS('01_異動主檔'!$F:$F,'01_異動主檔'!$B:$B,114,'01_異動主檔'!$D:$D,B1127,'01_異動主檔'!$E:$E,"減列")</f>
        <v/>
      </c>
      <c r="I1127" s="4">
        <f>-SUMIFS('01_異動主檔'!$F:$F,'01_異動主檔'!$B:$B,114,'01_異動主檔'!$D:$D,B1127,'01_異動主檔'!$E:$E,"精簡")</f>
        <v/>
      </c>
      <c r="J1127" s="10">
        <f>D1127+E1127+F1127+G1127+H1127+I1127</f>
        <v/>
      </c>
    </row>
    <row r="1128" ht="18" customHeight="1">
      <c r="A1128" s="6" t="inlineStr">
        <is>
          <t>F002</t>
        </is>
      </c>
      <c r="B1128" s="5" t="inlineStr">
        <is>
          <t>管理組</t>
        </is>
      </c>
      <c r="C1128" s="6" t="n">
        <v>115</v>
      </c>
      <c r="D1128" s="10">
        <f>J1127</f>
        <v/>
      </c>
      <c r="E1128" s="4">
        <f>SUMIFS('01_異動主檔'!$F:$F,'01_異動主檔'!$B:$B,115,'01_異動主檔'!$D:$D,B1128,'01_異動主檔'!$E:$E,"移入")</f>
        <v/>
      </c>
      <c r="F1128" s="4">
        <f>-SUMIFS('01_異動主檔'!$F:$F,'01_異動主檔'!$B:$B,115,'01_異動主檔'!$D:$D,B1128,'01_異動主檔'!$E:$E,"移出")</f>
        <v/>
      </c>
      <c r="G1128" s="4">
        <f>SUMIFS('01_異動主檔'!$F:$F,'01_異動主檔'!$B:$B,115,'01_異動主檔'!$D:$D,B1128,'01_異動主檔'!$E:$E,"新增")</f>
        <v/>
      </c>
      <c r="H1128" s="4">
        <f>-SUMIFS('01_異動主檔'!$F:$F,'01_異動主檔'!$B:$B,115,'01_異動主檔'!$D:$D,B1128,'01_異動主檔'!$E:$E,"減列")</f>
        <v/>
      </c>
      <c r="I1128" s="4">
        <f>-SUMIFS('01_異動主檔'!$F:$F,'01_異動主檔'!$B:$B,115,'01_異動主檔'!$D:$D,B1128,'01_異動主檔'!$E:$E,"精簡")</f>
        <v/>
      </c>
      <c r="J1128" s="10">
        <f>D1128+E1128+F1128+G1128+H1128+I1128</f>
        <v/>
      </c>
    </row>
    <row r="1129" ht="18" customHeight="1">
      <c r="A1129" s="4" t="inlineStr">
        <is>
          <t>F002</t>
        </is>
      </c>
      <c r="B1129" s="3" t="inlineStr">
        <is>
          <t>管理組</t>
        </is>
      </c>
      <c r="C1129" s="4" t="n">
        <v>116</v>
      </c>
      <c r="D1129" s="10">
        <f>J1128</f>
        <v/>
      </c>
      <c r="E1129" s="4">
        <f>SUMIFS('01_異動主檔'!$F:$F,'01_異動主檔'!$B:$B,116,'01_異動主檔'!$D:$D,B1129,'01_異動主檔'!$E:$E,"移入")</f>
        <v/>
      </c>
      <c r="F1129" s="4">
        <f>-SUMIFS('01_異動主檔'!$F:$F,'01_異動主檔'!$B:$B,116,'01_異動主檔'!$D:$D,B1129,'01_異動主檔'!$E:$E,"移出")</f>
        <v/>
      </c>
      <c r="G1129" s="4">
        <f>SUMIFS('01_異動主檔'!$F:$F,'01_異動主檔'!$B:$B,116,'01_異動主檔'!$D:$D,B1129,'01_異動主檔'!$E:$E,"新增")</f>
        <v/>
      </c>
      <c r="H1129" s="4">
        <f>-SUMIFS('01_異動主檔'!$F:$F,'01_異動主檔'!$B:$B,116,'01_異動主檔'!$D:$D,B1129,'01_異動主檔'!$E:$E,"減列")</f>
        <v/>
      </c>
      <c r="I1129" s="4">
        <f>-SUMIFS('01_異動主檔'!$F:$F,'01_異動主檔'!$B:$B,116,'01_異動主檔'!$D:$D,B1129,'01_異動主檔'!$E:$E,"精簡")</f>
        <v/>
      </c>
      <c r="J1129" s="10">
        <f>D1129+E1129+F1129+G1129+H1129+I1129</f>
        <v/>
      </c>
    </row>
    <row r="1130" ht="18" customHeight="1">
      <c r="A1130" s="6" t="inlineStr">
        <is>
          <t>F002</t>
        </is>
      </c>
      <c r="B1130" s="5" t="inlineStr">
        <is>
          <t>管理組</t>
        </is>
      </c>
      <c r="C1130" s="6" t="n">
        <v>117</v>
      </c>
      <c r="D1130" s="10">
        <f>J1129</f>
        <v/>
      </c>
      <c r="E1130" s="4">
        <f>SUMIFS('01_異動主檔'!$F:$F,'01_異動主檔'!$B:$B,117,'01_異動主檔'!$D:$D,B1130,'01_異動主檔'!$E:$E,"移入")</f>
        <v/>
      </c>
      <c r="F1130" s="4">
        <f>-SUMIFS('01_異動主檔'!$F:$F,'01_異動主檔'!$B:$B,117,'01_異動主檔'!$D:$D,B1130,'01_異動主檔'!$E:$E,"移出")</f>
        <v/>
      </c>
      <c r="G1130" s="4">
        <f>SUMIFS('01_異動主檔'!$F:$F,'01_異動主檔'!$B:$B,117,'01_異動主檔'!$D:$D,B1130,'01_異動主檔'!$E:$E,"新增")</f>
        <v/>
      </c>
      <c r="H1130" s="4">
        <f>-SUMIFS('01_異動主檔'!$F:$F,'01_異動主檔'!$B:$B,117,'01_異動主檔'!$D:$D,B1130,'01_異動主檔'!$E:$E,"減列")</f>
        <v/>
      </c>
      <c r="I1130" s="4">
        <f>-SUMIFS('01_異動主檔'!$F:$F,'01_異動主檔'!$B:$B,117,'01_異動主檔'!$D:$D,B1130,'01_異動主檔'!$E:$E,"精簡")</f>
        <v/>
      </c>
      <c r="J1130" s="10">
        <f>D1130+E1130+F1130+G1130+H1130+I1130</f>
        <v/>
      </c>
    </row>
    <row r="1131" ht="18" customHeight="1">
      <c r="A1131" s="4" t="inlineStr">
        <is>
          <t>F002</t>
        </is>
      </c>
      <c r="B1131" s="3" t="inlineStr">
        <is>
          <t>管理組</t>
        </is>
      </c>
      <c r="C1131" s="4" t="n">
        <v>118</v>
      </c>
      <c r="D1131" s="10">
        <f>J1130</f>
        <v/>
      </c>
      <c r="E1131" s="4">
        <f>SUMIFS('01_異動主檔'!$F:$F,'01_異動主檔'!$B:$B,118,'01_異動主檔'!$D:$D,B1131,'01_異動主檔'!$E:$E,"移入")</f>
        <v/>
      </c>
      <c r="F1131" s="4">
        <f>-SUMIFS('01_異動主檔'!$F:$F,'01_異動主檔'!$B:$B,118,'01_異動主檔'!$D:$D,B1131,'01_異動主檔'!$E:$E,"移出")</f>
        <v/>
      </c>
      <c r="G1131" s="4">
        <f>SUMIFS('01_異動主檔'!$F:$F,'01_異動主檔'!$B:$B,118,'01_異動主檔'!$D:$D,B1131,'01_異動主檔'!$E:$E,"新增")</f>
        <v/>
      </c>
      <c r="H1131" s="4">
        <f>-SUMIFS('01_異動主檔'!$F:$F,'01_異動主檔'!$B:$B,118,'01_異動主檔'!$D:$D,B1131,'01_異動主檔'!$E:$E,"減列")</f>
        <v/>
      </c>
      <c r="I1131" s="4">
        <f>-SUMIFS('01_異動主檔'!$F:$F,'01_異動主檔'!$B:$B,118,'01_異動主檔'!$D:$D,B1131,'01_異動主檔'!$E:$E,"精簡")</f>
        <v/>
      </c>
      <c r="J1131" s="10">
        <f>D1131+E1131+F1131+G1131+H1131+I1131</f>
        <v/>
      </c>
    </row>
    <row r="1132" ht="18" customHeight="1">
      <c r="A1132" s="6" t="inlineStr">
        <is>
          <t>F002</t>
        </is>
      </c>
      <c r="B1132" s="5" t="inlineStr">
        <is>
          <t>管理組</t>
        </is>
      </c>
      <c r="C1132" s="6" t="n">
        <v>119</v>
      </c>
      <c r="D1132" s="10">
        <f>J1131</f>
        <v/>
      </c>
      <c r="E1132" s="4">
        <f>SUMIFS('01_異動主檔'!$F:$F,'01_異動主檔'!$B:$B,119,'01_異動主檔'!$D:$D,B1132,'01_異動主檔'!$E:$E,"移入")</f>
        <v/>
      </c>
      <c r="F1132" s="4">
        <f>-SUMIFS('01_異動主檔'!$F:$F,'01_異動主檔'!$B:$B,119,'01_異動主檔'!$D:$D,B1132,'01_異動主檔'!$E:$E,"移出")</f>
        <v/>
      </c>
      <c r="G1132" s="4">
        <f>SUMIFS('01_異動主檔'!$F:$F,'01_異動主檔'!$B:$B,119,'01_異動主檔'!$D:$D,B1132,'01_異動主檔'!$E:$E,"新增")</f>
        <v/>
      </c>
      <c r="H1132" s="4">
        <f>-SUMIFS('01_異動主檔'!$F:$F,'01_異動主檔'!$B:$B,119,'01_異動主檔'!$D:$D,B1132,'01_異動主檔'!$E:$E,"減列")</f>
        <v/>
      </c>
      <c r="I1132" s="4">
        <f>-SUMIFS('01_異動主檔'!$F:$F,'01_異動主檔'!$B:$B,119,'01_異動主檔'!$D:$D,B1132,'01_異動主檔'!$E:$E,"精簡")</f>
        <v/>
      </c>
      <c r="J1132" s="10">
        <f>D1132+E1132+F1132+G1132+H1132+I1132</f>
        <v/>
      </c>
    </row>
    <row r="1133" ht="18" customHeight="1">
      <c r="A1133" s="4" t="inlineStr">
        <is>
          <t>F002</t>
        </is>
      </c>
      <c r="B1133" s="3" t="inlineStr">
        <is>
          <t>管理組</t>
        </is>
      </c>
      <c r="C1133" s="4" t="n">
        <v>120</v>
      </c>
      <c r="D1133" s="10">
        <f>J1132</f>
        <v/>
      </c>
      <c r="E1133" s="4">
        <f>SUMIFS('01_異動主檔'!$F:$F,'01_異動主檔'!$B:$B,120,'01_異動主檔'!$D:$D,B1133,'01_異動主檔'!$E:$E,"移入")</f>
        <v/>
      </c>
      <c r="F1133" s="4">
        <f>-SUMIFS('01_異動主檔'!$F:$F,'01_異動主檔'!$B:$B,120,'01_異動主檔'!$D:$D,B1133,'01_異動主檔'!$E:$E,"移出")</f>
        <v/>
      </c>
      <c r="G1133" s="4">
        <f>SUMIFS('01_異動主檔'!$F:$F,'01_異動主檔'!$B:$B,120,'01_異動主檔'!$D:$D,B1133,'01_異動主檔'!$E:$E,"新增")</f>
        <v/>
      </c>
      <c r="H1133" s="4">
        <f>-SUMIFS('01_異動主檔'!$F:$F,'01_異動主檔'!$B:$B,120,'01_異動主檔'!$D:$D,B1133,'01_異動主檔'!$E:$E,"減列")</f>
        <v/>
      </c>
      <c r="I1133" s="4">
        <f>-SUMIFS('01_異動主檔'!$F:$F,'01_異動主檔'!$B:$B,120,'01_異動主檔'!$D:$D,B1133,'01_異動主檔'!$E:$E,"精簡")</f>
        <v/>
      </c>
      <c r="J1133" s="10">
        <f>D1133+E1133+F1133+G1133+H1133+I1133</f>
        <v/>
      </c>
    </row>
    <row r="1134" ht="18" customHeight="1">
      <c r="A1134" s="6" t="inlineStr">
        <is>
          <t>F002</t>
        </is>
      </c>
      <c r="B1134" s="5" t="inlineStr">
        <is>
          <t>管理組</t>
        </is>
      </c>
      <c r="C1134" s="6" t="n">
        <v>121</v>
      </c>
      <c r="D1134" s="10">
        <f>J1133</f>
        <v/>
      </c>
      <c r="E1134" s="4">
        <f>SUMIFS('01_異動主檔'!$F:$F,'01_異動主檔'!$B:$B,121,'01_異動主檔'!$D:$D,B1134,'01_異動主檔'!$E:$E,"移入")</f>
        <v/>
      </c>
      <c r="F1134" s="4">
        <f>-SUMIFS('01_異動主檔'!$F:$F,'01_異動主檔'!$B:$B,121,'01_異動主檔'!$D:$D,B1134,'01_異動主檔'!$E:$E,"移出")</f>
        <v/>
      </c>
      <c r="G1134" s="4">
        <f>SUMIFS('01_異動主檔'!$F:$F,'01_異動主檔'!$B:$B,121,'01_異動主檔'!$D:$D,B1134,'01_異動主檔'!$E:$E,"新增")</f>
        <v/>
      </c>
      <c r="H1134" s="4">
        <f>-SUMIFS('01_異動主檔'!$F:$F,'01_異動主檔'!$B:$B,121,'01_異動主檔'!$D:$D,B1134,'01_異動主檔'!$E:$E,"減列")</f>
        <v/>
      </c>
      <c r="I1134" s="4">
        <f>-SUMIFS('01_異動主檔'!$F:$F,'01_異動主檔'!$B:$B,121,'01_異動主檔'!$D:$D,B1134,'01_異動主檔'!$E:$E,"精簡")</f>
        <v/>
      </c>
      <c r="J1134" s="10">
        <f>D1134+E1134+F1134+G1134+H1134+I1134</f>
        <v/>
      </c>
    </row>
    <row r="1135" ht="18" customHeight="1">
      <c r="A1135" s="4" t="inlineStr">
        <is>
          <t>F002</t>
        </is>
      </c>
      <c r="B1135" s="3" t="inlineStr">
        <is>
          <t>管理組</t>
        </is>
      </c>
      <c r="C1135" s="4" t="n">
        <v>122</v>
      </c>
      <c r="D1135" s="10">
        <f>J1134</f>
        <v/>
      </c>
      <c r="E1135" s="4">
        <f>SUMIFS('01_異動主檔'!$F:$F,'01_異動主檔'!$B:$B,122,'01_異動主檔'!$D:$D,B1135,'01_異動主檔'!$E:$E,"移入")</f>
        <v/>
      </c>
      <c r="F1135" s="4">
        <f>-SUMIFS('01_異動主檔'!$F:$F,'01_異動主檔'!$B:$B,122,'01_異動主檔'!$D:$D,B1135,'01_異動主檔'!$E:$E,"移出")</f>
        <v/>
      </c>
      <c r="G1135" s="4">
        <f>SUMIFS('01_異動主檔'!$F:$F,'01_異動主檔'!$B:$B,122,'01_異動主檔'!$D:$D,B1135,'01_異動主檔'!$E:$E,"新增")</f>
        <v/>
      </c>
      <c r="H1135" s="4">
        <f>-SUMIFS('01_異動主檔'!$F:$F,'01_異動主檔'!$B:$B,122,'01_異動主檔'!$D:$D,B1135,'01_異動主檔'!$E:$E,"減列")</f>
        <v/>
      </c>
      <c r="I1135" s="4">
        <f>-SUMIFS('01_異動主檔'!$F:$F,'01_異動主檔'!$B:$B,122,'01_異動主檔'!$D:$D,B1135,'01_異動主檔'!$E:$E,"精簡")</f>
        <v/>
      </c>
      <c r="J1135" s="10">
        <f>D1135+E1135+F1135+G1135+H1135+I1135</f>
        <v/>
      </c>
    </row>
    <row r="1136" ht="18" customHeight="1">
      <c r="A1136" s="6" t="inlineStr">
        <is>
          <t>F002</t>
        </is>
      </c>
      <c r="B1136" s="5" t="inlineStr">
        <is>
          <t>管理組</t>
        </is>
      </c>
      <c r="C1136" s="6" t="n">
        <v>123</v>
      </c>
      <c r="D1136" s="10">
        <f>J1135</f>
        <v/>
      </c>
      <c r="E1136" s="4">
        <f>SUMIFS('01_異動主檔'!$F:$F,'01_異動主檔'!$B:$B,123,'01_異動主檔'!$D:$D,B1136,'01_異動主檔'!$E:$E,"移入")</f>
        <v/>
      </c>
      <c r="F1136" s="4">
        <f>-SUMIFS('01_異動主檔'!$F:$F,'01_異動主檔'!$B:$B,123,'01_異動主檔'!$D:$D,B1136,'01_異動主檔'!$E:$E,"移出")</f>
        <v/>
      </c>
      <c r="G1136" s="4">
        <f>SUMIFS('01_異動主檔'!$F:$F,'01_異動主檔'!$B:$B,123,'01_異動主檔'!$D:$D,B1136,'01_異動主檔'!$E:$E,"新增")</f>
        <v/>
      </c>
      <c r="H1136" s="4">
        <f>-SUMIFS('01_異動主檔'!$F:$F,'01_異動主檔'!$B:$B,123,'01_異動主檔'!$D:$D,B1136,'01_異動主檔'!$E:$E,"減列")</f>
        <v/>
      </c>
      <c r="I1136" s="4">
        <f>-SUMIFS('01_異動主檔'!$F:$F,'01_異動主檔'!$B:$B,123,'01_異動主檔'!$D:$D,B1136,'01_異動主檔'!$E:$E,"精簡")</f>
        <v/>
      </c>
      <c r="J1136" s="10">
        <f>D1136+E1136+F1136+G1136+H1136+I1136</f>
        <v/>
      </c>
    </row>
    <row r="1137" ht="18" customHeight="1">
      <c r="A1137" s="4" t="inlineStr">
        <is>
          <t>F002</t>
        </is>
      </c>
      <c r="B1137" s="3" t="inlineStr">
        <is>
          <t>管理組</t>
        </is>
      </c>
      <c r="C1137" s="4" t="n">
        <v>124</v>
      </c>
      <c r="D1137" s="10">
        <f>J1136</f>
        <v/>
      </c>
      <c r="E1137" s="4">
        <f>SUMIFS('01_異動主檔'!$F:$F,'01_異動主檔'!$B:$B,124,'01_異動主檔'!$D:$D,B1137,'01_異動主檔'!$E:$E,"移入")</f>
        <v/>
      </c>
      <c r="F1137" s="4">
        <f>-SUMIFS('01_異動主檔'!$F:$F,'01_異動主檔'!$B:$B,124,'01_異動主檔'!$D:$D,B1137,'01_異動主檔'!$E:$E,"移出")</f>
        <v/>
      </c>
      <c r="G1137" s="4">
        <f>SUMIFS('01_異動主檔'!$F:$F,'01_異動主檔'!$B:$B,124,'01_異動主檔'!$D:$D,B1137,'01_異動主檔'!$E:$E,"新增")</f>
        <v/>
      </c>
      <c r="H1137" s="4">
        <f>-SUMIFS('01_異動主檔'!$F:$F,'01_異動主檔'!$B:$B,124,'01_異動主檔'!$D:$D,B1137,'01_異動主檔'!$E:$E,"減列")</f>
        <v/>
      </c>
      <c r="I1137" s="4">
        <f>-SUMIFS('01_異動主檔'!$F:$F,'01_異動主檔'!$B:$B,124,'01_異動主檔'!$D:$D,B1137,'01_異動主檔'!$E:$E,"精簡")</f>
        <v/>
      </c>
      <c r="J1137" s="10">
        <f>D1137+E1137+F1137+G1137+H1137+I1137</f>
        <v/>
      </c>
    </row>
    <row r="1138" ht="18" customHeight="1">
      <c r="A1138" s="6" t="inlineStr">
        <is>
          <t>F002</t>
        </is>
      </c>
      <c r="B1138" s="5" t="inlineStr">
        <is>
          <t>管理組</t>
        </is>
      </c>
      <c r="C1138" s="6" t="n">
        <v>125</v>
      </c>
      <c r="D1138" s="10">
        <f>J1137</f>
        <v/>
      </c>
      <c r="E1138" s="4">
        <f>SUMIFS('01_異動主檔'!$F:$F,'01_異動主檔'!$B:$B,125,'01_異動主檔'!$D:$D,B1138,'01_異動主檔'!$E:$E,"移入")</f>
        <v/>
      </c>
      <c r="F1138" s="4">
        <f>-SUMIFS('01_異動主檔'!$F:$F,'01_異動主檔'!$B:$B,125,'01_異動主檔'!$D:$D,B1138,'01_異動主檔'!$E:$E,"移出")</f>
        <v/>
      </c>
      <c r="G1138" s="4">
        <f>SUMIFS('01_異動主檔'!$F:$F,'01_異動主檔'!$B:$B,125,'01_異動主檔'!$D:$D,B1138,'01_異動主檔'!$E:$E,"新增")</f>
        <v/>
      </c>
      <c r="H1138" s="4">
        <f>-SUMIFS('01_異動主檔'!$F:$F,'01_異動主檔'!$B:$B,125,'01_異動主檔'!$D:$D,B1138,'01_異動主檔'!$E:$E,"減列")</f>
        <v/>
      </c>
      <c r="I1138" s="4">
        <f>-SUMIFS('01_異動主檔'!$F:$F,'01_異動主檔'!$B:$B,125,'01_異動主檔'!$D:$D,B1138,'01_異動主檔'!$E:$E,"精簡")</f>
        <v/>
      </c>
      <c r="J1138" s="10">
        <f>D1138+E1138+F1138+G1138+H1138+I1138</f>
        <v/>
      </c>
    </row>
    <row r="1139" ht="18" customHeight="1">
      <c r="A1139" s="4" t="inlineStr">
        <is>
          <t>F003</t>
        </is>
      </c>
      <c r="B1139" s="3" t="inlineStr">
        <is>
          <t>業務組</t>
        </is>
      </c>
      <c r="C1139" s="4" t="n">
        <v>99</v>
      </c>
      <c r="D1139" s="10">
        <f>'02_年初員額設定'!C47</f>
        <v/>
      </c>
      <c r="E1139" s="4">
        <f>SUMIFS('01_異動主檔'!$F:$F,'01_異動主檔'!$B:$B,99,'01_異動主檔'!$D:$D,B1139,'01_異動主檔'!$E:$E,"移入")</f>
        <v/>
      </c>
      <c r="F1139" s="4">
        <f>-SUMIFS('01_異動主檔'!$F:$F,'01_異動主檔'!$B:$B,99,'01_異動主檔'!$D:$D,B1139,'01_異動主檔'!$E:$E,"移出")</f>
        <v/>
      </c>
      <c r="G1139" s="4">
        <f>SUMIFS('01_異動主檔'!$F:$F,'01_異動主檔'!$B:$B,99,'01_異動主檔'!$D:$D,B1139,'01_異動主檔'!$E:$E,"新增")</f>
        <v/>
      </c>
      <c r="H1139" s="4">
        <f>-SUMIFS('01_異動主檔'!$F:$F,'01_異動主檔'!$B:$B,99,'01_異動主檔'!$D:$D,B1139,'01_異動主檔'!$E:$E,"減列")</f>
        <v/>
      </c>
      <c r="I1139" s="4">
        <f>-SUMIFS('01_異動主檔'!$F:$F,'01_異動主檔'!$B:$B,99,'01_異動主檔'!$D:$D,B1139,'01_異動主檔'!$E:$E,"精簡")</f>
        <v/>
      </c>
      <c r="J1139" s="10">
        <f>D1139+E1139+F1139+G1139+H1139+I1139</f>
        <v/>
      </c>
    </row>
    <row r="1140" ht="18" customHeight="1">
      <c r="A1140" s="6" t="inlineStr">
        <is>
          <t>F003</t>
        </is>
      </c>
      <c r="B1140" s="5" t="inlineStr">
        <is>
          <t>業務組</t>
        </is>
      </c>
      <c r="C1140" s="6" t="n">
        <v>100</v>
      </c>
      <c r="D1140" s="10">
        <f>J1139</f>
        <v/>
      </c>
      <c r="E1140" s="4">
        <f>SUMIFS('01_異動主檔'!$F:$F,'01_異動主檔'!$B:$B,100,'01_異動主檔'!$D:$D,B1140,'01_異動主檔'!$E:$E,"移入")</f>
        <v/>
      </c>
      <c r="F1140" s="4">
        <f>-SUMIFS('01_異動主檔'!$F:$F,'01_異動主檔'!$B:$B,100,'01_異動主檔'!$D:$D,B1140,'01_異動主檔'!$E:$E,"移出")</f>
        <v/>
      </c>
      <c r="G1140" s="4">
        <f>SUMIFS('01_異動主檔'!$F:$F,'01_異動主檔'!$B:$B,100,'01_異動主檔'!$D:$D,B1140,'01_異動主檔'!$E:$E,"新增")</f>
        <v/>
      </c>
      <c r="H1140" s="4">
        <f>-SUMIFS('01_異動主檔'!$F:$F,'01_異動主檔'!$B:$B,100,'01_異動主檔'!$D:$D,B1140,'01_異動主檔'!$E:$E,"減列")</f>
        <v/>
      </c>
      <c r="I1140" s="4">
        <f>-SUMIFS('01_異動主檔'!$F:$F,'01_異動主檔'!$B:$B,100,'01_異動主檔'!$D:$D,B1140,'01_異動主檔'!$E:$E,"精簡")</f>
        <v/>
      </c>
      <c r="J1140" s="10">
        <f>D1140+E1140+F1140+G1140+H1140+I1140</f>
        <v/>
      </c>
    </row>
    <row r="1141" ht="18" customHeight="1">
      <c r="A1141" s="4" t="inlineStr">
        <is>
          <t>F003</t>
        </is>
      </c>
      <c r="B1141" s="3" t="inlineStr">
        <is>
          <t>業務組</t>
        </is>
      </c>
      <c r="C1141" s="4" t="n">
        <v>101</v>
      </c>
      <c r="D1141" s="10">
        <f>J1140</f>
        <v/>
      </c>
      <c r="E1141" s="4">
        <f>SUMIFS('01_異動主檔'!$F:$F,'01_異動主檔'!$B:$B,101,'01_異動主檔'!$D:$D,B1141,'01_異動主檔'!$E:$E,"移入")</f>
        <v/>
      </c>
      <c r="F1141" s="4">
        <f>-SUMIFS('01_異動主檔'!$F:$F,'01_異動主檔'!$B:$B,101,'01_異動主檔'!$D:$D,B1141,'01_異動主檔'!$E:$E,"移出")</f>
        <v/>
      </c>
      <c r="G1141" s="4">
        <f>SUMIFS('01_異動主檔'!$F:$F,'01_異動主檔'!$B:$B,101,'01_異動主檔'!$D:$D,B1141,'01_異動主檔'!$E:$E,"新增")</f>
        <v/>
      </c>
      <c r="H1141" s="4">
        <f>-SUMIFS('01_異動主檔'!$F:$F,'01_異動主檔'!$B:$B,101,'01_異動主檔'!$D:$D,B1141,'01_異動主檔'!$E:$E,"減列")</f>
        <v/>
      </c>
      <c r="I1141" s="4">
        <f>-SUMIFS('01_異動主檔'!$F:$F,'01_異動主檔'!$B:$B,101,'01_異動主檔'!$D:$D,B1141,'01_異動主檔'!$E:$E,"精簡")</f>
        <v/>
      </c>
      <c r="J1141" s="10">
        <f>D1141+E1141+F1141+G1141+H1141+I1141</f>
        <v/>
      </c>
    </row>
    <row r="1142" ht="18" customHeight="1">
      <c r="A1142" s="6" t="inlineStr">
        <is>
          <t>F003</t>
        </is>
      </c>
      <c r="B1142" s="5" t="inlineStr">
        <is>
          <t>業務組</t>
        </is>
      </c>
      <c r="C1142" s="6" t="n">
        <v>102</v>
      </c>
      <c r="D1142" s="10">
        <f>J1141</f>
        <v/>
      </c>
      <c r="E1142" s="4">
        <f>SUMIFS('01_異動主檔'!$F:$F,'01_異動主檔'!$B:$B,102,'01_異動主檔'!$D:$D,B1142,'01_異動主檔'!$E:$E,"移入")</f>
        <v/>
      </c>
      <c r="F1142" s="4">
        <f>-SUMIFS('01_異動主檔'!$F:$F,'01_異動主檔'!$B:$B,102,'01_異動主檔'!$D:$D,B1142,'01_異動主檔'!$E:$E,"移出")</f>
        <v/>
      </c>
      <c r="G1142" s="4">
        <f>SUMIFS('01_異動主檔'!$F:$F,'01_異動主檔'!$B:$B,102,'01_異動主檔'!$D:$D,B1142,'01_異動主檔'!$E:$E,"新增")</f>
        <v/>
      </c>
      <c r="H1142" s="4">
        <f>-SUMIFS('01_異動主檔'!$F:$F,'01_異動主檔'!$B:$B,102,'01_異動主檔'!$D:$D,B1142,'01_異動主檔'!$E:$E,"減列")</f>
        <v/>
      </c>
      <c r="I1142" s="4">
        <f>-SUMIFS('01_異動主檔'!$F:$F,'01_異動主檔'!$B:$B,102,'01_異動主檔'!$D:$D,B1142,'01_異動主檔'!$E:$E,"精簡")</f>
        <v/>
      </c>
      <c r="J1142" s="10">
        <f>D1142+E1142+F1142+G1142+H1142+I1142</f>
        <v/>
      </c>
    </row>
    <row r="1143" ht="18" customHeight="1">
      <c r="A1143" s="4" t="inlineStr">
        <is>
          <t>F003</t>
        </is>
      </c>
      <c r="B1143" s="3" t="inlineStr">
        <is>
          <t>業務組</t>
        </is>
      </c>
      <c r="C1143" s="4" t="n">
        <v>103</v>
      </c>
      <c r="D1143" s="10">
        <f>J1142</f>
        <v/>
      </c>
      <c r="E1143" s="4">
        <f>SUMIFS('01_異動主檔'!$F:$F,'01_異動主檔'!$B:$B,103,'01_異動主檔'!$D:$D,B1143,'01_異動主檔'!$E:$E,"移入")</f>
        <v/>
      </c>
      <c r="F1143" s="4">
        <f>-SUMIFS('01_異動主檔'!$F:$F,'01_異動主檔'!$B:$B,103,'01_異動主檔'!$D:$D,B1143,'01_異動主檔'!$E:$E,"移出")</f>
        <v/>
      </c>
      <c r="G1143" s="4">
        <f>SUMIFS('01_異動主檔'!$F:$F,'01_異動主檔'!$B:$B,103,'01_異動主檔'!$D:$D,B1143,'01_異動主檔'!$E:$E,"新增")</f>
        <v/>
      </c>
      <c r="H1143" s="4">
        <f>-SUMIFS('01_異動主檔'!$F:$F,'01_異動主檔'!$B:$B,103,'01_異動主檔'!$D:$D,B1143,'01_異動主檔'!$E:$E,"減列")</f>
        <v/>
      </c>
      <c r="I1143" s="4">
        <f>-SUMIFS('01_異動主檔'!$F:$F,'01_異動主檔'!$B:$B,103,'01_異動主檔'!$D:$D,B1143,'01_異動主檔'!$E:$E,"精簡")</f>
        <v/>
      </c>
      <c r="J1143" s="10">
        <f>D1143+E1143+F1143+G1143+H1143+I1143</f>
        <v/>
      </c>
    </row>
    <row r="1144" ht="18" customHeight="1">
      <c r="A1144" s="6" t="inlineStr">
        <is>
          <t>F003</t>
        </is>
      </c>
      <c r="B1144" s="5" t="inlineStr">
        <is>
          <t>業務組</t>
        </is>
      </c>
      <c r="C1144" s="6" t="n">
        <v>104</v>
      </c>
      <c r="D1144" s="10">
        <f>J1143</f>
        <v/>
      </c>
      <c r="E1144" s="4">
        <f>SUMIFS('01_異動主檔'!$F:$F,'01_異動主檔'!$B:$B,104,'01_異動主檔'!$D:$D,B1144,'01_異動主檔'!$E:$E,"移入")</f>
        <v/>
      </c>
      <c r="F1144" s="4">
        <f>-SUMIFS('01_異動主檔'!$F:$F,'01_異動主檔'!$B:$B,104,'01_異動主檔'!$D:$D,B1144,'01_異動主檔'!$E:$E,"移出")</f>
        <v/>
      </c>
      <c r="G1144" s="4">
        <f>SUMIFS('01_異動主檔'!$F:$F,'01_異動主檔'!$B:$B,104,'01_異動主檔'!$D:$D,B1144,'01_異動主檔'!$E:$E,"新增")</f>
        <v/>
      </c>
      <c r="H1144" s="4">
        <f>-SUMIFS('01_異動主檔'!$F:$F,'01_異動主檔'!$B:$B,104,'01_異動主檔'!$D:$D,B1144,'01_異動主檔'!$E:$E,"減列")</f>
        <v/>
      </c>
      <c r="I1144" s="4">
        <f>-SUMIFS('01_異動主檔'!$F:$F,'01_異動主檔'!$B:$B,104,'01_異動主檔'!$D:$D,B1144,'01_異動主檔'!$E:$E,"精簡")</f>
        <v/>
      </c>
      <c r="J1144" s="10">
        <f>D1144+E1144+F1144+G1144+H1144+I1144</f>
        <v/>
      </c>
    </row>
    <row r="1145" ht="18" customHeight="1">
      <c r="A1145" s="4" t="inlineStr">
        <is>
          <t>F003</t>
        </is>
      </c>
      <c r="B1145" s="3" t="inlineStr">
        <is>
          <t>業務組</t>
        </is>
      </c>
      <c r="C1145" s="4" t="n">
        <v>105</v>
      </c>
      <c r="D1145" s="10">
        <f>J1144</f>
        <v/>
      </c>
      <c r="E1145" s="4">
        <f>SUMIFS('01_異動主檔'!$F:$F,'01_異動主檔'!$B:$B,105,'01_異動主檔'!$D:$D,B1145,'01_異動主檔'!$E:$E,"移入")</f>
        <v/>
      </c>
      <c r="F1145" s="4">
        <f>-SUMIFS('01_異動主檔'!$F:$F,'01_異動主檔'!$B:$B,105,'01_異動主檔'!$D:$D,B1145,'01_異動主檔'!$E:$E,"移出")</f>
        <v/>
      </c>
      <c r="G1145" s="4">
        <f>SUMIFS('01_異動主檔'!$F:$F,'01_異動主檔'!$B:$B,105,'01_異動主檔'!$D:$D,B1145,'01_異動主檔'!$E:$E,"新增")</f>
        <v/>
      </c>
      <c r="H1145" s="4">
        <f>-SUMIFS('01_異動主檔'!$F:$F,'01_異動主檔'!$B:$B,105,'01_異動主檔'!$D:$D,B1145,'01_異動主檔'!$E:$E,"減列")</f>
        <v/>
      </c>
      <c r="I1145" s="4">
        <f>-SUMIFS('01_異動主檔'!$F:$F,'01_異動主檔'!$B:$B,105,'01_異動主檔'!$D:$D,B1145,'01_異動主檔'!$E:$E,"精簡")</f>
        <v/>
      </c>
      <c r="J1145" s="10">
        <f>D1145+E1145+F1145+G1145+H1145+I1145</f>
        <v/>
      </c>
    </row>
    <row r="1146" ht="18" customHeight="1">
      <c r="A1146" s="6" t="inlineStr">
        <is>
          <t>F003</t>
        </is>
      </c>
      <c r="B1146" s="5" t="inlineStr">
        <is>
          <t>業務組</t>
        </is>
      </c>
      <c r="C1146" s="6" t="n">
        <v>106</v>
      </c>
      <c r="D1146" s="10">
        <f>J1145</f>
        <v/>
      </c>
      <c r="E1146" s="4">
        <f>SUMIFS('01_異動主檔'!$F:$F,'01_異動主檔'!$B:$B,106,'01_異動主檔'!$D:$D,B1146,'01_異動主檔'!$E:$E,"移入")</f>
        <v/>
      </c>
      <c r="F1146" s="4">
        <f>-SUMIFS('01_異動主檔'!$F:$F,'01_異動主檔'!$B:$B,106,'01_異動主檔'!$D:$D,B1146,'01_異動主檔'!$E:$E,"移出")</f>
        <v/>
      </c>
      <c r="G1146" s="4">
        <f>SUMIFS('01_異動主檔'!$F:$F,'01_異動主檔'!$B:$B,106,'01_異動主檔'!$D:$D,B1146,'01_異動主檔'!$E:$E,"新增")</f>
        <v/>
      </c>
      <c r="H1146" s="4">
        <f>-SUMIFS('01_異動主檔'!$F:$F,'01_異動主檔'!$B:$B,106,'01_異動主檔'!$D:$D,B1146,'01_異動主檔'!$E:$E,"減列")</f>
        <v/>
      </c>
      <c r="I1146" s="4">
        <f>-SUMIFS('01_異動主檔'!$F:$F,'01_異動主檔'!$B:$B,106,'01_異動主檔'!$D:$D,B1146,'01_異動主檔'!$E:$E,"精簡")</f>
        <v/>
      </c>
      <c r="J1146" s="10">
        <f>D1146+E1146+F1146+G1146+H1146+I1146</f>
        <v/>
      </c>
    </row>
    <row r="1147" ht="18" customHeight="1">
      <c r="A1147" s="4" t="inlineStr">
        <is>
          <t>F003</t>
        </is>
      </c>
      <c r="B1147" s="3" t="inlineStr">
        <is>
          <t>業務組</t>
        </is>
      </c>
      <c r="C1147" s="4" t="n">
        <v>107</v>
      </c>
      <c r="D1147" s="10">
        <f>J1146</f>
        <v/>
      </c>
      <c r="E1147" s="4">
        <f>SUMIFS('01_異動主檔'!$F:$F,'01_異動主檔'!$B:$B,107,'01_異動主檔'!$D:$D,B1147,'01_異動主檔'!$E:$E,"移入")</f>
        <v/>
      </c>
      <c r="F1147" s="4">
        <f>-SUMIFS('01_異動主檔'!$F:$F,'01_異動主檔'!$B:$B,107,'01_異動主檔'!$D:$D,B1147,'01_異動主檔'!$E:$E,"移出")</f>
        <v/>
      </c>
      <c r="G1147" s="4">
        <f>SUMIFS('01_異動主檔'!$F:$F,'01_異動主檔'!$B:$B,107,'01_異動主檔'!$D:$D,B1147,'01_異動主檔'!$E:$E,"新增")</f>
        <v/>
      </c>
      <c r="H1147" s="4">
        <f>-SUMIFS('01_異動主檔'!$F:$F,'01_異動主檔'!$B:$B,107,'01_異動主檔'!$D:$D,B1147,'01_異動主檔'!$E:$E,"減列")</f>
        <v/>
      </c>
      <c r="I1147" s="4">
        <f>-SUMIFS('01_異動主檔'!$F:$F,'01_異動主檔'!$B:$B,107,'01_異動主檔'!$D:$D,B1147,'01_異動主檔'!$E:$E,"精簡")</f>
        <v/>
      </c>
      <c r="J1147" s="10">
        <f>D1147+E1147+F1147+G1147+H1147+I1147</f>
        <v/>
      </c>
    </row>
    <row r="1148" ht="18" customHeight="1">
      <c r="A1148" s="6" t="inlineStr">
        <is>
          <t>F003</t>
        </is>
      </c>
      <c r="B1148" s="5" t="inlineStr">
        <is>
          <t>業務組</t>
        </is>
      </c>
      <c r="C1148" s="6" t="n">
        <v>108</v>
      </c>
      <c r="D1148" s="10">
        <f>J1147</f>
        <v/>
      </c>
      <c r="E1148" s="4">
        <f>SUMIFS('01_異動主檔'!$F:$F,'01_異動主檔'!$B:$B,108,'01_異動主檔'!$D:$D,B1148,'01_異動主檔'!$E:$E,"移入")</f>
        <v/>
      </c>
      <c r="F1148" s="4">
        <f>-SUMIFS('01_異動主檔'!$F:$F,'01_異動主檔'!$B:$B,108,'01_異動主檔'!$D:$D,B1148,'01_異動主檔'!$E:$E,"移出")</f>
        <v/>
      </c>
      <c r="G1148" s="4">
        <f>SUMIFS('01_異動主檔'!$F:$F,'01_異動主檔'!$B:$B,108,'01_異動主檔'!$D:$D,B1148,'01_異動主檔'!$E:$E,"新增")</f>
        <v/>
      </c>
      <c r="H1148" s="4">
        <f>-SUMIFS('01_異動主檔'!$F:$F,'01_異動主檔'!$B:$B,108,'01_異動主檔'!$D:$D,B1148,'01_異動主檔'!$E:$E,"減列")</f>
        <v/>
      </c>
      <c r="I1148" s="4">
        <f>-SUMIFS('01_異動主檔'!$F:$F,'01_異動主檔'!$B:$B,108,'01_異動主檔'!$D:$D,B1148,'01_異動主檔'!$E:$E,"精簡")</f>
        <v/>
      </c>
      <c r="J1148" s="10">
        <f>D1148+E1148+F1148+G1148+H1148+I1148</f>
        <v/>
      </c>
    </row>
    <row r="1149" ht="18" customHeight="1">
      <c r="A1149" s="4" t="inlineStr">
        <is>
          <t>F003</t>
        </is>
      </c>
      <c r="B1149" s="3" t="inlineStr">
        <is>
          <t>業務組</t>
        </is>
      </c>
      <c r="C1149" s="4" t="n">
        <v>109</v>
      </c>
      <c r="D1149" s="10">
        <f>J1148</f>
        <v/>
      </c>
      <c r="E1149" s="4">
        <f>SUMIFS('01_異動主檔'!$F:$F,'01_異動主檔'!$B:$B,109,'01_異動主檔'!$D:$D,B1149,'01_異動主檔'!$E:$E,"移入")</f>
        <v/>
      </c>
      <c r="F1149" s="4">
        <f>-SUMIFS('01_異動主檔'!$F:$F,'01_異動主檔'!$B:$B,109,'01_異動主檔'!$D:$D,B1149,'01_異動主檔'!$E:$E,"移出")</f>
        <v/>
      </c>
      <c r="G1149" s="4">
        <f>SUMIFS('01_異動主檔'!$F:$F,'01_異動主檔'!$B:$B,109,'01_異動主檔'!$D:$D,B1149,'01_異動主檔'!$E:$E,"新增")</f>
        <v/>
      </c>
      <c r="H1149" s="4">
        <f>-SUMIFS('01_異動主檔'!$F:$F,'01_異動主檔'!$B:$B,109,'01_異動主檔'!$D:$D,B1149,'01_異動主檔'!$E:$E,"減列")</f>
        <v/>
      </c>
      <c r="I1149" s="4">
        <f>-SUMIFS('01_異動主檔'!$F:$F,'01_異動主檔'!$B:$B,109,'01_異動主檔'!$D:$D,B1149,'01_異動主檔'!$E:$E,"精簡")</f>
        <v/>
      </c>
      <c r="J1149" s="10">
        <f>D1149+E1149+F1149+G1149+H1149+I1149</f>
        <v/>
      </c>
    </row>
    <row r="1150" ht="18" customHeight="1">
      <c r="A1150" s="6" t="inlineStr">
        <is>
          <t>F003</t>
        </is>
      </c>
      <c r="B1150" s="5" t="inlineStr">
        <is>
          <t>業務組</t>
        </is>
      </c>
      <c r="C1150" s="6" t="n">
        <v>110</v>
      </c>
      <c r="D1150" s="10">
        <f>J1149</f>
        <v/>
      </c>
      <c r="E1150" s="4">
        <f>SUMIFS('01_異動主檔'!$F:$F,'01_異動主檔'!$B:$B,110,'01_異動主檔'!$D:$D,B1150,'01_異動主檔'!$E:$E,"移入")</f>
        <v/>
      </c>
      <c r="F1150" s="4">
        <f>-SUMIFS('01_異動主檔'!$F:$F,'01_異動主檔'!$B:$B,110,'01_異動主檔'!$D:$D,B1150,'01_異動主檔'!$E:$E,"移出")</f>
        <v/>
      </c>
      <c r="G1150" s="4">
        <f>SUMIFS('01_異動主檔'!$F:$F,'01_異動主檔'!$B:$B,110,'01_異動主檔'!$D:$D,B1150,'01_異動主檔'!$E:$E,"新增")</f>
        <v/>
      </c>
      <c r="H1150" s="4">
        <f>-SUMIFS('01_異動主檔'!$F:$F,'01_異動主檔'!$B:$B,110,'01_異動主檔'!$D:$D,B1150,'01_異動主檔'!$E:$E,"減列")</f>
        <v/>
      </c>
      <c r="I1150" s="4">
        <f>-SUMIFS('01_異動主檔'!$F:$F,'01_異動主檔'!$B:$B,110,'01_異動主檔'!$D:$D,B1150,'01_異動主檔'!$E:$E,"精簡")</f>
        <v/>
      </c>
      <c r="J1150" s="10">
        <f>D1150+E1150+F1150+G1150+H1150+I1150</f>
        <v/>
      </c>
    </row>
    <row r="1151" ht="18" customHeight="1">
      <c r="A1151" s="4" t="inlineStr">
        <is>
          <t>F003</t>
        </is>
      </c>
      <c r="B1151" s="3" t="inlineStr">
        <is>
          <t>業務組</t>
        </is>
      </c>
      <c r="C1151" s="4" t="n">
        <v>111</v>
      </c>
      <c r="D1151" s="10">
        <f>J1150</f>
        <v/>
      </c>
      <c r="E1151" s="4">
        <f>SUMIFS('01_異動主檔'!$F:$F,'01_異動主檔'!$B:$B,111,'01_異動主檔'!$D:$D,B1151,'01_異動主檔'!$E:$E,"移入")</f>
        <v/>
      </c>
      <c r="F1151" s="4">
        <f>-SUMIFS('01_異動主檔'!$F:$F,'01_異動主檔'!$B:$B,111,'01_異動主檔'!$D:$D,B1151,'01_異動主檔'!$E:$E,"移出")</f>
        <v/>
      </c>
      <c r="G1151" s="4">
        <f>SUMIFS('01_異動主檔'!$F:$F,'01_異動主檔'!$B:$B,111,'01_異動主檔'!$D:$D,B1151,'01_異動主檔'!$E:$E,"新增")</f>
        <v/>
      </c>
      <c r="H1151" s="4">
        <f>-SUMIFS('01_異動主檔'!$F:$F,'01_異動主檔'!$B:$B,111,'01_異動主檔'!$D:$D,B1151,'01_異動主檔'!$E:$E,"減列")</f>
        <v/>
      </c>
      <c r="I1151" s="4">
        <f>-SUMIFS('01_異動主檔'!$F:$F,'01_異動主檔'!$B:$B,111,'01_異動主檔'!$D:$D,B1151,'01_異動主檔'!$E:$E,"精簡")</f>
        <v/>
      </c>
      <c r="J1151" s="10">
        <f>D1151+E1151+F1151+G1151+H1151+I1151</f>
        <v/>
      </c>
    </row>
    <row r="1152" ht="18" customHeight="1">
      <c r="A1152" s="6" t="inlineStr">
        <is>
          <t>F003</t>
        </is>
      </c>
      <c r="B1152" s="5" t="inlineStr">
        <is>
          <t>業務組</t>
        </is>
      </c>
      <c r="C1152" s="6" t="n">
        <v>112</v>
      </c>
      <c r="D1152" s="10">
        <f>J1151</f>
        <v/>
      </c>
      <c r="E1152" s="4">
        <f>SUMIFS('01_異動主檔'!$F:$F,'01_異動主檔'!$B:$B,112,'01_異動主檔'!$D:$D,B1152,'01_異動主檔'!$E:$E,"移入")</f>
        <v/>
      </c>
      <c r="F1152" s="4">
        <f>-SUMIFS('01_異動主檔'!$F:$F,'01_異動主檔'!$B:$B,112,'01_異動主檔'!$D:$D,B1152,'01_異動主檔'!$E:$E,"移出")</f>
        <v/>
      </c>
      <c r="G1152" s="4">
        <f>SUMIFS('01_異動主檔'!$F:$F,'01_異動主檔'!$B:$B,112,'01_異動主檔'!$D:$D,B1152,'01_異動主檔'!$E:$E,"新增")</f>
        <v/>
      </c>
      <c r="H1152" s="4">
        <f>-SUMIFS('01_異動主檔'!$F:$F,'01_異動主檔'!$B:$B,112,'01_異動主檔'!$D:$D,B1152,'01_異動主檔'!$E:$E,"減列")</f>
        <v/>
      </c>
      <c r="I1152" s="4">
        <f>-SUMIFS('01_異動主檔'!$F:$F,'01_異動主檔'!$B:$B,112,'01_異動主檔'!$D:$D,B1152,'01_異動主檔'!$E:$E,"精簡")</f>
        <v/>
      </c>
      <c r="J1152" s="10">
        <f>D1152+E1152+F1152+G1152+H1152+I1152</f>
        <v/>
      </c>
    </row>
    <row r="1153" ht="18" customHeight="1">
      <c r="A1153" s="4" t="inlineStr">
        <is>
          <t>F003</t>
        </is>
      </c>
      <c r="B1153" s="3" t="inlineStr">
        <is>
          <t>業務組</t>
        </is>
      </c>
      <c r="C1153" s="4" t="n">
        <v>113</v>
      </c>
      <c r="D1153" s="10">
        <f>J1152</f>
        <v/>
      </c>
      <c r="E1153" s="4">
        <f>SUMIFS('01_異動主檔'!$F:$F,'01_異動主檔'!$B:$B,113,'01_異動主檔'!$D:$D,B1153,'01_異動主檔'!$E:$E,"移入")</f>
        <v/>
      </c>
      <c r="F1153" s="4">
        <f>-SUMIFS('01_異動主檔'!$F:$F,'01_異動主檔'!$B:$B,113,'01_異動主檔'!$D:$D,B1153,'01_異動主檔'!$E:$E,"移出")</f>
        <v/>
      </c>
      <c r="G1153" s="4">
        <f>SUMIFS('01_異動主檔'!$F:$F,'01_異動主檔'!$B:$B,113,'01_異動主檔'!$D:$D,B1153,'01_異動主檔'!$E:$E,"新增")</f>
        <v/>
      </c>
      <c r="H1153" s="4">
        <f>-SUMIFS('01_異動主檔'!$F:$F,'01_異動主檔'!$B:$B,113,'01_異動主檔'!$D:$D,B1153,'01_異動主檔'!$E:$E,"減列")</f>
        <v/>
      </c>
      <c r="I1153" s="4">
        <f>-SUMIFS('01_異動主檔'!$F:$F,'01_異動主檔'!$B:$B,113,'01_異動主檔'!$D:$D,B1153,'01_異動主檔'!$E:$E,"精簡")</f>
        <v/>
      </c>
      <c r="J1153" s="10">
        <f>D1153+E1153+F1153+G1153+H1153+I1153</f>
        <v/>
      </c>
    </row>
    <row r="1154" ht="18" customHeight="1">
      <c r="A1154" s="6" t="inlineStr">
        <is>
          <t>F003</t>
        </is>
      </c>
      <c r="B1154" s="5" t="inlineStr">
        <is>
          <t>業務組</t>
        </is>
      </c>
      <c r="C1154" s="6" t="n">
        <v>114</v>
      </c>
      <c r="D1154" s="10">
        <f>J1153</f>
        <v/>
      </c>
      <c r="E1154" s="4">
        <f>SUMIFS('01_異動主檔'!$F:$F,'01_異動主檔'!$B:$B,114,'01_異動主檔'!$D:$D,B1154,'01_異動主檔'!$E:$E,"移入")</f>
        <v/>
      </c>
      <c r="F1154" s="4">
        <f>-SUMIFS('01_異動主檔'!$F:$F,'01_異動主檔'!$B:$B,114,'01_異動主檔'!$D:$D,B1154,'01_異動主檔'!$E:$E,"移出")</f>
        <v/>
      </c>
      <c r="G1154" s="4">
        <f>SUMIFS('01_異動主檔'!$F:$F,'01_異動主檔'!$B:$B,114,'01_異動主檔'!$D:$D,B1154,'01_異動主檔'!$E:$E,"新增")</f>
        <v/>
      </c>
      <c r="H1154" s="4">
        <f>-SUMIFS('01_異動主檔'!$F:$F,'01_異動主檔'!$B:$B,114,'01_異動主檔'!$D:$D,B1154,'01_異動主檔'!$E:$E,"減列")</f>
        <v/>
      </c>
      <c r="I1154" s="4">
        <f>-SUMIFS('01_異動主檔'!$F:$F,'01_異動主檔'!$B:$B,114,'01_異動主檔'!$D:$D,B1154,'01_異動主檔'!$E:$E,"精簡")</f>
        <v/>
      </c>
      <c r="J1154" s="10">
        <f>D1154+E1154+F1154+G1154+H1154+I1154</f>
        <v/>
      </c>
    </row>
    <row r="1155" ht="18" customHeight="1">
      <c r="A1155" s="4" t="inlineStr">
        <is>
          <t>F003</t>
        </is>
      </c>
      <c r="B1155" s="3" t="inlineStr">
        <is>
          <t>業務組</t>
        </is>
      </c>
      <c r="C1155" s="4" t="n">
        <v>115</v>
      </c>
      <c r="D1155" s="10">
        <f>J1154</f>
        <v/>
      </c>
      <c r="E1155" s="4">
        <f>SUMIFS('01_異動主檔'!$F:$F,'01_異動主檔'!$B:$B,115,'01_異動主檔'!$D:$D,B1155,'01_異動主檔'!$E:$E,"移入")</f>
        <v/>
      </c>
      <c r="F1155" s="4">
        <f>-SUMIFS('01_異動主檔'!$F:$F,'01_異動主檔'!$B:$B,115,'01_異動主檔'!$D:$D,B1155,'01_異動主檔'!$E:$E,"移出")</f>
        <v/>
      </c>
      <c r="G1155" s="4">
        <f>SUMIFS('01_異動主檔'!$F:$F,'01_異動主檔'!$B:$B,115,'01_異動主檔'!$D:$D,B1155,'01_異動主檔'!$E:$E,"新增")</f>
        <v/>
      </c>
      <c r="H1155" s="4">
        <f>-SUMIFS('01_異動主檔'!$F:$F,'01_異動主檔'!$B:$B,115,'01_異動主檔'!$D:$D,B1155,'01_異動主檔'!$E:$E,"減列")</f>
        <v/>
      </c>
      <c r="I1155" s="4">
        <f>-SUMIFS('01_異動主檔'!$F:$F,'01_異動主檔'!$B:$B,115,'01_異動主檔'!$D:$D,B1155,'01_異動主檔'!$E:$E,"精簡")</f>
        <v/>
      </c>
      <c r="J1155" s="10">
        <f>D1155+E1155+F1155+G1155+H1155+I1155</f>
        <v/>
      </c>
    </row>
    <row r="1156" ht="18" customHeight="1">
      <c r="A1156" s="6" t="inlineStr">
        <is>
          <t>F003</t>
        </is>
      </c>
      <c r="B1156" s="5" t="inlineStr">
        <is>
          <t>業務組</t>
        </is>
      </c>
      <c r="C1156" s="6" t="n">
        <v>116</v>
      </c>
      <c r="D1156" s="10">
        <f>J1155</f>
        <v/>
      </c>
      <c r="E1156" s="4">
        <f>SUMIFS('01_異動主檔'!$F:$F,'01_異動主檔'!$B:$B,116,'01_異動主檔'!$D:$D,B1156,'01_異動主檔'!$E:$E,"移入")</f>
        <v/>
      </c>
      <c r="F1156" s="4">
        <f>-SUMIFS('01_異動主檔'!$F:$F,'01_異動主檔'!$B:$B,116,'01_異動主檔'!$D:$D,B1156,'01_異動主檔'!$E:$E,"移出")</f>
        <v/>
      </c>
      <c r="G1156" s="4">
        <f>SUMIFS('01_異動主檔'!$F:$F,'01_異動主檔'!$B:$B,116,'01_異動主檔'!$D:$D,B1156,'01_異動主檔'!$E:$E,"新增")</f>
        <v/>
      </c>
      <c r="H1156" s="4">
        <f>-SUMIFS('01_異動主檔'!$F:$F,'01_異動主檔'!$B:$B,116,'01_異動主檔'!$D:$D,B1156,'01_異動主檔'!$E:$E,"減列")</f>
        <v/>
      </c>
      <c r="I1156" s="4">
        <f>-SUMIFS('01_異動主檔'!$F:$F,'01_異動主檔'!$B:$B,116,'01_異動主檔'!$D:$D,B1156,'01_異動主檔'!$E:$E,"精簡")</f>
        <v/>
      </c>
      <c r="J1156" s="10">
        <f>D1156+E1156+F1156+G1156+H1156+I1156</f>
        <v/>
      </c>
    </row>
    <row r="1157" ht="18" customHeight="1">
      <c r="A1157" s="4" t="inlineStr">
        <is>
          <t>F003</t>
        </is>
      </c>
      <c r="B1157" s="3" t="inlineStr">
        <is>
          <t>業務組</t>
        </is>
      </c>
      <c r="C1157" s="4" t="n">
        <v>117</v>
      </c>
      <c r="D1157" s="10">
        <f>J1156</f>
        <v/>
      </c>
      <c r="E1157" s="4">
        <f>SUMIFS('01_異動主檔'!$F:$F,'01_異動主檔'!$B:$B,117,'01_異動主檔'!$D:$D,B1157,'01_異動主檔'!$E:$E,"移入")</f>
        <v/>
      </c>
      <c r="F1157" s="4">
        <f>-SUMIFS('01_異動主檔'!$F:$F,'01_異動主檔'!$B:$B,117,'01_異動主檔'!$D:$D,B1157,'01_異動主檔'!$E:$E,"移出")</f>
        <v/>
      </c>
      <c r="G1157" s="4">
        <f>SUMIFS('01_異動主檔'!$F:$F,'01_異動主檔'!$B:$B,117,'01_異動主檔'!$D:$D,B1157,'01_異動主檔'!$E:$E,"新增")</f>
        <v/>
      </c>
      <c r="H1157" s="4">
        <f>-SUMIFS('01_異動主檔'!$F:$F,'01_異動主檔'!$B:$B,117,'01_異動主檔'!$D:$D,B1157,'01_異動主檔'!$E:$E,"減列")</f>
        <v/>
      </c>
      <c r="I1157" s="4">
        <f>-SUMIFS('01_異動主檔'!$F:$F,'01_異動主檔'!$B:$B,117,'01_異動主檔'!$D:$D,B1157,'01_異動主檔'!$E:$E,"精簡")</f>
        <v/>
      </c>
      <c r="J1157" s="10">
        <f>D1157+E1157+F1157+G1157+H1157+I1157</f>
        <v/>
      </c>
    </row>
    <row r="1158" ht="18" customHeight="1">
      <c r="A1158" s="6" t="inlineStr">
        <is>
          <t>F003</t>
        </is>
      </c>
      <c r="B1158" s="5" t="inlineStr">
        <is>
          <t>業務組</t>
        </is>
      </c>
      <c r="C1158" s="6" t="n">
        <v>118</v>
      </c>
      <c r="D1158" s="10">
        <f>J1157</f>
        <v/>
      </c>
      <c r="E1158" s="4">
        <f>SUMIFS('01_異動主檔'!$F:$F,'01_異動主檔'!$B:$B,118,'01_異動主檔'!$D:$D,B1158,'01_異動主檔'!$E:$E,"移入")</f>
        <v/>
      </c>
      <c r="F1158" s="4">
        <f>-SUMIFS('01_異動主檔'!$F:$F,'01_異動主檔'!$B:$B,118,'01_異動主檔'!$D:$D,B1158,'01_異動主檔'!$E:$E,"移出")</f>
        <v/>
      </c>
      <c r="G1158" s="4">
        <f>SUMIFS('01_異動主檔'!$F:$F,'01_異動主檔'!$B:$B,118,'01_異動主檔'!$D:$D,B1158,'01_異動主檔'!$E:$E,"新增")</f>
        <v/>
      </c>
      <c r="H1158" s="4">
        <f>-SUMIFS('01_異動主檔'!$F:$F,'01_異動主檔'!$B:$B,118,'01_異動主檔'!$D:$D,B1158,'01_異動主檔'!$E:$E,"減列")</f>
        <v/>
      </c>
      <c r="I1158" s="4">
        <f>-SUMIFS('01_異動主檔'!$F:$F,'01_異動主檔'!$B:$B,118,'01_異動主檔'!$D:$D,B1158,'01_異動主檔'!$E:$E,"精簡")</f>
        <v/>
      </c>
      <c r="J1158" s="10">
        <f>D1158+E1158+F1158+G1158+H1158+I1158</f>
        <v/>
      </c>
    </row>
    <row r="1159" ht="18" customHeight="1">
      <c r="A1159" s="4" t="inlineStr">
        <is>
          <t>F003</t>
        </is>
      </c>
      <c r="B1159" s="3" t="inlineStr">
        <is>
          <t>業務組</t>
        </is>
      </c>
      <c r="C1159" s="4" t="n">
        <v>119</v>
      </c>
      <c r="D1159" s="10">
        <f>J1158</f>
        <v/>
      </c>
      <c r="E1159" s="4">
        <f>SUMIFS('01_異動主檔'!$F:$F,'01_異動主檔'!$B:$B,119,'01_異動主檔'!$D:$D,B1159,'01_異動主檔'!$E:$E,"移入")</f>
        <v/>
      </c>
      <c r="F1159" s="4">
        <f>-SUMIFS('01_異動主檔'!$F:$F,'01_異動主檔'!$B:$B,119,'01_異動主檔'!$D:$D,B1159,'01_異動主檔'!$E:$E,"移出")</f>
        <v/>
      </c>
      <c r="G1159" s="4">
        <f>SUMIFS('01_異動主檔'!$F:$F,'01_異動主檔'!$B:$B,119,'01_異動主檔'!$D:$D,B1159,'01_異動主檔'!$E:$E,"新增")</f>
        <v/>
      </c>
      <c r="H1159" s="4">
        <f>-SUMIFS('01_異動主檔'!$F:$F,'01_異動主檔'!$B:$B,119,'01_異動主檔'!$D:$D,B1159,'01_異動主檔'!$E:$E,"減列")</f>
        <v/>
      </c>
      <c r="I1159" s="4">
        <f>-SUMIFS('01_異動主檔'!$F:$F,'01_異動主檔'!$B:$B,119,'01_異動主檔'!$D:$D,B1159,'01_異動主檔'!$E:$E,"精簡")</f>
        <v/>
      </c>
      <c r="J1159" s="10">
        <f>D1159+E1159+F1159+G1159+H1159+I1159</f>
        <v/>
      </c>
    </row>
    <row r="1160" ht="18" customHeight="1">
      <c r="A1160" s="6" t="inlineStr">
        <is>
          <t>F003</t>
        </is>
      </c>
      <c r="B1160" s="5" t="inlineStr">
        <is>
          <t>業務組</t>
        </is>
      </c>
      <c r="C1160" s="6" t="n">
        <v>120</v>
      </c>
      <c r="D1160" s="10">
        <f>J1159</f>
        <v/>
      </c>
      <c r="E1160" s="4">
        <f>SUMIFS('01_異動主檔'!$F:$F,'01_異動主檔'!$B:$B,120,'01_異動主檔'!$D:$D,B1160,'01_異動主檔'!$E:$E,"移入")</f>
        <v/>
      </c>
      <c r="F1160" s="4">
        <f>-SUMIFS('01_異動主檔'!$F:$F,'01_異動主檔'!$B:$B,120,'01_異動主檔'!$D:$D,B1160,'01_異動主檔'!$E:$E,"移出")</f>
        <v/>
      </c>
      <c r="G1160" s="4">
        <f>SUMIFS('01_異動主檔'!$F:$F,'01_異動主檔'!$B:$B,120,'01_異動主檔'!$D:$D,B1160,'01_異動主檔'!$E:$E,"新增")</f>
        <v/>
      </c>
      <c r="H1160" s="4">
        <f>-SUMIFS('01_異動主檔'!$F:$F,'01_異動主檔'!$B:$B,120,'01_異動主檔'!$D:$D,B1160,'01_異動主檔'!$E:$E,"減列")</f>
        <v/>
      </c>
      <c r="I1160" s="4">
        <f>-SUMIFS('01_異動主檔'!$F:$F,'01_異動主檔'!$B:$B,120,'01_異動主檔'!$D:$D,B1160,'01_異動主檔'!$E:$E,"精簡")</f>
        <v/>
      </c>
      <c r="J1160" s="10">
        <f>D1160+E1160+F1160+G1160+H1160+I1160</f>
        <v/>
      </c>
    </row>
    <row r="1161" ht="18" customHeight="1">
      <c r="A1161" s="4" t="inlineStr">
        <is>
          <t>F003</t>
        </is>
      </c>
      <c r="B1161" s="3" t="inlineStr">
        <is>
          <t>業務組</t>
        </is>
      </c>
      <c r="C1161" s="4" t="n">
        <v>121</v>
      </c>
      <c r="D1161" s="10">
        <f>J1160</f>
        <v/>
      </c>
      <c r="E1161" s="4">
        <f>SUMIFS('01_異動主檔'!$F:$F,'01_異動主檔'!$B:$B,121,'01_異動主檔'!$D:$D,B1161,'01_異動主檔'!$E:$E,"移入")</f>
        <v/>
      </c>
      <c r="F1161" s="4">
        <f>-SUMIFS('01_異動主檔'!$F:$F,'01_異動主檔'!$B:$B,121,'01_異動主檔'!$D:$D,B1161,'01_異動主檔'!$E:$E,"移出")</f>
        <v/>
      </c>
      <c r="G1161" s="4">
        <f>SUMIFS('01_異動主檔'!$F:$F,'01_異動主檔'!$B:$B,121,'01_異動主檔'!$D:$D,B1161,'01_異動主檔'!$E:$E,"新增")</f>
        <v/>
      </c>
      <c r="H1161" s="4">
        <f>-SUMIFS('01_異動主檔'!$F:$F,'01_異動主檔'!$B:$B,121,'01_異動主檔'!$D:$D,B1161,'01_異動主檔'!$E:$E,"減列")</f>
        <v/>
      </c>
      <c r="I1161" s="4">
        <f>-SUMIFS('01_異動主檔'!$F:$F,'01_異動主檔'!$B:$B,121,'01_異動主檔'!$D:$D,B1161,'01_異動主檔'!$E:$E,"精簡")</f>
        <v/>
      </c>
      <c r="J1161" s="10">
        <f>D1161+E1161+F1161+G1161+H1161+I1161</f>
        <v/>
      </c>
    </row>
    <row r="1162" ht="18" customHeight="1">
      <c r="A1162" s="6" t="inlineStr">
        <is>
          <t>F003</t>
        </is>
      </c>
      <c r="B1162" s="5" t="inlineStr">
        <is>
          <t>業務組</t>
        </is>
      </c>
      <c r="C1162" s="6" t="n">
        <v>122</v>
      </c>
      <c r="D1162" s="10">
        <f>J1161</f>
        <v/>
      </c>
      <c r="E1162" s="4">
        <f>SUMIFS('01_異動主檔'!$F:$F,'01_異動主檔'!$B:$B,122,'01_異動主檔'!$D:$D,B1162,'01_異動主檔'!$E:$E,"移入")</f>
        <v/>
      </c>
      <c r="F1162" s="4">
        <f>-SUMIFS('01_異動主檔'!$F:$F,'01_異動主檔'!$B:$B,122,'01_異動主檔'!$D:$D,B1162,'01_異動主檔'!$E:$E,"移出")</f>
        <v/>
      </c>
      <c r="G1162" s="4">
        <f>SUMIFS('01_異動主檔'!$F:$F,'01_異動主檔'!$B:$B,122,'01_異動主檔'!$D:$D,B1162,'01_異動主檔'!$E:$E,"新增")</f>
        <v/>
      </c>
      <c r="H1162" s="4">
        <f>-SUMIFS('01_異動主檔'!$F:$F,'01_異動主檔'!$B:$B,122,'01_異動主檔'!$D:$D,B1162,'01_異動主檔'!$E:$E,"減列")</f>
        <v/>
      </c>
      <c r="I1162" s="4">
        <f>-SUMIFS('01_異動主檔'!$F:$F,'01_異動主檔'!$B:$B,122,'01_異動主檔'!$D:$D,B1162,'01_異動主檔'!$E:$E,"精簡")</f>
        <v/>
      </c>
      <c r="J1162" s="10">
        <f>D1162+E1162+F1162+G1162+H1162+I1162</f>
        <v/>
      </c>
    </row>
    <row r="1163" ht="18" customHeight="1">
      <c r="A1163" s="4" t="inlineStr">
        <is>
          <t>F003</t>
        </is>
      </c>
      <c r="B1163" s="3" t="inlineStr">
        <is>
          <t>業務組</t>
        </is>
      </c>
      <c r="C1163" s="4" t="n">
        <v>123</v>
      </c>
      <c r="D1163" s="10">
        <f>J1162</f>
        <v/>
      </c>
      <c r="E1163" s="4">
        <f>SUMIFS('01_異動主檔'!$F:$F,'01_異動主檔'!$B:$B,123,'01_異動主檔'!$D:$D,B1163,'01_異動主檔'!$E:$E,"移入")</f>
        <v/>
      </c>
      <c r="F1163" s="4">
        <f>-SUMIFS('01_異動主檔'!$F:$F,'01_異動主檔'!$B:$B,123,'01_異動主檔'!$D:$D,B1163,'01_異動主檔'!$E:$E,"移出")</f>
        <v/>
      </c>
      <c r="G1163" s="4">
        <f>SUMIFS('01_異動主檔'!$F:$F,'01_異動主檔'!$B:$B,123,'01_異動主檔'!$D:$D,B1163,'01_異動主檔'!$E:$E,"新增")</f>
        <v/>
      </c>
      <c r="H1163" s="4">
        <f>-SUMIFS('01_異動主檔'!$F:$F,'01_異動主檔'!$B:$B,123,'01_異動主檔'!$D:$D,B1163,'01_異動主檔'!$E:$E,"減列")</f>
        <v/>
      </c>
      <c r="I1163" s="4">
        <f>-SUMIFS('01_異動主檔'!$F:$F,'01_異動主檔'!$B:$B,123,'01_異動主檔'!$D:$D,B1163,'01_異動主檔'!$E:$E,"精簡")</f>
        <v/>
      </c>
      <c r="J1163" s="10">
        <f>D1163+E1163+F1163+G1163+H1163+I1163</f>
        <v/>
      </c>
    </row>
    <row r="1164" ht="18" customHeight="1">
      <c r="A1164" s="6" t="inlineStr">
        <is>
          <t>F003</t>
        </is>
      </c>
      <c r="B1164" s="5" t="inlineStr">
        <is>
          <t>業務組</t>
        </is>
      </c>
      <c r="C1164" s="6" t="n">
        <v>124</v>
      </c>
      <c r="D1164" s="10">
        <f>J1163</f>
        <v/>
      </c>
      <c r="E1164" s="4">
        <f>SUMIFS('01_異動主檔'!$F:$F,'01_異動主檔'!$B:$B,124,'01_異動主檔'!$D:$D,B1164,'01_異動主檔'!$E:$E,"移入")</f>
        <v/>
      </c>
      <c r="F1164" s="4">
        <f>-SUMIFS('01_異動主檔'!$F:$F,'01_異動主檔'!$B:$B,124,'01_異動主檔'!$D:$D,B1164,'01_異動主檔'!$E:$E,"移出")</f>
        <v/>
      </c>
      <c r="G1164" s="4">
        <f>SUMIFS('01_異動主檔'!$F:$F,'01_異動主檔'!$B:$B,124,'01_異動主檔'!$D:$D,B1164,'01_異動主檔'!$E:$E,"新增")</f>
        <v/>
      </c>
      <c r="H1164" s="4">
        <f>-SUMIFS('01_異動主檔'!$F:$F,'01_異動主檔'!$B:$B,124,'01_異動主檔'!$D:$D,B1164,'01_異動主檔'!$E:$E,"減列")</f>
        <v/>
      </c>
      <c r="I1164" s="4">
        <f>-SUMIFS('01_異動主檔'!$F:$F,'01_異動主檔'!$B:$B,124,'01_異動主檔'!$D:$D,B1164,'01_異動主檔'!$E:$E,"精簡")</f>
        <v/>
      </c>
      <c r="J1164" s="10">
        <f>D1164+E1164+F1164+G1164+H1164+I1164</f>
        <v/>
      </c>
    </row>
    <row r="1165" ht="18" customHeight="1">
      <c r="A1165" s="4" t="inlineStr">
        <is>
          <t>F003</t>
        </is>
      </c>
      <c r="B1165" s="3" t="inlineStr">
        <is>
          <t>業務組</t>
        </is>
      </c>
      <c r="C1165" s="4" t="n">
        <v>125</v>
      </c>
      <c r="D1165" s="10">
        <f>J1164</f>
        <v/>
      </c>
      <c r="E1165" s="4">
        <f>SUMIFS('01_異動主檔'!$F:$F,'01_異動主檔'!$B:$B,125,'01_異動主檔'!$D:$D,B1165,'01_異動主檔'!$E:$E,"移入")</f>
        <v/>
      </c>
      <c r="F1165" s="4">
        <f>-SUMIFS('01_異動主檔'!$F:$F,'01_異動主檔'!$B:$B,125,'01_異動主檔'!$D:$D,B1165,'01_異動主檔'!$E:$E,"移出")</f>
        <v/>
      </c>
      <c r="G1165" s="4">
        <f>SUMIFS('01_異動主檔'!$F:$F,'01_異動主檔'!$B:$B,125,'01_異動主檔'!$D:$D,B1165,'01_異動主檔'!$E:$E,"新增")</f>
        <v/>
      </c>
      <c r="H1165" s="4">
        <f>-SUMIFS('01_異動主檔'!$F:$F,'01_異動主檔'!$B:$B,125,'01_異動主檔'!$D:$D,B1165,'01_異動主檔'!$E:$E,"減列")</f>
        <v/>
      </c>
      <c r="I1165" s="4">
        <f>-SUMIFS('01_異動主檔'!$F:$F,'01_異動主檔'!$B:$B,125,'01_異動主檔'!$D:$D,B1165,'01_異動主檔'!$E:$E,"精簡")</f>
        <v/>
      </c>
      <c r="J1165" s="10">
        <f>D1165+E1165+F1165+G1165+H1165+I1165</f>
        <v/>
      </c>
    </row>
    <row r="1166" ht="18" customHeight="1">
      <c r="A1166" s="6" t="inlineStr">
        <is>
          <t>F004</t>
        </is>
      </c>
      <c r="B1166" s="5" t="inlineStr">
        <is>
          <t>技術組</t>
        </is>
      </c>
      <c r="C1166" s="6" t="n">
        <v>99</v>
      </c>
      <c r="D1166" s="10">
        <f>'02_年初員額設定'!C48</f>
        <v/>
      </c>
      <c r="E1166" s="4">
        <f>SUMIFS('01_異動主檔'!$F:$F,'01_異動主檔'!$B:$B,99,'01_異動主檔'!$D:$D,B1166,'01_異動主檔'!$E:$E,"移入")</f>
        <v/>
      </c>
      <c r="F1166" s="4">
        <f>-SUMIFS('01_異動主檔'!$F:$F,'01_異動主檔'!$B:$B,99,'01_異動主檔'!$D:$D,B1166,'01_異動主檔'!$E:$E,"移出")</f>
        <v/>
      </c>
      <c r="G1166" s="4">
        <f>SUMIFS('01_異動主檔'!$F:$F,'01_異動主檔'!$B:$B,99,'01_異動主檔'!$D:$D,B1166,'01_異動主檔'!$E:$E,"新增")</f>
        <v/>
      </c>
      <c r="H1166" s="4">
        <f>-SUMIFS('01_異動主檔'!$F:$F,'01_異動主檔'!$B:$B,99,'01_異動主檔'!$D:$D,B1166,'01_異動主檔'!$E:$E,"減列")</f>
        <v/>
      </c>
      <c r="I1166" s="4">
        <f>-SUMIFS('01_異動主檔'!$F:$F,'01_異動主檔'!$B:$B,99,'01_異動主檔'!$D:$D,B1166,'01_異動主檔'!$E:$E,"精簡")</f>
        <v/>
      </c>
      <c r="J1166" s="10">
        <f>D1166+E1166+F1166+G1166+H1166+I1166</f>
        <v/>
      </c>
    </row>
    <row r="1167" ht="18" customHeight="1">
      <c r="A1167" s="4" t="inlineStr">
        <is>
          <t>F004</t>
        </is>
      </c>
      <c r="B1167" s="3" t="inlineStr">
        <is>
          <t>技術組</t>
        </is>
      </c>
      <c r="C1167" s="4" t="n">
        <v>100</v>
      </c>
      <c r="D1167" s="10">
        <f>J1166</f>
        <v/>
      </c>
      <c r="E1167" s="4">
        <f>SUMIFS('01_異動主檔'!$F:$F,'01_異動主檔'!$B:$B,100,'01_異動主檔'!$D:$D,B1167,'01_異動主檔'!$E:$E,"移入")</f>
        <v/>
      </c>
      <c r="F1167" s="4">
        <f>-SUMIFS('01_異動主檔'!$F:$F,'01_異動主檔'!$B:$B,100,'01_異動主檔'!$D:$D,B1167,'01_異動主檔'!$E:$E,"移出")</f>
        <v/>
      </c>
      <c r="G1167" s="4">
        <f>SUMIFS('01_異動主檔'!$F:$F,'01_異動主檔'!$B:$B,100,'01_異動主檔'!$D:$D,B1167,'01_異動主檔'!$E:$E,"新增")</f>
        <v/>
      </c>
      <c r="H1167" s="4">
        <f>-SUMIFS('01_異動主檔'!$F:$F,'01_異動主檔'!$B:$B,100,'01_異動主檔'!$D:$D,B1167,'01_異動主檔'!$E:$E,"減列")</f>
        <v/>
      </c>
      <c r="I1167" s="4">
        <f>-SUMIFS('01_異動主檔'!$F:$F,'01_異動主檔'!$B:$B,100,'01_異動主檔'!$D:$D,B1167,'01_異動主檔'!$E:$E,"精簡")</f>
        <v/>
      </c>
      <c r="J1167" s="10">
        <f>D1167+E1167+F1167+G1167+H1167+I1167</f>
        <v/>
      </c>
    </row>
    <row r="1168" ht="18" customHeight="1">
      <c r="A1168" s="6" t="inlineStr">
        <is>
          <t>F004</t>
        </is>
      </c>
      <c r="B1168" s="5" t="inlineStr">
        <is>
          <t>技術組</t>
        </is>
      </c>
      <c r="C1168" s="6" t="n">
        <v>101</v>
      </c>
      <c r="D1168" s="10">
        <f>J1167</f>
        <v/>
      </c>
      <c r="E1168" s="4">
        <f>SUMIFS('01_異動主檔'!$F:$F,'01_異動主檔'!$B:$B,101,'01_異動主檔'!$D:$D,B1168,'01_異動主檔'!$E:$E,"移入")</f>
        <v/>
      </c>
      <c r="F1168" s="4">
        <f>-SUMIFS('01_異動主檔'!$F:$F,'01_異動主檔'!$B:$B,101,'01_異動主檔'!$D:$D,B1168,'01_異動主檔'!$E:$E,"移出")</f>
        <v/>
      </c>
      <c r="G1168" s="4">
        <f>SUMIFS('01_異動主檔'!$F:$F,'01_異動主檔'!$B:$B,101,'01_異動主檔'!$D:$D,B1168,'01_異動主檔'!$E:$E,"新增")</f>
        <v/>
      </c>
      <c r="H1168" s="4">
        <f>-SUMIFS('01_異動主檔'!$F:$F,'01_異動主檔'!$B:$B,101,'01_異動主檔'!$D:$D,B1168,'01_異動主檔'!$E:$E,"減列")</f>
        <v/>
      </c>
      <c r="I1168" s="4">
        <f>-SUMIFS('01_異動主檔'!$F:$F,'01_異動主檔'!$B:$B,101,'01_異動主檔'!$D:$D,B1168,'01_異動主檔'!$E:$E,"精簡")</f>
        <v/>
      </c>
      <c r="J1168" s="10">
        <f>D1168+E1168+F1168+G1168+H1168+I1168</f>
        <v/>
      </c>
    </row>
    <row r="1169" ht="18" customHeight="1">
      <c r="A1169" s="4" t="inlineStr">
        <is>
          <t>F004</t>
        </is>
      </c>
      <c r="B1169" s="3" t="inlineStr">
        <is>
          <t>技術組</t>
        </is>
      </c>
      <c r="C1169" s="4" t="n">
        <v>102</v>
      </c>
      <c r="D1169" s="10">
        <f>J1168</f>
        <v/>
      </c>
      <c r="E1169" s="4">
        <f>SUMIFS('01_異動主檔'!$F:$F,'01_異動主檔'!$B:$B,102,'01_異動主檔'!$D:$D,B1169,'01_異動主檔'!$E:$E,"移入")</f>
        <v/>
      </c>
      <c r="F1169" s="4">
        <f>-SUMIFS('01_異動主檔'!$F:$F,'01_異動主檔'!$B:$B,102,'01_異動主檔'!$D:$D,B1169,'01_異動主檔'!$E:$E,"移出")</f>
        <v/>
      </c>
      <c r="G1169" s="4">
        <f>SUMIFS('01_異動主檔'!$F:$F,'01_異動主檔'!$B:$B,102,'01_異動主檔'!$D:$D,B1169,'01_異動主檔'!$E:$E,"新增")</f>
        <v/>
      </c>
      <c r="H1169" s="4">
        <f>-SUMIFS('01_異動主檔'!$F:$F,'01_異動主檔'!$B:$B,102,'01_異動主檔'!$D:$D,B1169,'01_異動主檔'!$E:$E,"減列")</f>
        <v/>
      </c>
      <c r="I1169" s="4">
        <f>-SUMIFS('01_異動主檔'!$F:$F,'01_異動主檔'!$B:$B,102,'01_異動主檔'!$D:$D,B1169,'01_異動主檔'!$E:$E,"精簡")</f>
        <v/>
      </c>
      <c r="J1169" s="10">
        <f>D1169+E1169+F1169+G1169+H1169+I1169</f>
        <v/>
      </c>
    </row>
    <row r="1170" ht="18" customHeight="1">
      <c r="A1170" s="6" t="inlineStr">
        <is>
          <t>F004</t>
        </is>
      </c>
      <c r="B1170" s="5" t="inlineStr">
        <is>
          <t>技術組</t>
        </is>
      </c>
      <c r="C1170" s="6" t="n">
        <v>103</v>
      </c>
      <c r="D1170" s="10">
        <f>J1169</f>
        <v/>
      </c>
      <c r="E1170" s="4">
        <f>SUMIFS('01_異動主檔'!$F:$F,'01_異動主檔'!$B:$B,103,'01_異動主檔'!$D:$D,B1170,'01_異動主檔'!$E:$E,"移入")</f>
        <v/>
      </c>
      <c r="F1170" s="4">
        <f>-SUMIFS('01_異動主檔'!$F:$F,'01_異動主檔'!$B:$B,103,'01_異動主檔'!$D:$D,B1170,'01_異動主檔'!$E:$E,"移出")</f>
        <v/>
      </c>
      <c r="G1170" s="4">
        <f>SUMIFS('01_異動主檔'!$F:$F,'01_異動主檔'!$B:$B,103,'01_異動主檔'!$D:$D,B1170,'01_異動主檔'!$E:$E,"新增")</f>
        <v/>
      </c>
      <c r="H1170" s="4">
        <f>-SUMIFS('01_異動主檔'!$F:$F,'01_異動主檔'!$B:$B,103,'01_異動主檔'!$D:$D,B1170,'01_異動主檔'!$E:$E,"減列")</f>
        <v/>
      </c>
      <c r="I1170" s="4">
        <f>-SUMIFS('01_異動主檔'!$F:$F,'01_異動主檔'!$B:$B,103,'01_異動主檔'!$D:$D,B1170,'01_異動主檔'!$E:$E,"精簡")</f>
        <v/>
      </c>
      <c r="J1170" s="10">
        <f>D1170+E1170+F1170+G1170+H1170+I1170</f>
        <v/>
      </c>
    </row>
    <row r="1171" ht="18" customHeight="1">
      <c r="A1171" s="4" t="inlineStr">
        <is>
          <t>F004</t>
        </is>
      </c>
      <c r="B1171" s="3" t="inlineStr">
        <is>
          <t>技術組</t>
        </is>
      </c>
      <c r="C1171" s="4" t="n">
        <v>104</v>
      </c>
      <c r="D1171" s="10">
        <f>J1170</f>
        <v/>
      </c>
      <c r="E1171" s="4">
        <f>SUMIFS('01_異動主檔'!$F:$F,'01_異動主檔'!$B:$B,104,'01_異動主檔'!$D:$D,B1171,'01_異動主檔'!$E:$E,"移入")</f>
        <v/>
      </c>
      <c r="F1171" s="4">
        <f>-SUMIFS('01_異動主檔'!$F:$F,'01_異動主檔'!$B:$B,104,'01_異動主檔'!$D:$D,B1171,'01_異動主檔'!$E:$E,"移出")</f>
        <v/>
      </c>
      <c r="G1171" s="4">
        <f>SUMIFS('01_異動主檔'!$F:$F,'01_異動主檔'!$B:$B,104,'01_異動主檔'!$D:$D,B1171,'01_異動主檔'!$E:$E,"新增")</f>
        <v/>
      </c>
      <c r="H1171" s="4">
        <f>-SUMIFS('01_異動主檔'!$F:$F,'01_異動主檔'!$B:$B,104,'01_異動主檔'!$D:$D,B1171,'01_異動主檔'!$E:$E,"減列")</f>
        <v/>
      </c>
      <c r="I1171" s="4">
        <f>-SUMIFS('01_異動主檔'!$F:$F,'01_異動主檔'!$B:$B,104,'01_異動主檔'!$D:$D,B1171,'01_異動主檔'!$E:$E,"精簡")</f>
        <v/>
      </c>
      <c r="J1171" s="10">
        <f>D1171+E1171+F1171+G1171+H1171+I1171</f>
        <v/>
      </c>
    </row>
    <row r="1172" ht="18" customHeight="1">
      <c r="A1172" s="6" t="inlineStr">
        <is>
          <t>F004</t>
        </is>
      </c>
      <c r="B1172" s="5" t="inlineStr">
        <is>
          <t>技術組</t>
        </is>
      </c>
      <c r="C1172" s="6" t="n">
        <v>105</v>
      </c>
      <c r="D1172" s="10">
        <f>J1171</f>
        <v/>
      </c>
      <c r="E1172" s="4">
        <f>SUMIFS('01_異動主檔'!$F:$F,'01_異動主檔'!$B:$B,105,'01_異動主檔'!$D:$D,B1172,'01_異動主檔'!$E:$E,"移入")</f>
        <v/>
      </c>
      <c r="F1172" s="4">
        <f>-SUMIFS('01_異動主檔'!$F:$F,'01_異動主檔'!$B:$B,105,'01_異動主檔'!$D:$D,B1172,'01_異動主檔'!$E:$E,"移出")</f>
        <v/>
      </c>
      <c r="G1172" s="4">
        <f>SUMIFS('01_異動主檔'!$F:$F,'01_異動主檔'!$B:$B,105,'01_異動主檔'!$D:$D,B1172,'01_異動主檔'!$E:$E,"新增")</f>
        <v/>
      </c>
      <c r="H1172" s="4">
        <f>-SUMIFS('01_異動主檔'!$F:$F,'01_異動主檔'!$B:$B,105,'01_異動主檔'!$D:$D,B1172,'01_異動主檔'!$E:$E,"減列")</f>
        <v/>
      </c>
      <c r="I1172" s="4">
        <f>-SUMIFS('01_異動主檔'!$F:$F,'01_異動主檔'!$B:$B,105,'01_異動主檔'!$D:$D,B1172,'01_異動主檔'!$E:$E,"精簡")</f>
        <v/>
      </c>
      <c r="J1172" s="10">
        <f>D1172+E1172+F1172+G1172+H1172+I1172</f>
        <v/>
      </c>
    </row>
    <row r="1173" ht="18" customHeight="1">
      <c r="A1173" s="4" t="inlineStr">
        <is>
          <t>F004</t>
        </is>
      </c>
      <c r="B1173" s="3" t="inlineStr">
        <is>
          <t>技術組</t>
        </is>
      </c>
      <c r="C1173" s="4" t="n">
        <v>106</v>
      </c>
      <c r="D1173" s="10">
        <f>J1172</f>
        <v/>
      </c>
      <c r="E1173" s="4">
        <f>SUMIFS('01_異動主檔'!$F:$F,'01_異動主檔'!$B:$B,106,'01_異動主檔'!$D:$D,B1173,'01_異動主檔'!$E:$E,"移入")</f>
        <v/>
      </c>
      <c r="F1173" s="4">
        <f>-SUMIFS('01_異動主檔'!$F:$F,'01_異動主檔'!$B:$B,106,'01_異動主檔'!$D:$D,B1173,'01_異動主檔'!$E:$E,"移出")</f>
        <v/>
      </c>
      <c r="G1173" s="4">
        <f>SUMIFS('01_異動主檔'!$F:$F,'01_異動主檔'!$B:$B,106,'01_異動主檔'!$D:$D,B1173,'01_異動主檔'!$E:$E,"新增")</f>
        <v/>
      </c>
      <c r="H1173" s="4">
        <f>-SUMIFS('01_異動主檔'!$F:$F,'01_異動主檔'!$B:$B,106,'01_異動主檔'!$D:$D,B1173,'01_異動主檔'!$E:$E,"減列")</f>
        <v/>
      </c>
      <c r="I1173" s="4">
        <f>-SUMIFS('01_異動主檔'!$F:$F,'01_異動主檔'!$B:$B,106,'01_異動主檔'!$D:$D,B1173,'01_異動主檔'!$E:$E,"精簡")</f>
        <v/>
      </c>
      <c r="J1173" s="10">
        <f>D1173+E1173+F1173+G1173+H1173+I1173</f>
        <v/>
      </c>
    </row>
    <row r="1174" ht="18" customHeight="1">
      <c r="A1174" s="6" t="inlineStr">
        <is>
          <t>F004</t>
        </is>
      </c>
      <c r="B1174" s="5" t="inlineStr">
        <is>
          <t>技術組</t>
        </is>
      </c>
      <c r="C1174" s="6" t="n">
        <v>107</v>
      </c>
      <c r="D1174" s="10">
        <f>J1173</f>
        <v/>
      </c>
      <c r="E1174" s="4">
        <f>SUMIFS('01_異動主檔'!$F:$F,'01_異動主檔'!$B:$B,107,'01_異動主檔'!$D:$D,B1174,'01_異動主檔'!$E:$E,"移入")</f>
        <v/>
      </c>
      <c r="F1174" s="4">
        <f>-SUMIFS('01_異動主檔'!$F:$F,'01_異動主檔'!$B:$B,107,'01_異動主檔'!$D:$D,B1174,'01_異動主檔'!$E:$E,"移出")</f>
        <v/>
      </c>
      <c r="G1174" s="4">
        <f>SUMIFS('01_異動主檔'!$F:$F,'01_異動主檔'!$B:$B,107,'01_異動主檔'!$D:$D,B1174,'01_異動主檔'!$E:$E,"新增")</f>
        <v/>
      </c>
      <c r="H1174" s="4">
        <f>-SUMIFS('01_異動主檔'!$F:$F,'01_異動主檔'!$B:$B,107,'01_異動主檔'!$D:$D,B1174,'01_異動主檔'!$E:$E,"減列")</f>
        <v/>
      </c>
      <c r="I1174" s="4">
        <f>-SUMIFS('01_異動主檔'!$F:$F,'01_異動主檔'!$B:$B,107,'01_異動主檔'!$D:$D,B1174,'01_異動主檔'!$E:$E,"精簡")</f>
        <v/>
      </c>
      <c r="J1174" s="10">
        <f>D1174+E1174+F1174+G1174+H1174+I1174</f>
        <v/>
      </c>
    </row>
    <row r="1175" ht="18" customHeight="1">
      <c r="A1175" s="4" t="inlineStr">
        <is>
          <t>F004</t>
        </is>
      </c>
      <c r="B1175" s="3" t="inlineStr">
        <is>
          <t>技術組</t>
        </is>
      </c>
      <c r="C1175" s="4" t="n">
        <v>108</v>
      </c>
      <c r="D1175" s="10">
        <f>J1174</f>
        <v/>
      </c>
      <c r="E1175" s="4">
        <f>SUMIFS('01_異動主檔'!$F:$F,'01_異動主檔'!$B:$B,108,'01_異動主檔'!$D:$D,B1175,'01_異動主檔'!$E:$E,"移入")</f>
        <v/>
      </c>
      <c r="F1175" s="4">
        <f>-SUMIFS('01_異動主檔'!$F:$F,'01_異動主檔'!$B:$B,108,'01_異動主檔'!$D:$D,B1175,'01_異動主檔'!$E:$E,"移出")</f>
        <v/>
      </c>
      <c r="G1175" s="4">
        <f>SUMIFS('01_異動主檔'!$F:$F,'01_異動主檔'!$B:$B,108,'01_異動主檔'!$D:$D,B1175,'01_異動主檔'!$E:$E,"新增")</f>
        <v/>
      </c>
      <c r="H1175" s="4">
        <f>-SUMIFS('01_異動主檔'!$F:$F,'01_異動主檔'!$B:$B,108,'01_異動主檔'!$D:$D,B1175,'01_異動主檔'!$E:$E,"減列")</f>
        <v/>
      </c>
      <c r="I1175" s="4">
        <f>-SUMIFS('01_異動主檔'!$F:$F,'01_異動主檔'!$B:$B,108,'01_異動主檔'!$D:$D,B1175,'01_異動主檔'!$E:$E,"精簡")</f>
        <v/>
      </c>
      <c r="J1175" s="10">
        <f>D1175+E1175+F1175+G1175+H1175+I1175</f>
        <v/>
      </c>
    </row>
    <row r="1176" ht="18" customHeight="1">
      <c r="A1176" s="6" t="inlineStr">
        <is>
          <t>F004</t>
        </is>
      </c>
      <c r="B1176" s="5" t="inlineStr">
        <is>
          <t>技術組</t>
        </is>
      </c>
      <c r="C1176" s="6" t="n">
        <v>109</v>
      </c>
      <c r="D1176" s="10">
        <f>J1175</f>
        <v/>
      </c>
      <c r="E1176" s="4">
        <f>SUMIFS('01_異動主檔'!$F:$F,'01_異動主檔'!$B:$B,109,'01_異動主檔'!$D:$D,B1176,'01_異動主檔'!$E:$E,"移入")</f>
        <v/>
      </c>
      <c r="F1176" s="4">
        <f>-SUMIFS('01_異動主檔'!$F:$F,'01_異動主檔'!$B:$B,109,'01_異動主檔'!$D:$D,B1176,'01_異動主檔'!$E:$E,"移出")</f>
        <v/>
      </c>
      <c r="G1176" s="4">
        <f>SUMIFS('01_異動主檔'!$F:$F,'01_異動主檔'!$B:$B,109,'01_異動主檔'!$D:$D,B1176,'01_異動主檔'!$E:$E,"新增")</f>
        <v/>
      </c>
      <c r="H1176" s="4">
        <f>-SUMIFS('01_異動主檔'!$F:$F,'01_異動主檔'!$B:$B,109,'01_異動主檔'!$D:$D,B1176,'01_異動主檔'!$E:$E,"減列")</f>
        <v/>
      </c>
      <c r="I1176" s="4">
        <f>-SUMIFS('01_異動主檔'!$F:$F,'01_異動主檔'!$B:$B,109,'01_異動主檔'!$D:$D,B1176,'01_異動主檔'!$E:$E,"精簡")</f>
        <v/>
      </c>
      <c r="J1176" s="10">
        <f>D1176+E1176+F1176+G1176+H1176+I1176</f>
        <v/>
      </c>
    </row>
    <row r="1177" ht="18" customHeight="1">
      <c r="A1177" s="4" t="inlineStr">
        <is>
          <t>F004</t>
        </is>
      </c>
      <c r="B1177" s="3" t="inlineStr">
        <is>
          <t>技術組</t>
        </is>
      </c>
      <c r="C1177" s="4" t="n">
        <v>110</v>
      </c>
      <c r="D1177" s="10">
        <f>J1176</f>
        <v/>
      </c>
      <c r="E1177" s="4">
        <f>SUMIFS('01_異動主檔'!$F:$F,'01_異動主檔'!$B:$B,110,'01_異動主檔'!$D:$D,B1177,'01_異動主檔'!$E:$E,"移入")</f>
        <v/>
      </c>
      <c r="F1177" s="4">
        <f>-SUMIFS('01_異動主檔'!$F:$F,'01_異動主檔'!$B:$B,110,'01_異動主檔'!$D:$D,B1177,'01_異動主檔'!$E:$E,"移出")</f>
        <v/>
      </c>
      <c r="G1177" s="4">
        <f>SUMIFS('01_異動主檔'!$F:$F,'01_異動主檔'!$B:$B,110,'01_異動主檔'!$D:$D,B1177,'01_異動主檔'!$E:$E,"新增")</f>
        <v/>
      </c>
      <c r="H1177" s="4">
        <f>-SUMIFS('01_異動主檔'!$F:$F,'01_異動主檔'!$B:$B,110,'01_異動主檔'!$D:$D,B1177,'01_異動主檔'!$E:$E,"減列")</f>
        <v/>
      </c>
      <c r="I1177" s="4">
        <f>-SUMIFS('01_異動主檔'!$F:$F,'01_異動主檔'!$B:$B,110,'01_異動主檔'!$D:$D,B1177,'01_異動主檔'!$E:$E,"精簡")</f>
        <v/>
      </c>
      <c r="J1177" s="10">
        <f>D1177+E1177+F1177+G1177+H1177+I1177</f>
        <v/>
      </c>
    </row>
    <row r="1178" ht="18" customHeight="1">
      <c r="A1178" s="6" t="inlineStr">
        <is>
          <t>F004</t>
        </is>
      </c>
      <c r="B1178" s="5" t="inlineStr">
        <is>
          <t>技術組</t>
        </is>
      </c>
      <c r="C1178" s="6" t="n">
        <v>111</v>
      </c>
      <c r="D1178" s="10">
        <f>J1177</f>
        <v/>
      </c>
      <c r="E1178" s="4">
        <f>SUMIFS('01_異動主檔'!$F:$F,'01_異動主檔'!$B:$B,111,'01_異動主檔'!$D:$D,B1178,'01_異動主檔'!$E:$E,"移入")</f>
        <v/>
      </c>
      <c r="F1178" s="4">
        <f>-SUMIFS('01_異動主檔'!$F:$F,'01_異動主檔'!$B:$B,111,'01_異動主檔'!$D:$D,B1178,'01_異動主檔'!$E:$E,"移出")</f>
        <v/>
      </c>
      <c r="G1178" s="4">
        <f>SUMIFS('01_異動主檔'!$F:$F,'01_異動主檔'!$B:$B,111,'01_異動主檔'!$D:$D,B1178,'01_異動主檔'!$E:$E,"新增")</f>
        <v/>
      </c>
      <c r="H1178" s="4">
        <f>-SUMIFS('01_異動主檔'!$F:$F,'01_異動主檔'!$B:$B,111,'01_異動主檔'!$D:$D,B1178,'01_異動主檔'!$E:$E,"減列")</f>
        <v/>
      </c>
      <c r="I1178" s="4">
        <f>-SUMIFS('01_異動主檔'!$F:$F,'01_異動主檔'!$B:$B,111,'01_異動主檔'!$D:$D,B1178,'01_異動主檔'!$E:$E,"精簡")</f>
        <v/>
      </c>
      <c r="J1178" s="10">
        <f>D1178+E1178+F1178+G1178+H1178+I1178</f>
        <v/>
      </c>
    </row>
    <row r="1179" ht="18" customHeight="1">
      <c r="A1179" s="4" t="inlineStr">
        <is>
          <t>F004</t>
        </is>
      </c>
      <c r="B1179" s="3" t="inlineStr">
        <is>
          <t>技術組</t>
        </is>
      </c>
      <c r="C1179" s="4" t="n">
        <v>112</v>
      </c>
      <c r="D1179" s="10">
        <f>J1178</f>
        <v/>
      </c>
      <c r="E1179" s="4">
        <f>SUMIFS('01_異動主檔'!$F:$F,'01_異動主檔'!$B:$B,112,'01_異動主檔'!$D:$D,B1179,'01_異動主檔'!$E:$E,"移入")</f>
        <v/>
      </c>
      <c r="F1179" s="4">
        <f>-SUMIFS('01_異動主檔'!$F:$F,'01_異動主檔'!$B:$B,112,'01_異動主檔'!$D:$D,B1179,'01_異動主檔'!$E:$E,"移出")</f>
        <v/>
      </c>
      <c r="G1179" s="4">
        <f>SUMIFS('01_異動主檔'!$F:$F,'01_異動主檔'!$B:$B,112,'01_異動主檔'!$D:$D,B1179,'01_異動主檔'!$E:$E,"新增")</f>
        <v/>
      </c>
      <c r="H1179" s="4">
        <f>-SUMIFS('01_異動主檔'!$F:$F,'01_異動主檔'!$B:$B,112,'01_異動主檔'!$D:$D,B1179,'01_異動主檔'!$E:$E,"減列")</f>
        <v/>
      </c>
      <c r="I1179" s="4">
        <f>-SUMIFS('01_異動主檔'!$F:$F,'01_異動主檔'!$B:$B,112,'01_異動主檔'!$D:$D,B1179,'01_異動主檔'!$E:$E,"精簡")</f>
        <v/>
      </c>
      <c r="J1179" s="10">
        <f>D1179+E1179+F1179+G1179+H1179+I1179</f>
        <v/>
      </c>
    </row>
    <row r="1180" ht="18" customHeight="1">
      <c r="A1180" s="6" t="inlineStr">
        <is>
          <t>F004</t>
        </is>
      </c>
      <c r="B1180" s="5" t="inlineStr">
        <is>
          <t>技術組</t>
        </is>
      </c>
      <c r="C1180" s="6" t="n">
        <v>113</v>
      </c>
      <c r="D1180" s="10">
        <f>J1179</f>
        <v/>
      </c>
      <c r="E1180" s="4">
        <f>SUMIFS('01_異動主檔'!$F:$F,'01_異動主檔'!$B:$B,113,'01_異動主檔'!$D:$D,B1180,'01_異動主檔'!$E:$E,"移入")</f>
        <v/>
      </c>
      <c r="F1180" s="4">
        <f>-SUMIFS('01_異動主檔'!$F:$F,'01_異動主檔'!$B:$B,113,'01_異動主檔'!$D:$D,B1180,'01_異動主檔'!$E:$E,"移出")</f>
        <v/>
      </c>
      <c r="G1180" s="4">
        <f>SUMIFS('01_異動主檔'!$F:$F,'01_異動主檔'!$B:$B,113,'01_異動主檔'!$D:$D,B1180,'01_異動主檔'!$E:$E,"新增")</f>
        <v/>
      </c>
      <c r="H1180" s="4">
        <f>-SUMIFS('01_異動主檔'!$F:$F,'01_異動主檔'!$B:$B,113,'01_異動主檔'!$D:$D,B1180,'01_異動主檔'!$E:$E,"減列")</f>
        <v/>
      </c>
      <c r="I1180" s="4">
        <f>-SUMIFS('01_異動主檔'!$F:$F,'01_異動主檔'!$B:$B,113,'01_異動主檔'!$D:$D,B1180,'01_異動主檔'!$E:$E,"精簡")</f>
        <v/>
      </c>
      <c r="J1180" s="10">
        <f>D1180+E1180+F1180+G1180+H1180+I1180</f>
        <v/>
      </c>
    </row>
    <row r="1181" ht="18" customHeight="1">
      <c r="A1181" s="4" t="inlineStr">
        <is>
          <t>F004</t>
        </is>
      </c>
      <c r="B1181" s="3" t="inlineStr">
        <is>
          <t>技術組</t>
        </is>
      </c>
      <c r="C1181" s="4" t="n">
        <v>114</v>
      </c>
      <c r="D1181" s="10">
        <f>J1180</f>
        <v/>
      </c>
      <c r="E1181" s="4">
        <f>SUMIFS('01_異動主檔'!$F:$F,'01_異動主檔'!$B:$B,114,'01_異動主檔'!$D:$D,B1181,'01_異動主檔'!$E:$E,"移入")</f>
        <v/>
      </c>
      <c r="F1181" s="4">
        <f>-SUMIFS('01_異動主檔'!$F:$F,'01_異動主檔'!$B:$B,114,'01_異動主檔'!$D:$D,B1181,'01_異動主檔'!$E:$E,"移出")</f>
        <v/>
      </c>
      <c r="G1181" s="4">
        <f>SUMIFS('01_異動主檔'!$F:$F,'01_異動主檔'!$B:$B,114,'01_異動主檔'!$D:$D,B1181,'01_異動主檔'!$E:$E,"新增")</f>
        <v/>
      </c>
      <c r="H1181" s="4">
        <f>-SUMIFS('01_異動主檔'!$F:$F,'01_異動主檔'!$B:$B,114,'01_異動主檔'!$D:$D,B1181,'01_異動主檔'!$E:$E,"減列")</f>
        <v/>
      </c>
      <c r="I1181" s="4">
        <f>-SUMIFS('01_異動主檔'!$F:$F,'01_異動主檔'!$B:$B,114,'01_異動主檔'!$D:$D,B1181,'01_異動主檔'!$E:$E,"精簡")</f>
        <v/>
      </c>
      <c r="J1181" s="10">
        <f>D1181+E1181+F1181+G1181+H1181+I1181</f>
        <v/>
      </c>
    </row>
    <row r="1182" ht="18" customHeight="1">
      <c r="A1182" s="6" t="inlineStr">
        <is>
          <t>F004</t>
        </is>
      </c>
      <c r="B1182" s="5" t="inlineStr">
        <is>
          <t>技術組</t>
        </is>
      </c>
      <c r="C1182" s="6" t="n">
        <v>115</v>
      </c>
      <c r="D1182" s="10">
        <f>J1181</f>
        <v/>
      </c>
      <c r="E1182" s="4">
        <f>SUMIFS('01_異動主檔'!$F:$F,'01_異動主檔'!$B:$B,115,'01_異動主檔'!$D:$D,B1182,'01_異動主檔'!$E:$E,"移入")</f>
        <v/>
      </c>
      <c r="F1182" s="4">
        <f>-SUMIFS('01_異動主檔'!$F:$F,'01_異動主檔'!$B:$B,115,'01_異動主檔'!$D:$D,B1182,'01_異動主檔'!$E:$E,"移出")</f>
        <v/>
      </c>
      <c r="G1182" s="4">
        <f>SUMIFS('01_異動主檔'!$F:$F,'01_異動主檔'!$B:$B,115,'01_異動主檔'!$D:$D,B1182,'01_異動主檔'!$E:$E,"新增")</f>
        <v/>
      </c>
      <c r="H1182" s="4">
        <f>-SUMIFS('01_異動主檔'!$F:$F,'01_異動主檔'!$B:$B,115,'01_異動主檔'!$D:$D,B1182,'01_異動主檔'!$E:$E,"減列")</f>
        <v/>
      </c>
      <c r="I1182" s="4">
        <f>-SUMIFS('01_異動主檔'!$F:$F,'01_異動主檔'!$B:$B,115,'01_異動主檔'!$D:$D,B1182,'01_異動主檔'!$E:$E,"精簡")</f>
        <v/>
      </c>
      <c r="J1182" s="10">
        <f>D1182+E1182+F1182+G1182+H1182+I1182</f>
        <v/>
      </c>
    </row>
    <row r="1183" ht="18" customHeight="1">
      <c r="A1183" s="4" t="inlineStr">
        <is>
          <t>F004</t>
        </is>
      </c>
      <c r="B1183" s="3" t="inlineStr">
        <is>
          <t>技術組</t>
        </is>
      </c>
      <c r="C1183" s="4" t="n">
        <v>116</v>
      </c>
      <c r="D1183" s="10">
        <f>J1182</f>
        <v/>
      </c>
      <c r="E1183" s="4">
        <f>SUMIFS('01_異動主檔'!$F:$F,'01_異動主檔'!$B:$B,116,'01_異動主檔'!$D:$D,B1183,'01_異動主檔'!$E:$E,"移入")</f>
        <v/>
      </c>
      <c r="F1183" s="4">
        <f>-SUMIFS('01_異動主檔'!$F:$F,'01_異動主檔'!$B:$B,116,'01_異動主檔'!$D:$D,B1183,'01_異動主檔'!$E:$E,"移出")</f>
        <v/>
      </c>
      <c r="G1183" s="4">
        <f>SUMIFS('01_異動主檔'!$F:$F,'01_異動主檔'!$B:$B,116,'01_異動主檔'!$D:$D,B1183,'01_異動主檔'!$E:$E,"新增")</f>
        <v/>
      </c>
      <c r="H1183" s="4">
        <f>-SUMIFS('01_異動主檔'!$F:$F,'01_異動主檔'!$B:$B,116,'01_異動主檔'!$D:$D,B1183,'01_異動主檔'!$E:$E,"減列")</f>
        <v/>
      </c>
      <c r="I1183" s="4">
        <f>-SUMIFS('01_異動主檔'!$F:$F,'01_異動主檔'!$B:$B,116,'01_異動主檔'!$D:$D,B1183,'01_異動主檔'!$E:$E,"精簡")</f>
        <v/>
      </c>
      <c r="J1183" s="10">
        <f>D1183+E1183+F1183+G1183+H1183+I1183</f>
        <v/>
      </c>
    </row>
    <row r="1184" ht="18" customHeight="1">
      <c r="A1184" s="6" t="inlineStr">
        <is>
          <t>F004</t>
        </is>
      </c>
      <c r="B1184" s="5" t="inlineStr">
        <is>
          <t>技術組</t>
        </is>
      </c>
      <c r="C1184" s="6" t="n">
        <v>117</v>
      </c>
      <c r="D1184" s="10">
        <f>J1183</f>
        <v/>
      </c>
      <c r="E1184" s="4">
        <f>SUMIFS('01_異動主檔'!$F:$F,'01_異動主檔'!$B:$B,117,'01_異動主檔'!$D:$D,B1184,'01_異動主檔'!$E:$E,"移入")</f>
        <v/>
      </c>
      <c r="F1184" s="4">
        <f>-SUMIFS('01_異動主檔'!$F:$F,'01_異動主檔'!$B:$B,117,'01_異動主檔'!$D:$D,B1184,'01_異動主檔'!$E:$E,"移出")</f>
        <v/>
      </c>
      <c r="G1184" s="4">
        <f>SUMIFS('01_異動主檔'!$F:$F,'01_異動主檔'!$B:$B,117,'01_異動主檔'!$D:$D,B1184,'01_異動主檔'!$E:$E,"新增")</f>
        <v/>
      </c>
      <c r="H1184" s="4">
        <f>-SUMIFS('01_異動主檔'!$F:$F,'01_異動主檔'!$B:$B,117,'01_異動主檔'!$D:$D,B1184,'01_異動主檔'!$E:$E,"減列")</f>
        <v/>
      </c>
      <c r="I1184" s="4">
        <f>-SUMIFS('01_異動主檔'!$F:$F,'01_異動主檔'!$B:$B,117,'01_異動主檔'!$D:$D,B1184,'01_異動主檔'!$E:$E,"精簡")</f>
        <v/>
      </c>
      <c r="J1184" s="10">
        <f>D1184+E1184+F1184+G1184+H1184+I1184</f>
        <v/>
      </c>
    </row>
    <row r="1185" ht="18" customHeight="1">
      <c r="A1185" s="4" t="inlineStr">
        <is>
          <t>F004</t>
        </is>
      </c>
      <c r="B1185" s="3" t="inlineStr">
        <is>
          <t>技術組</t>
        </is>
      </c>
      <c r="C1185" s="4" t="n">
        <v>118</v>
      </c>
      <c r="D1185" s="10">
        <f>J1184</f>
        <v/>
      </c>
      <c r="E1185" s="4">
        <f>SUMIFS('01_異動主檔'!$F:$F,'01_異動主檔'!$B:$B,118,'01_異動主檔'!$D:$D,B1185,'01_異動主檔'!$E:$E,"移入")</f>
        <v/>
      </c>
      <c r="F1185" s="4">
        <f>-SUMIFS('01_異動主檔'!$F:$F,'01_異動主檔'!$B:$B,118,'01_異動主檔'!$D:$D,B1185,'01_異動主檔'!$E:$E,"移出")</f>
        <v/>
      </c>
      <c r="G1185" s="4">
        <f>SUMIFS('01_異動主檔'!$F:$F,'01_異動主檔'!$B:$B,118,'01_異動主檔'!$D:$D,B1185,'01_異動主檔'!$E:$E,"新增")</f>
        <v/>
      </c>
      <c r="H1185" s="4">
        <f>-SUMIFS('01_異動主檔'!$F:$F,'01_異動主檔'!$B:$B,118,'01_異動主檔'!$D:$D,B1185,'01_異動主檔'!$E:$E,"減列")</f>
        <v/>
      </c>
      <c r="I1185" s="4">
        <f>-SUMIFS('01_異動主檔'!$F:$F,'01_異動主檔'!$B:$B,118,'01_異動主檔'!$D:$D,B1185,'01_異動主檔'!$E:$E,"精簡")</f>
        <v/>
      </c>
      <c r="J1185" s="10">
        <f>D1185+E1185+F1185+G1185+H1185+I1185</f>
        <v/>
      </c>
    </row>
    <row r="1186" ht="18" customHeight="1">
      <c r="A1186" s="6" t="inlineStr">
        <is>
          <t>F004</t>
        </is>
      </c>
      <c r="B1186" s="5" t="inlineStr">
        <is>
          <t>技術組</t>
        </is>
      </c>
      <c r="C1186" s="6" t="n">
        <v>119</v>
      </c>
      <c r="D1186" s="10">
        <f>J1185</f>
        <v/>
      </c>
      <c r="E1186" s="4">
        <f>SUMIFS('01_異動主檔'!$F:$F,'01_異動主檔'!$B:$B,119,'01_異動主檔'!$D:$D,B1186,'01_異動主檔'!$E:$E,"移入")</f>
        <v/>
      </c>
      <c r="F1186" s="4">
        <f>-SUMIFS('01_異動主檔'!$F:$F,'01_異動主檔'!$B:$B,119,'01_異動主檔'!$D:$D,B1186,'01_異動主檔'!$E:$E,"移出")</f>
        <v/>
      </c>
      <c r="G1186" s="4">
        <f>SUMIFS('01_異動主檔'!$F:$F,'01_異動主檔'!$B:$B,119,'01_異動主檔'!$D:$D,B1186,'01_異動主檔'!$E:$E,"新增")</f>
        <v/>
      </c>
      <c r="H1186" s="4">
        <f>-SUMIFS('01_異動主檔'!$F:$F,'01_異動主檔'!$B:$B,119,'01_異動主檔'!$D:$D,B1186,'01_異動主檔'!$E:$E,"減列")</f>
        <v/>
      </c>
      <c r="I1186" s="4">
        <f>-SUMIFS('01_異動主檔'!$F:$F,'01_異動主檔'!$B:$B,119,'01_異動主檔'!$D:$D,B1186,'01_異動主檔'!$E:$E,"精簡")</f>
        <v/>
      </c>
      <c r="J1186" s="10">
        <f>D1186+E1186+F1186+G1186+H1186+I1186</f>
        <v/>
      </c>
    </row>
    <row r="1187" ht="18" customHeight="1">
      <c r="A1187" s="4" t="inlineStr">
        <is>
          <t>F004</t>
        </is>
      </c>
      <c r="B1187" s="3" t="inlineStr">
        <is>
          <t>技術組</t>
        </is>
      </c>
      <c r="C1187" s="4" t="n">
        <v>120</v>
      </c>
      <c r="D1187" s="10">
        <f>J1186</f>
        <v/>
      </c>
      <c r="E1187" s="4">
        <f>SUMIFS('01_異動主檔'!$F:$F,'01_異動主檔'!$B:$B,120,'01_異動主檔'!$D:$D,B1187,'01_異動主檔'!$E:$E,"移入")</f>
        <v/>
      </c>
      <c r="F1187" s="4">
        <f>-SUMIFS('01_異動主檔'!$F:$F,'01_異動主檔'!$B:$B,120,'01_異動主檔'!$D:$D,B1187,'01_異動主檔'!$E:$E,"移出")</f>
        <v/>
      </c>
      <c r="G1187" s="4">
        <f>SUMIFS('01_異動主檔'!$F:$F,'01_異動主檔'!$B:$B,120,'01_異動主檔'!$D:$D,B1187,'01_異動主檔'!$E:$E,"新增")</f>
        <v/>
      </c>
      <c r="H1187" s="4">
        <f>-SUMIFS('01_異動主檔'!$F:$F,'01_異動主檔'!$B:$B,120,'01_異動主檔'!$D:$D,B1187,'01_異動主檔'!$E:$E,"減列")</f>
        <v/>
      </c>
      <c r="I1187" s="4">
        <f>-SUMIFS('01_異動主檔'!$F:$F,'01_異動主檔'!$B:$B,120,'01_異動主檔'!$D:$D,B1187,'01_異動主檔'!$E:$E,"精簡")</f>
        <v/>
      </c>
      <c r="J1187" s="10">
        <f>D1187+E1187+F1187+G1187+H1187+I1187</f>
        <v/>
      </c>
    </row>
    <row r="1188" ht="18" customHeight="1">
      <c r="A1188" s="6" t="inlineStr">
        <is>
          <t>F004</t>
        </is>
      </c>
      <c r="B1188" s="5" t="inlineStr">
        <is>
          <t>技術組</t>
        </is>
      </c>
      <c r="C1188" s="6" t="n">
        <v>121</v>
      </c>
      <c r="D1188" s="10">
        <f>J1187</f>
        <v/>
      </c>
      <c r="E1188" s="4">
        <f>SUMIFS('01_異動主檔'!$F:$F,'01_異動主檔'!$B:$B,121,'01_異動主檔'!$D:$D,B1188,'01_異動主檔'!$E:$E,"移入")</f>
        <v/>
      </c>
      <c r="F1188" s="4">
        <f>-SUMIFS('01_異動主檔'!$F:$F,'01_異動主檔'!$B:$B,121,'01_異動主檔'!$D:$D,B1188,'01_異動主檔'!$E:$E,"移出")</f>
        <v/>
      </c>
      <c r="G1188" s="4">
        <f>SUMIFS('01_異動主檔'!$F:$F,'01_異動主檔'!$B:$B,121,'01_異動主檔'!$D:$D,B1188,'01_異動主檔'!$E:$E,"新增")</f>
        <v/>
      </c>
      <c r="H1188" s="4">
        <f>-SUMIFS('01_異動主檔'!$F:$F,'01_異動主檔'!$B:$B,121,'01_異動主檔'!$D:$D,B1188,'01_異動主檔'!$E:$E,"減列")</f>
        <v/>
      </c>
      <c r="I1188" s="4">
        <f>-SUMIFS('01_異動主檔'!$F:$F,'01_異動主檔'!$B:$B,121,'01_異動主檔'!$D:$D,B1188,'01_異動主檔'!$E:$E,"精簡")</f>
        <v/>
      </c>
      <c r="J1188" s="10">
        <f>D1188+E1188+F1188+G1188+H1188+I1188</f>
        <v/>
      </c>
    </row>
    <row r="1189" ht="18" customHeight="1">
      <c r="A1189" s="4" t="inlineStr">
        <is>
          <t>F004</t>
        </is>
      </c>
      <c r="B1189" s="3" t="inlineStr">
        <is>
          <t>技術組</t>
        </is>
      </c>
      <c r="C1189" s="4" t="n">
        <v>122</v>
      </c>
      <c r="D1189" s="10">
        <f>J1188</f>
        <v/>
      </c>
      <c r="E1189" s="4">
        <f>SUMIFS('01_異動主檔'!$F:$F,'01_異動主檔'!$B:$B,122,'01_異動主檔'!$D:$D,B1189,'01_異動主檔'!$E:$E,"移入")</f>
        <v/>
      </c>
      <c r="F1189" s="4">
        <f>-SUMIFS('01_異動主檔'!$F:$F,'01_異動主檔'!$B:$B,122,'01_異動主檔'!$D:$D,B1189,'01_異動主檔'!$E:$E,"移出")</f>
        <v/>
      </c>
      <c r="G1189" s="4">
        <f>SUMIFS('01_異動主檔'!$F:$F,'01_異動主檔'!$B:$B,122,'01_異動主檔'!$D:$D,B1189,'01_異動主檔'!$E:$E,"新增")</f>
        <v/>
      </c>
      <c r="H1189" s="4">
        <f>-SUMIFS('01_異動主檔'!$F:$F,'01_異動主檔'!$B:$B,122,'01_異動主檔'!$D:$D,B1189,'01_異動主檔'!$E:$E,"減列")</f>
        <v/>
      </c>
      <c r="I1189" s="4">
        <f>-SUMIFS('01_異動主檔'!$F:$F,'01_異動主檔'!$B:$B,122,'01_異動主檔'!$D:$D,B1189,'01_異動主檔'!$E:$E,"精簡")</f>
        <v/>
      </c>
      <c r="J1189" s="10">
        <f>D1189+E1189+F1189+G1189+H1189+I1189</f>
        <v/>
      </c>
    </row>
    <row r="1190" ht="18" customHeight="1">
      <c r="A1190" s="6" t="inlineStr">
        <is>
          <t>F004</t>
        </is>
      </c>
      <c r="B1190" s="5" t="inlineStr">
        <is>
          <t>技術組</t>
        </is>
      </c>
      <c r="C1190" s="6" t="n">
        <v>123</v>
      </c>
      <c r="D1190" s="10">
        <f>J1189</f>
        <v/>
      </c>
      <c r="E1190" s="4">
        <f>SUMIFS('01_異動主檔'!$F:$F,'01_異動主檔'!$B:$B,123,'01_異動主檔'!$D:$D,B1190,'01_異動主檔'!$E:$E,"移入")</f>
        <v/>
      </c>
      <c r="F1190" s="4">
        <f>-SUMIFS('01_異動主檔'!$F:$F,'01_異動主檔'!$B:$B,123,'01_異動主檔'!$D:$D,B1190,'01_異動主檔'!$E:$E,"移出")</f>
        <v/>
      </c>
      <c r="G1190" s="4">
        <f>SUMIFS('01_異動主檔'!$F:$F,'01_異動主檔'!$B:$B,123,'01_異動主檔'!$D:$D,B1190,'01_異動主檔'!$E:$E,"新增")</f>
        <v/>
      </c>
      <c r="H1190" s="4">
        <f>-SUMIFS('01_異動主檔'!$F:$F,'01_異動主檔'!$B:$B,123,'01_異動主檔'!$D:$D,B1190,'01_異動主檔'!$E:$E,"減列")</f>
        <v/>
      </c>
      <c r="I1190" s="4">
        <f>-SUMIFS('01_異動主檔'!$F:$F,'01_異動主檔'!$B:$B,123,'01_異動主檔'!$D:$D,B1190,'01_異動主檔'!$E:$E,"精簡")</f>
        <v/>
      </c>
      <c r="J1190" s="10">
        <f>D1190+E1190+F1190+G1190+H1190+I1190</f>
        <v/>
      </c>
    </row>
    <row r="1191" ht="18" customHeight="1">
      <c r="A1191" s="4" t="inlineStr">
        <is>
          <t>F004</t>
        </is>
      </c>
      <c r="B1191" s="3" t="inlineStr">
        <is>
          <t>技術組</t>
        </is>
      </c>
      <c r="C1191" s="4" t="n">
        <v>124</v>
      </c>
      <c r="D1191" s="10">
        <f>J1190</f>
        <v/>
      </c>
      <c r="E1191" s="4">
        <f>SUMIFS('01_異動主檔'!$F:$F,'01_異動主檔'!$B:$B,124,'01_異動主檔'!$D:$D,B1191,'01_異動主檔'!$E:$E,"移入")</f>
        <v/>
      </c>
      <c r="F1191" s="4">
        <f>-SUMIFS('01_異動主檔'!$F:$F,'01_異動主檔'!$B:$B,124,'01_異動主檔'!$D:$D,B1191,'01_異動主檔'!$E:$E,"移出")</f>
        <v/>
      </c>
      <c r="G1191" s="4">
        <f>SUMIFS('01_異動主檔'!$F:$F,'01_異動主檔'!$B:$B,124,'01_異動主檔'!$D:$D,B1191,'01_異動主檔'!$E:$E,"新增")</f>
        <v/>
      </c>
      <c r="H1191" s="4">
        <f>-SUMIFS('01_異動主檔'!$F:$F,'01_異動主檔'!$B:$B,124,'01_異動主檔'!$D:$D,B1191,'01_異動主檔'!$E:$E,"減列")</f>
        <v/>
      </c>
      <c r="I1191" s="4">
        <f>-SUMIFS('01_異動主檔'!$F:$F,'01_異動主檔'!$B:$B,124,'01_異動主檔'!$D:$D,B1191,'01_異動主檔'!$E:$E,"精簡")</f>
        <v/>
      </c>
      <c r="J1191" s="10">
        <f>D1191+E1191+F1191+G1191+H1191+I1191</f>
        <v/>
      </c>
    </row>
    <row r="1192" ht="18" customHeight="1">
      <c r="A1192" s="6" t="inlineStr">
        <is>
          <t>F004</t>
        </is>
      </c>
      <c r="B1192" s="5" t="inlineStr">
        <is>
          <t>技術組</t>
        </is>
      </c>
      <c r="C1192" s="6" t="n">
        <v>125</v>
      </c>
      <c r="D1192" s="10">
        <f>J1191</f>
        <v/>
      </c>
      <c r="E1192" s="4">
        <f>SUMIFS('01_異動主檔'!$F:$F,'01_異動主檔'!$B:$B,125,'01_異動主檔'!$D:$D,B1192,'01_異動主檔'!$E:$E,"移入")</f>
        <v/>
      </c>
      <c r="F1192" s="4">
        <f>-SUMIFS('01_異動主檔'!$F:$F,'01_異動主檔'!$B:$B,125,'01_異動主檔'!$D:$D,B1192,'01_異動主檔'!$E:$E,"移出")</f>
        <v/>
      </c>
      <c r="G1192" s="4">
        <f>SUMIFS('01_異動主檔'!$F:$F,'01_異動主檔'!$B:$B,125,'01_異動主檔'!$D:$D,B1192,'01_異動主檔'!$E:$E,"新增")</f>
        <v/>
      </c>
      <c r="H1192" s="4">
        <f>-SUMIFS('01_異動主檔'!$F:$F,'01_異動主檔'!$B:$B,125,'01_異動主檔'!$D:$D,B1192,'01_異動主檔'!$E:$E,"減列")</f>
        <v/>
      </c>
      <c r="I1192" s="4">
        <f>-SUMIFS('01_異動主檔'!$F:$F,'01_異動主檔'!$B:$B,125,'01_異動主檔'!$D:$D,B1192,'01_異動主檔'!$E:$E,"精簡")</f>
        <v/>
      </c>
      <c r="J1192" s="10">
        <f>D1192+E1192+F1192+G1192+H1192+I1192</f>
        <v/>
      </c>
    </row>
    <row r="1193" ht="18" customHeight="1">
      <c r="A1193" s="4" t="inlineStr">
        <is>
          <t>F005</t>
        </is>
      </c>
      <c r="B1193" s="3" t="inlineStr">
        <is>
          <t>行政組</t>
        </is>
      </c>
      <c r="C1193" s="4" t="n">
        <v>99</v>
      </c>
      <c r="D1193" s="10">
        <f>'02_年初員額設定'!C49</f>
        <v/>
      </c>
      <c r="E1193" s="4">
        <f>SUMIFS('01_異動主檔'!$F:$F,'01_異動主檔'!$B:$B,99,'01_異動主檔'!$D:$D,B1193,'01_異動主檔'!$E:$E,"移入")</f>
        <v/>
      </c>
      <c r="F1193" s="4">
        <f>-SUMIFS('01_異動主檔'!$F:$F,'01_異動主檔'!$B:$B,99,'01_異動主檔'!$D:$D,B1193,'01_異動主檔'!$E:$E,"移出")</f>
        <v/>
      </c>
      <c r="G1193" s="4">
        <f>SUMIFS('01_異動主檔'!$F:$F,'01_異動主檔'!$B:$B,99,'01_異動主檔'!$D:$D,B1193,'01_異動主檔'!$E:$E,"新增")</f>
        <v/>
      </c>
      <c r="H1193" s="4">
        <f>-SUMIFS('01_異動主檔'!$F:$F,'01_異動主檔'!$B:$B,99,'01_異動主檔'!$D:$D,B1193,'01_異動主檔'!$E:$E,"減列")</f>
        <v/>
      </c>
      <c r="I1193" s="4">
        <f>-SUMIFS('01_異動主檔'!$F:$F,'01_異動主檔'!$B:$B,99,'01_異動主檔'!$D:$D,B1193,'01_異動主檔'!$E:$E,"精簡")</f>
        <v/>
      </c>
      <c r="J1193" s="10">
        <f>D1193+E1193+F1193+G1193+H1193+I1193</f>
        <v/>
      </c>
    </row>
    <row r="1194" ht="18" customHeight="1">
      <c r="A1194" s="6" t="inlineStr">
        <is>
          <t>F005</t>
        </is>
      </c>
      <c r="B1194" s="5" t="inlineStr">
        <is>
          <t>行政組</t>
        </is>
      </c>
      <c r="C1194" s="6" t="n">
        <v>100</v>
      </c>
      <c r="D1194" s="10">
        <f>J1193</f>
        <v/>
      </c>
      <c r="E1194" s="4">
        <f>SUMIFS('01_異動主檔'!$F:$F,'01_異動主檔'!$B:$B,100,'01_異動主檔'!$D:$D,B1194,'01_異動主檔'!$E:$E,"移入")</f>
        <v/>
      </c>
      <c r="F1194" s="4">
        <f>-SUMIFS('01_異動主檔'!$F:$F,'01_異動主檔'!$B:$B,100,'01_異動主檔'!$D:$D,B1194,'01_異動主檔'!$E:$E,"移出")</f>
        <v/>
      </c>
      <c r="G1194" s="4">
        <f>SUMIFS('01_異動主檔'!$F:$F,'01_異動主檔'!$B:$B,100,'01_異動主檔'!$D:$D,B1194,'01_異動主檔'!$E:$E,"新增")</f>
        <v/>
      </c>
      <c r="H1194" s="4">
        <f>-SUMIFS('01_異動主檔'!$F:$F,'01_異動主檔'!$B:$B,100,'01_異動主檔'!$D:$D,B1194,'01_異動主檔'!$E:$E,"減列")</f>
        <v/>
      </c>
      <c r="I1194" s="4">
        <f>-SUMIFS('01_異動主檔'!$F:$F,'01_異動主檔'!$B:$B,100,'01_異動主檔'!$D:$D,B1194,'01_異動主檔'!$E:$E,"精簡")</f>
        <v/>
      </c>
      <c r="J1194" s="10">
        <f>D1194+E1194+F1194+G1194+H1194+I1194</f>
        <v/>
      </c>
    </row>
    <row r="1195" ht="18" customHeight="1">
      <c r="A1195" s="4" t="inlineStr">
        <is>
          <t>F005</t>
        </is>
      </c>
      <c r="B1195" s="3" t="inlineStr">
        <is>
          <t>行政組</t>
        </is>
      </c>
      <c r="C1195" s="4" t="n">
        <v>101</v>
      </c>
      <c r="D1195" s="10">
        <f>J1194</f>
        <v/>
      </c>
      <c r="E1195" s="4">
        <f>SUMIFS('01_異動主檔'!$F:$F,'01_異動主檔'!$B:$B,101,'01_異動主檔'!$D:$D,B1195,'01_異動主檔'!$E:$E,"移入")</f>
        <v/>
      </c>
      <c r="F1195" s="4">
        <f>-SUMIFS('01_異動主檔'!$F:$F,'01_異動主檔'!$B:$B,101,'01_異動主檔'!$D:$D,B1195,'01_異動主檔'!$E:$E,"移出")</f>
        <v/>
      </c>
      <c r="G1195" s="4">
        <f>SUMIFS('01_異動主檔'!$F:$F,'01_異動主檔'!$B:$B,101,'01_異動主檔'!$D:$D,B1195,'01_異動主檔'!$E:$E,"新增")</f>
        <v/>
      </c>
      <c r="H1195" s="4">
        <f>-SUMIFS('01_異動主檔'!$F:$F,'01_異動主檔'!$B:$B,101,'01_異動主檔'!$D:$D,B1195,'01_異動主檔'!$E:$E,"減列")</f>
        <v/>
      </c>
      <c r="I1195" s="4">
        <f>-SUMIFS('01_異動主檔'!$F:$F,'01_異動主檔'!$B:$B,101,'01_異動主檔'!$D:$D,B1195,'01_異動主檔'!$E:$E,"精簡")</f>
        <v/>
      </c>
      <c r="J1195" s="10">
        <f>D1195+E1195+F1195+G1195+H1195+I1195</f>
        <v/>
      </c>
    </row>
    <row r="1196" ht="18" customHeight="1">
      <c r="A1196" s="6" t="inlineStr">
        <is>
          <t>F005</t>
        </is>
      </c>
      <c r="B1196" s="5" t="inlineStr">
        <is>
          <t>行政組</t>
        </is>
      </c>
      <c r="C1196" s="6" t="n">
        <v>102</v>
      </c>
      <c r="D1196" s="10">
        <f>J1195</f>
        <v/>
      </c>
      <c r="E1196" s="4">
        <f>SUMIFS('01_異動主檔'!$F:$F,'01_異動主檔'!$B:$B,102,'01_異動主檔'!$D:$D,B1196,'01_異動主檔'!$E:$E,"移入")</f>
        <v/>
      </c>
      <c r="F1196" s="4">
        <f>-SUMIFS('01_異動主檔'!$F:$F,'01_異動主檔'!$B:$B,102,'01_異動主檔'!$D:$D,B1196,'01_異動主檔'!$E:$E,"移出")</f>
        <v/>
      </c>
      <c r="G1196" s="4">
        <f>SUMIFS('01_異動主檔'!$F:$F,'01_異動主檔'!$B:$B,102,'01_異動主檔'!$D:$D,B1196,'01_異動主檔'!$E:$E,"新增")</f>
        <v/>
      </c>
      <c r="H1196" s="4">
        <f>-SUMIFS('01_異動主檔'!$F:$F,'01_異動主檔'!$B:$B,102,'01_異動主檔'!$D:$D,B1196,'01_異動主檔'!$E:$E,"減列")</f>
        <v/>
      </c>
      <c r="I1196" s="4">
        <f>-SUMIFS('01_異動主檔'!$F:$F,'01_異動主檔'!$B:$B,102,'01_異動主檔'!$D:$D,B1196,'01_異動主檔'!$E:$E,"精簡")</f>
        <v/>
      </c>
      <c r="J1196" s="10">
        <f>D1196+E1196+F1196+G1196+H1196+I1196</f>
        <v/>
      </c>
    </row>
    <row r="1197" ht="18" customHeight="1">
      <c r="A1197" s="4" t="inlineStr">
        <is>
          <t>F005</t>
        </is>
      </c>
      <c r="B1197" s="3" t="inlineStr">
        <is>
          <t>行政組</t>
        </is>
      </c>
      <c r="C1197" s="4" t="n">
        <v>103</v>
      </c>
      <c r="D1197" s="10">
        <f>J1196</f>
        <v/>
      </c>
      <c r="E1197" s="4">
        <f>SUMIFS('01_異動主檔'!$F:$F,'01_異動主檔'!$B:$B,103,'01_異動主檔'!$D:$D,B1197,'01_異動主檔'!$E:$E,"移入")</f>
        <v/>
      </c>
      <c r="F1197" s="4">
        <f>-SUMIFS('01_異動主檔'!$F:$F,'01_異動主檔'!$B:$B,103,'01_異動主檔'!$D:$D,B1197,'01_異動主檔'!$E:$E,"移出")</f>
        <v/>
      </c>
      <c r="G1197" s="4">
        <f>SUMIFS('01_異動主檔'!$F:$F,'01_異動主檔'!$B:$B,103,'01_異動主檔'!$D:$D,B1197,'01_異動主檔'!$E:$E,"新增")</f>
        <v/>
      </c>
      <c r="H1197" s="4">
        <f>-SUMIFS('01_異動主檔'!$F:$F,'01_異動主檔'!$B:$B,103,'01_異動主檔'!$D:$D,B1197,'01_異動主檔'!$E:$E,"減列")</f>
        <v/>
      </c>
      <c r="I1197" s="4">
        <f>-SUMIFS('01_異動主檔'!$F:$F,'01_異動主檔'!$B:$B,103,'01_異動主檔'!$D:$D,B1197,'01_異動主檔'!$E:$E,"精簡")</f>
        <v/>
      </c>
      <c r="J1197" s="10">
        <f>D1197+E1197+F1197+G1197+H1197+I1197</f>
        <v/>
      </c>
    </row>
    <row r="1198" ht="18" customHeight="1">
      <c r="A1198" s="6" t="inlineStr">
        <is>
          <t>F005</t>
        </is>
      </c>
      <c r="B1198" s="5" t="inlineStr">
        <is>
          <t>行政組</t>
        </is>
      </c>
      <c r="C1198" s="6" t="n">
        <v>104</v>
      </c>
      <c r="D1198" s="10">
        <f>J1197</f>
        <v/>
      </c>
      <c r="E1198" s="4">
        <f>SUMIFS('01_異動主檔'!$F:$F,'01_異動主檔'!$B:$B,104,'01_異動主檔'!$D:$D,B1198,'01_異動主檔'!$E:$E,"移入")</f>
        <v/>
      </c>
      <c r="F1198" s="4">
        <f>-SUMIFS('01_異動主檔'!$F:$F,'01_異動主檔'!$B:$B,104,'01_異動主檔'!$D:$D,B1198,'01_異動主檔'!$E:$E,"移出")</f>
        <v/>
      </c>
      <c r="G1198" s="4">
        <f>SUMIFS('01_異動主檔'!$F:$F,'01_異動主檔'!$B:$B,104,'01_異動主檔'!$D:$D,B1198,'01_異動主檔'!$E:$E,"新增")</f>
        <v/>
      </c>
      <c r="H1198" s="4">
        <f>-SUMIFS('01_異動主檔'!$F:$F,'01_異動主檔'!$B:$B,104,'01_異動主檔'!$D:$D,B1198,'01_異動主檔'!$E:$E,"減列")</f>
        <v/>
      </c>
      <c r="I1198" s="4">
        <f>-SUMIFS('01_異動主檔'!$F:$F,'01_異動主檔'!$B:$B,104,'01_異動主檔'!$D:$D,B1198,'01_異動主檔'!$E:$E,"精簡")</f>
        <v/>
      </c>
      <c r="J1198" s="10">
        <f>D1198+E1198+F1198+G1198+H1198+I1198</f>
        <v/>
      </c>
    </row>
    <row r="1199" ht="18" customHeight="1">
      <c r="A1199" s="4" t="inlineStr">
        <is>
          <t>F005</t>
        </is>
      </c>
      <c r="B1199" s="3" t="inlineStr">
        <is>
          <t>行政組</t>
        </is>
      </c>
      <c r="C1199" s="4" t="n">
        <v>105</v>
      </c>
      <c r="D1199" s="10">
        <f>J1198</f>
        <v/>
      </c>
      <c r="E1199" s="4">
        <f>SUMIFS('01_異動主檔'!$F:$F,'01_異動主檔'!$B:$B,105,'01_異動主檔'!$D:$D,B1199,'01_異動主檔'!$E:$E,"移入")</f>
        <v/>
      </c>
      <c r="F1199" s="4">
        <f>-SUMIFS('01_異動主檔'!$F:$F,'01_異動主檔'!$B:$B,105,'01_異動主檔'!$D:$D,B1199,'01_異動主檔'!$E:$E,"移出")</f>
        <v/>
      </c>
      <c r="G1199" s="4">
        <f>SUMIFS('01_異動主檔'!$F:$F,'01_異動主檔'!$B:$B,105,'01_異動主檔'!$D:$D,B1199,'01_異動主檔'!$E:$E,"新增")</f>
        <v/>
      </c>
      <c r="H1199" s="4">
        <f>-SUMIFS('01_異動主檔'!$F:$F,'01_異動主檔'!$B:$B,105,'01_異動主檔'!$D:$D,B1199,'01_異動主檔'!$E:$E,"減列")</f>
        <v/>
      </c>
      <c r="I1199" s="4">
        <f>-SUMIFS('01_異動主檔'!$F:$F,'01_異動主檔'!$B:$B,105,'01_異動主檔'!$D:$D,B1199,'01_異動主檔'!$E:$E,"精簡")</f>
        <v/>
      </c>
      <c r="J1199" s="10">
        <f>D1199+E1199+F1199+G1199+H1199+I1199</f>
        <v/>
      </c>
    </row>
    <row r="1200" ht="18" customHeight="1">
      <c r="A1200" s="6" t="inlineStr">
        <is>
          <t>F005</t>
        </is>
      </c>
      <c r="B1200" s="5" t="inlineStr">
        <is>
          <t>行政組</t>
        </is>
      </c>
      <c r="C1200" s="6" t="n">
        <v>106</v>
      </c>
      <c r="D1200" s="10">
        <f>J1199</f>
        <v/>
      </c>
      <c r="E1200" s="4">
        <f>SUMIFS('01_異動主檔'!$F:$F,'01_異動主檔'!$B:$B,106,'01_異動主檔'!$D:$D,B1200,'01_異動主檔'!$E:$E,"移入")</f>
        <v/>
      </c>
      <c r="F1200" s="4">
        <f>-SUMIFS('01_異動主檔'!$F:$F,'01_異動主檔'!$B:$B,106,'01_異動主檔'!$D:$D,B1200,'01_異動主檔'!$E:$E,"移出")</f>
        <v/>
      </c>
      <c r="G1200" s="4">
        <f>SUMIFS('01_異動主檔'!$F:$F,'01_異動主檔'!$B:$B,106,'01_異動主檔'!$D:$D,B1200,'01_異動主檔'!$E:$E,"新增")</f>
        <v/>
      </c>
      <c r="H1200" s="4">
        <f>-SUMIFS('01_異動主檔'!$F:$F,'01_異動主檔'!$B:$B,106,'01_異動主檔'!$D:$D,B1200,'01_異動主檔'!$E:$E,"減列")</f>
        <v/>
      </c>
      <c r="I1200" s="4">
        <f>-SUMIFS('01_異動主檔'!$F:$F,'01_異動主檔'!$B:$B,106,'01_異動主檔'!$D:$D,B1200,'01_異動主檔'!$E:$E,"精簡")</f>
        <v/>
      </c>
      <c r="J1200" s="10">
        <f>D1200+E1200+F1200+G1200+H1200+I1200</f>
        <v/>
      </c>
    </row>
    <row r="1201" ht="18" customHeight="1">
      <c r="A1201" s="4" t="inlineStr">
        <is>
          <t>F005</t>
        </is>
      </c>
      <c r="B1201" s="3" t="inlineStr">
        <is>
          <t>行政組</t>
        </is>
      </c>
      <c r="C1201" s="4" t="n">
        <v>107</v>
      </c>
      <c r="D1201" s="10">
        <f>J1200</f>
        <v/>
      </c>
      <c r="E1201" s="4">
        <f>SUMIFS('01_異動主檔'!$F:$F,'01_異動主檔'!$B:$B,107,'01_異動主檔'!$D:$D,B1201,'01_異動主檔'!$E:$E,"移入")</f>
        <v/>
      </c>
      <c r="F1201" s="4">
        <f>-SUMIFS('01_異動主檔'!$F:$F,'01_異動主檔'!$B:$B,107,'01_異動主檔'!$D:$D,B1201,'01_異動主檔'!$E:$E,"移出")</f>
        <v/>
      </c>
      <c r="G1201" s="4">
        <f>SUMIFS('01_異動主檔'!$F:$F,'01_異動主檔'!$B:$B,107,'01_異動主檔'!$D:$D,B1201,'01_異動主檔'!$E:$E,"新增")</f>
        <v/>
      </c>
      <c r="H1201" s="4">
        <f>-SUMIFS('01_異動主檔'!$F:$F,'01_異動主檔'!$B:$B,107,'01_異動主檔'!$D:$D,B1201,'01_異動主檔'!$E:$E,"減列")</f>
        <v/>
      </c>
      <c r="I1201" s="4">
        <f>-SUMIFS('01_異動主檔'!$F:$F,'01_異動主檔'!$B:$B,107,'01_異動主檔'!$D:$D,B1201,'01_異動主檔'!$E:$E,"精簡")</f>
        <v/>
      </c>
      <c r="J1201" s="10">
        <f>D1201+E1201+F1201+G1201+H1201+I1201</f>
        <v/>
      </c>
    </row>
    <row r="1202" ht="18" customHeight="1">
      <c r="A1202" s="6" t="inlineStr">
        <is>
          <t>F005</t>
        </is>
      </c>
      <c r="B1202" s="5" t="inlineStr">
        <is>
          <t>行政組</t>
        </is>
      </c>
      <c r="C1202" s="6" t="n">
        <v>108</v>
      </c>
      <c r="D1202" s="10">
        <f>J1201</f>
        <v/>
      </c>
      <c r="E1202" s="4">
        <f>SUMIFS('01_異動主檔'!$F:$F,'01_異動主檔'!$B:$B,108,'01_異動主檔'!$D:$D,B1202,'01_異動主檔'!$E:$E,"移入")</f>
        <v/>
      </c>
      <c r="F1202" s="4">
        <f>-SUMIFS('01_異動主檔'!$F:$F,'01_異動主檔'!$B:$B,108,'01_異動主檔'!$D:$D,B1202,'01_異動主檔'!$E:$E,"移出")</f>
        <v/>
      </c>
      <c r="G1202" s="4">
        <f>SUMIFS('01_異動主檔'!$F:$F,'01_異動主檔'!$B:$B,108,'01_異動主檔'!$D:$D,B1202,'01_異動主檔'!$E:$E,"新增")</f>
        <v/>
      </c>
      <c r="H1202" s="4">
        <f>-SUMIFS('01_異動主檔'!$F:$F,'01_異動主檔'!$B:$B,108,'01_異動主檔'!$D:$D,B1202,'01_異動主檔'!$E:$E,"減列")</f>
        <v/>
      </c>
      <c r="I1202" s="4">
        <f>-SUMIFS('01_異動主檔'!$F:$F,'01_異動主檔'!$B:$B,108,'01_異動主檔'!$D:$D,B1202,'01_異動主檔'!$E:$E,"精簡")</f>
        <v/>
      </c>
      <c r="J1202" s="10">
        <f>D1202+E1202+F1202+G1202+H1202+I1202</f>
        <v/>
      </c>
    </row>
    <row r="1203" ht="18" customHeight="1">
      <c r="A1203" s="4" t="inlineStr">
        <is>
          <t>F005</t>
        </is>
      </c>
      <c r="B1203" s="3" t="inlineStr">
        <is>
          <t>行政組</t>
        </is>
      </c>
      <c r="C1203" s="4" t="n">
        <v>109</v>
      </c>
      <c r="D1203" s="10">
        <f>J1202</f>
        <v/>
      </c>
      <c r="E1203" s="4">
        <f>SUMIFS('01_異動主檔'!$F:$F,'01_異動主檔'!$B:$B,109,'01_異動主檔'!$D:$D,B1203,'01_異動主檔'!$E:$E,"移入")</f>
        <v/>
      </c>
      <c r="F1203" s="4">
        <f>-SUMIFS('01_異動主檔'!$F:$F,'01_異動主檔'!$B:$B,109,'01_異動主檔'!$D:$D,B1203,'01_異動主檔'!$E:$E,"移出")</f>
        <v/>
      </c>
      <c r="G1203" s="4">
        <f>SUMIFS('01_異動主檔'!$F:$F,'01_異動主檔'!$B:$B,109,'01_異動主檔'!$D:$D,B1203,'01_異動主檔'!$E:$E,"新增")</f>
        <v/>
      </c>
      <c r="H1203" s="4">
        <f>-SUMIFS('01_異動主檔'!$F:$F,'01_異動主檔'!$B:$B,109,'01_異動主檔'!$D:$D,B1203,'01_異動主檔'!$E:$E,"減列")</f>
        <v/>
      </c>
      <c r="I1203" s="4">
        <f>-SUMIFS('01_異動主檔'!$F:$F,'01_異動主檔'!$B:$B,109,'01_異動主檔'!$D:$D,B1203,'01_異動主檔'!$E:$E,"精簡")</f>
        <v/>
      </c>
      <c r="J1203" s="10">
        <f>D1203+E1203+F1203+G1203+H1203+I1203</f>
        <v/>
      </c>
    </row>
    <row r="1204" ht="18" customHeight="1">
      <c r="A1204" s="6" t="inlineStr">
        <is>
          <t>F005</t>
        </is>
      </c>
      <c r="B1204" s="5" t="inlineStr">
        <is>
          <t>行政組</t>
        </is>
      </c>
      <c r="C1204" s="6" t="n">
        <v>110</v>
      </c>
      <c r="D1204" s="10">
        <f>J1203</f>
        <v/>
      </c>
      <c r="E1204" s="4">
        <f>SUMIFS('01_異動主檔'!$F:$F,'01_異動主檔'!$B:$B,110,'01_異動主檔'!$D:$D,B1204,'01_異動主檔'!$E:$E,"移入")</f>
        <v/>
      </c>
      <c r="F1204" s="4">
        <f>-SUMIFS('01_異動主檔'!$F:$F,'01_異動主檔'!$B:$B,110,'01_異動主檔'!$D:$D,B1204,'01_異動主檔'!$E:$E,"移出")</f>
        <v/>
      </c>
      <c r="G1204" s="4">
        <f>SUMIFS('01_異動主檔'!$F:$F,'01_異動主檔'!$B:$B,110,'01_異動主檔'!$D:$D,B1204,'01_異動主檔'!$E:$E,"新增")</f>
        <v/>
      </c>
      <c r="H1204" s="4">
        <f>-SUMIFS('01_異動主檔'!$F:$F,'01_異動主檔'!$B:$B,110,'01_異動主檔'!$D:$D,B1204,'01_異動主檔'!$E:$E,"減列")</f>
        <v/>
      </c>
      <c r="I1204" s="4">
        <f>-SUMIFS('01_異動主檔'!$F:$F,'01_異動主檔'!$B:$B,110,'01_異動主檔'!$D:$D,B1204,'01_異動主檔'!$E:$E,"精簡")</f>
        <v/>
      </c>
      <c r="J1204" s="10">
        <f>D1204+E1204+F1204+G1204+H1204+I1204</f>
        <v/>
      </c>
    </row>
    <row r="1205" ht="18" customHeight="1">
      <c r="A1205" s="4" t="inlineStr">
        <is>
          <t>F005</t>
        </is>
      </c>
      <c r="B1205" s="3" t="inlineStr">
        <is>
          <t>行政組</t>
        </is>
      </c>
      <c r="C1205" s="4" t="n">
        <v>111</v>
      </c>
      <c r="D1205" s="10">
        <f>J1204</f>
        <v/>
      </c>
      <c r="E1205" s="4">
        <f>SUMIFS('01_異動主檔'!$F:$F,'01_異動主檔'!$B:$B,111,'01_異動主檔'!$D:$D,B1205,'01_異動主檔'!$E:$E,"移入")</f>
        <v/>
      </c>
      <c r="F1205" s="4">
        <f>-SUMIFS('01_異動主檔'!$F:$F,'01_異動主檔'!$B:$B,111,'01_異動主檔'!$D:$D,B1205,'01_異動主檔'!$E:$E,"移出")</f>
        <v/>
      </c>
      <c r="G1205" s="4">
        <f>SUMIFS('01_異動主檔'!$F:$F,'01_異動主檔'!$B:$B,111,'01_異動主檔'!$D:$D,B1205,'01_異動主檔'!$E:$E,"新增")</f>
        <v/>
      </c>
      <c r="H1205" s="4">
        <f>-SUMIFS('01_異動主檔'!$F:$F,'01_異動主檔'!$B:$B,111,'01_異動主檔'!$D:$D,B1205,'01_異動主檔'!$E:$E,"減列")</f>
        <v/>
      </c>
      <c r="I1205" s="4">
        <f>-SUMIFS('01_異動主檔'!$F:$F,'01_異動主檔'!$B:$B,111,'01_異動主檔'!$D:$D,B1205,'01_異動主檔'!$E:$E,"精簡")</f>
        <v/>
      </c>
      <c r="J1205" s="10">
        <f>D1205+E1205+F1205+G1205+H1205+I1205</f>
        <v/>
      </c>
    </row>
    <row r="1206" ht="18" customHeight="1">
      <c r="A1206" s="6" t="inlineStr">
        <is>
          <t>F005</t>
        </is>
      </c>
      <c r="B1206" s="5" t="inlineStr">
        <is>
          <t>行政組</t>
        </is>
      </c>
      <c r="C1206" s="6" t="n">
        <v>112</v>
      </c>
      <c r="D1206" s="10">
        <f>J1205</f>
        <v/>
      </c>
      <c r="E1206" s="4">
        <f>SUMIFS('01_異動主檔'!$F:$F,'01_異動主檔'!$B:$B,112,'01_異動主檔'!$D:$D,B1206,'01_異動主檔'!$E:$E,"移入")</f>
        <v/>
      </c>
      <c r="F1206" s="4">
        <f>-SUMIFS('01_異動主檔'!$F:$F,'01_異動主檔'!$B:$B,112,'01_異動主檔'!$D:$D,B1206,'01_異動主檔'!$E:$E,"移出")</f>
        <v/>
      </c>
      <c r="G1206" s="4">
        <f>SUMIFS('01_異動主檔'!$F:$F,'01_異動主檔'!$B:$B,112,'01_異動主檔'!$D:$D,B1206,'01_異動主檔'!$E:$E,"新增")</f>
        <v/>
      </c>
      <c r="H1206" s="4">
        <f>-SUMIFS('01_異動主檔'!$F:$F,'01_異動主檔'!$B:$B,112,'01_異動主檔'!$D:$D,B1206,'01_異動主檔'!$E:$E,"減列")</f>
        <v/>
      </c>
      <c r="I1206" s="4">
        <f>-SUMIFS('01_異動主檔'!$F:$F,'01_異動主檔'!$B:$B,112,'01_異動主檔'!$D:$D,B1206,'01_異動主檔'!$E:$E,"精簡")</f>
        <v/>
      </c>
      <c r="J1206" s="10">
        <f>D1206+E1206+F1206+G1206+H1206+I1206</f>
        <v/>
      </c>
    </row>
    <row r="1207" ht="18" customHeight="1">
      <c r="A1207" s="4" t="inlineStr">
        <is>
          <t>F005</t>
        </is>
      </c>
      <c r="B1207" s="3" t="inlineStr">
        <is>
          <t>行政組</t>
        </is>
      </c>
      <c r="C1207" s="4" t="n">
        <v>113</v>
      </c>
      <c r="D1207" s="10">
        <f>J1206</f>
        <v/>
      </c>
      <c r="E1207" s="4">
        <f>SUMIFS('01_異動主檔'!$F:$F,'01_異動主檔'!$B:$B,113,'01_異動主檔'!$D:$D,B1207,'01_異動主檔'!$E:$E,"移入")</f>
        <v/>
      </c>
      <c r="F1207" s="4">
        <f>-SUMIFS('01_異動主檔'!$F:$F,'01_異動主檔'!$B:$B,113,'01_異動主檔'!$D:$D,B1207,'01_異動主檔'!$E:$E,"移出")</f>
        <v/>
      </c>
      <c r="G1207" s="4">
        <f>SUMIFS('01_異動主檔'!$F:$F,'01_異動主檔'!$B:$B,113,'01_異動主檔'!$D:$D,B1207,'01_異動主檔'!$E:$E,"新增")</f>
        <v/>
      </c>
      <c r="H1207" s="4">
        <f>-SUMIFS('01_異動主檔'!$F:$F,'01_異動主檔'!$B:$B,113,'01_異動主檔'!$D:$D,B1207,'01_異動主檔'!$E:$E,"減列")</f>
        <v/>
      </c>
      <c r="I1207" s="4">
        <f>-SUMIFS('01_異動主檔'!$F:$F,'01_異動主檔'!$B:$B,113,'01_異動主檔'!$D:$D,B1207,'01_異動主檔'!$E:$E,"精簡")</f>
        <v/>
      </c>
      <c r="J1207" s="10">
        <f>D1207+E1207+F1207+G1207+H1207+I1207</f>
        <v/>
      </c>
    </row>
    <row r="1208" ht="18" customHeight="1">
      <c r="A1208" s="6" t="inlineStr">
        <is>
          <t>F005</t>
        </is>
      </c>
      <c r="B1208" s="5" t="inlineStr">
        <is>
          <t>行政組</t>
        </is>
      </c>
      <c r="C1208" s="6" t="n">
        <v>114</v>
      </c>
      <c r="D1208" s="10">
        <f>J1207</f>
        <v/>
      </c>
      <c r="E1208" s="4">
        <f>SUMIFS('01_異動主檔'!$F:$F,'01_異動主檔'!$B:$B,114,'01_異動主檔'!$D:$D,B1208,'01_異動主檔'!$E:$E,"移入")</f>
        <v/>
      </c>
      <c r="F1208" s="4">
        <f>-SUMIFS('01_異動主檔'!$F:$F,'01_異動主檔'!$B:$B,114,'01_異動主檔'!$D:$D,B1208,'01_異動主檔'!$E:$E,"移出")</f>
        <v/>
      </c>
      <c r="G1208" s="4">
        <f>SUMIFS('01_異動主檔'!$F:$F,'01_異動主檔'!$B:$B,114,'01_異動主檔'!$D:$D,B1208,'01_異動主檔'!$E:$E,"新增")</f>
        <v/>
      </c>
      <c r="H1208" s="4">
        <f>-SUMIFS('01_異動主檔'!$F:$F,'01_異動主檔'!$B:$B,114,'01_異動主檔'!$D:$D,B1208,'01_異動主檔'!$E:$E,"減列")</f>
        <v/>
      </c>
      <c r="I1208" s="4">
        <f>-SUMIFS('01_異動主檔'!$F:$F,'01_異動主檔'!$B:$B,114,'01_異動主檔'!$D:$D,B1208,'01_異動主檔'!$E:$E,"精簡")</f>
        <v/>
      </c>
      <c r="J1208" s="10">
        <f>D1208+E1208+F1208+G1208+H1208+I1208</f>
        <v/>
      </c>
    </row>
    <row r="1209" ht="18" customHeight="1">
      <c r="A1209" s="4" t="inlineStr">
        <is>
          <t>F005</t>
        </is>
      </c>
      <c r="B1209" s="3" t="inlineStr">
        <is>
          <t>行政組</t>
        </is>
      </c>
      <c r="C1209" s="4" t="n">
        <v>115</v>
      </c>
      <c r="D1209" s="10">
        <f>J1208</f>
        <v/>
      </c>
      <c r="E1209" s="4">
        <f>SUMIFS('01_異動主檔'!$F:$F,'01_異動主檔'!$B:$B,115,'01_異動主檔'!$D:$D,B1209,'01_異動主檔'!$E:$E,"移入")</f>
        <v/>
      </c>
      <c r="F1209" s="4">
        <f>-SUMIFS('01_異動主檔'!$F:$F,'01_異動主檔'!$B:$B,115,'01_異動主檔'!$D:$D,B1209,'01_異動主檔'!$E:$E,"移出")</f>
        <v/>
      </c>
      <c r="G1209" s="4">
        <f>SUMIFS('01_異動主檔'!$F:$F,'01_異動主檔'!$B:$B,115,'01_異動主檔'!$D:$D,B1209,'01_異動主檔'!$E:$E,"新增")</f>
        <v/>
      </c>
      <c r="H1209" s="4">
        <f>-SUMIFS('01_異動主檔'!$F:$F,'01_異動主檔'!$B:$B,115,'01_異動主檔'!$D:$D,B1209,'01_異動主檔'!$E:$E,"減列")</f>
        <v/>
      </c>
      <c r="I1209" s="4">
        <f>-SUMIFS('01_異動主檔'!$F:$F,'01_異動主檔'!$B:$B,115,'01_異動主檔'!$D:$D,B1209,'01_異動主檔'!$E:$E,"精簡")</f>
        <v/>
      </c>
      <c r="J1209" s="10">
        <f>D1209+E1209+F1209+G1209+H1209+I1209</f>
        <v/>
      </c>
    </row>
    <row r="1210" ht="18" customHeight="1">
      <c r="A1210" s="6" t="inlineStr">
        <is>
          <t>F005</t>
        </is>
      </c>
      <c r="B1210" s="5" t="inlineStr">
        <is>
          <t>行政組</t>
        </is>
      </c>
      <c r="C1210" s="6" t="n">
        <v>116</v>
      </c>
      <c r="D1210" s="10">
        <f>J1209</f>
        <v/>
      </c>
      <c r="E1210" s="4">
        <f>SUMIFS('01_異動主檔'!$F:$F,'01_異動主檔'!$B:$B,116,'01_異動主檔'!$D:$D,B1210,'01_異動主檔'!$E:$E,"移入")</f>
        <v/>
      </c>
      <c r="F1210" s="4">
        <f>-SUMIFS('01_異動主檔'!$F:$F,'01_異動主檔'!$B:$B,116,'01_異動主檔'!$D:$D,B1210,'01_異動主檔'!$E:$E,"移出")</f>
        <v/>
      </c>
      <c r="G1210" s="4">
        <f>SUMIFS('01_異動主檔'!$F:$F,'01_異動主檔'!$B:$B,116,'01_異動主檔'!$D:$D,B1210,'01_異動主檔'!$E:$E,"新增")</f>
        <v/>
      </c>
      <c r="H1210" s="4">
        <f>-SUMIFS('01_異動主檔'!$F:$F,'01_異動主檔'!$B:$B,116,'01_異動主檔'!$D:$D,B1210,'01_異動主檔'!$E:$E,"減列")</f>
        <v/>
      </c>
      <c r="I1210" s="4">
        <f>-SUMIFS('01_異動主檔'!$F:$F,'01_異動主檔'!$B:$B,116,'01_異動主檔'!$D:$D,B1210,'01_異動主檔'!$E:$E,"精簡")</f>
        <v/>
      </c>
      <c r="J1210" s="10">
        <f>D1210+E1210+F1210+G1210+H1210+I1210</f>
        <v/>
      </c>
    </row>
    <row r="1211" ht="18" customHeight="1">
      <c r="A1211" s="4" t="inlineStr">
        <is>
          <t>F005</t>
        </is>
      </c>
      <c r="B1211" s="3" t="inlineStr">
        <is>
          <t>行政組</t>
        </is>
      </c>
      <c r="C1211" s="4" t="n">
        <v>117</v>
      </c>
      <c r="D1211" s="10">
        <f>J1210</f>
        <v/>
      </c>
      <c r="E1211" s="4">
        <f>SUMIFS('01_異動主檔'!$F:$F,'01_異動主檔'!$B:$B,117,'01_異動主檔'!$D:$D,B1211,'01_異動主檔'!$E:$E,"移入")</f>
        <v/>
      </c>
      <c r="F1211" s="4">
        <f>-SUMIFS('01_異動主檔'!$F:$F,'01_異動主檔'!$B:$B,117,'01_異動主檔'!$D:$D,B1211,'01_異動主檔'!$E:$E,"移出")</f>
        <v/>
      </c>
      <c r="G1211" s="4">
        <f>SUMIFS('01_異動主檔'!$F:$F,'01_異動主檔'!$B:$B,117,'01_異動主檔'!$D:$D,B1211,'01_異動主檔'!$E:$E,"新增")</f>
        <v/>
      </c>
      <c r="H1211" s="4">
        <f>-SUMIFS('01_異動主檔'!$F:$F,'01_異動主檔'!$B:$B,117,'01_異動主檔'!$D:$D,B1211,'01_異動主檔'!$E:$E,"減列")</f>
        <v/>
      </c>
      <c r="I1211" s="4">
        <f>-SUMIFS('01_異動主檔'!$F:$F,'01_異動主檔'!$B:$B,117,'01_異動主檔'!$D:$D,B1211,'01_異動主檔'!$E:$E,"精簡")</f>
        <v/>
      </c>
      <c r="J1211" s="10">
        <f>D1211+E1211+F1211+G1211+H1211+I1211</f>
        <v/>
      </c>
    </row>
    <row r="1212" ht="18" customHeight="1">
      <c r="A1212" s="6" t="inlineStr">
        <is>
          <t>F005</t>
        </is>
      </c>
      <c r="B1212" s="5" t="inlineStr">
        <is>
          <t>行政組</t>
        </is>
      </c>
      <c r="C1212" s="6" t="n">
        <v>118</v>
      </c>
      <c r="D1212" s="10">
        <f>J1211</f>
        <v/>
      </c>
      <c r="E1212" s="4">
        <f>SUMIFS('01_異動主檔'!$F:$F,'01_異動主檔'!$B:$B,118,'01_異動主檔'!$D:$D,B1212,'01_異動主檔'!$E:$E,"移入")</f>
        <v/>
      </c>
      <c r="F1212" s="4">
        <f>-SUMIFS('01_異動主檔'!$F:$F,'01_異動主檔'!$B:$B,118,'01_異動主檔'!$D:$D,B1212,'01_異動主檔'!$E:$E,"移出")</f>
        <v/>
      </c>
      <c r="G1212" s="4">
        <f>SUMIFS('01_異動主檔'!$F:$F,'01_異動主檔'!$B:$B,118,'01_異動主檔'!$D:$D,B1212,'01_異動主檔'!$E:$E,"新增")</f>
        <v/>
      </c>
      <c r="H1212" s="4">
        <f>-SUMIFS('01_異動主檔'!$F:$F,'01_異動主檔'!$B:$B,118,'01_異動主檔'!$D:$D,B1212,'01_異動主檔'!$E:$E,"減列")</f>
        <v/>
      </c>
      <c r="I1212" s="4">
        <f>-SUMIFS('01_異動主檔'!$F:$F,'01_異動主檔'!$B:$B,118,'01_異動主檔'!$D:$D,B1212,'01_異動主檔'!$E:$E,"精簡")</f>
        <v/>
      </c>
      <c r="J1212" s="10">
        <f>D1212+E1212+F1212+G1212+H1212+I1212</f>
        <v/>
      </c>
    </row>
    <row r="1213" ht="18" customHeight="1">
      <c r="A1213" s="4" t="inlineStr">
        <is>
          <t>F005</t>
        </is>
      </c>
      <c r="B1213" s="3" t="inlineStr">
        <is>
          <t>行政組</t>
        </is>
      </c>
      <c r="C1213" s="4" t="n">
        <v>119</v>
      </c>
      <c r="D1213" s="10">
        <f>J1212</f>
        <v/>
      </c>
      <c r="E1213" s="4">
        <f>SUMIFS('01_異動主檔'!$F:$F,'01_異動主檔'!$B:$B,119,'01_異動主檔'!$D:$D,B1213,'01_異動主檔'!$E:$E,"移入")</f>
        <v/>
      </c>
      <c r="F1213" s="4">
        <f>-SUMIFS('01_異動主檔'!$F:$F,'01_異動主檔'!$B:$B,119,'01_異動主檔'!$D:$D,B1213,'01_異動主檔'!$E:$E,"移出")</f>
        <v/>
      </c>
      <c r="G1213" s="4">
        <f>SUMIFS('01_異動主檔'!$F:$F,'01_異動主檔'!$B:$B,119,'01_異動主檔'!$D:$D,B1213,'01_異動主檔'!$E:$E,"新增")</f>
        <v/>
      </c>
      <c r="H1213" s="4">
        <f>-SUMIFS('01_異動主檔'!$F:$F,'01_異動主檔'!$B:$B,119,'01_異動主檔'!$D:$D,B1213,'01_異動主檔'!$E:$E,"減列")</f>
        <v/>
      </c>
      <c r="I1213" s="4">
        <f>-SUMIFS('01_異動主檔'!$F:$F,'01_異動主檔'!$B:$B,119,'01_異動主檔'!$D:$D,B1213,'01_異動主檔'!$E:$E,"精簡")</f>
        <v/>
      </c>
      <c r="J1213" s="10">
        <f>D1213+E1213+F1213+G1213+H1213+I1213</f>
        <v/>
      </c>
    </row>
    <row r="1214" ht="18" customHeight="1">
      <c r="A1214" s="6" t="inlineStr">
        <is>
          <t>F005</t>
        </is>
      </c>
      <c r="B1214" s="5" t="inlineStr">
        <is>
          <t>行政組</t>
        </is>
      </c>
      <c r="C1214" s="6" t="n">
        <v>120</v>
      </c>
      <c r="D1214" s="10">
        <f>J1213</f>
        <v/>
      </c>
      <c r="E1214" s="4">
        <f>SUMIFS('01_異動主檔'!$F:$F,'01_異動主檔'!$B:$B,120,'01_異動主檔'!$D:$D,B1214,'01_異動主檔'!$E:$E,"移入")</f>
        <v/>
      </c>
      <c r="F1214" s="4">
        <f>-SUMIFS('01_異動主檔'!$F:$F,'01_異動主檔'!$B:$B,120,'01_異動主檔'!$D:$D,B1214,'01_異動主檔'!$E:$E,"移出")</f>
        <v/>
      </c>
      <c r="G1214" s="4">
        <f>SUMIFS('01_異動主檔'!$F:$F,'01_異動主檔'!$B:$B,120,'01_異動主檔'!$D:$D,B1214,'01_異動主檔'!$E:$E,"新增")</f>
        <v/>
      </c>
      <c r="H1214" s="4">
        <f>-SUMIFS('01_異動主檔'!$F:$F,'01_異動主檔'!$B:$B,120,'01_異動主檔'!$D:$D,B1214,'01_異動主檔'!$E:$E,"減列")</f>
        <v/>
      </c>
      <c r="I1214" s="4">
        <f>-SUMIFS('01_異動主檔'!$F:$F,'01_異動主檔'!$B:$B,120,'01_異動主檔'!$D:$D,B1214,'01_異動主檔'!$E:$E,"精簡")</f>
        <v/>
      </c>
      <c r="J1214" s="10">
        <f>D1214+E1214+F1214+G1214+H1214+I1214</f>
        <v/>
      </c>
    </row>
    <row r="1215" ht="18" customHeight="1">
      <c r="A1215" s="4" t="inlineStr">
        <is>
          <t>F005</t>
        </is>
      </c>
      <c r="B1215" s="3" t="inlineStr">
        <is>
          <t>行政組</t>
        </is>
      </c>
      <c r="C1215" s="4" t="n">
        <v>121</v>
      </c>
      <c r="D1215" s="10">
        <f>J1214</f>
        <v/>
      </c>
      <c r="E1215" s="4">
        <f>SUMIFS('01_異動主檔'!$F:$F,'01_異動主檔'!$B:$B,121,'01_異動主檔'!$D:$D,B1215,'01_異動主檔'!$E:$E,"移入")</f>
        <v/>
      </c>
      <c r="F1215" s="4">
        <f>-SUMIFS('01_異動主檔'!$F:$F,'01_異動主檔'!$B:$B,121,'01_異動主檔'!$D:$D,B1215,'01_異動主檔'!$E:$E,"移出")</f>
        <v/>
      </c>
      <c r="G1215" s="4">
        <f>SUMIFS('01_異動主檔'!$F:$F,'01_異動主檔'!$B:$B,121,'01_異動主檔'!$D:$D,B1215,'01_異動主檔'!$E:$E,"新增")</f>
        <v/>
      </c>
      <c r="H1215" s="4">
        <f>-SUMIFS('01_異動主檔'!$F:$F,'01_異動主檔'!$B:$B,121,'01_異動主檔'!$D:$D,B1215,'01_異動主檔'!$E:$E,"減列")</f>
        <v/>
      </c>
      <c r="I1215" s="4">
        <f>-SUMIFS('01_異動主檔'!$F:$F,'01_異動主檔'!$B:$B,121,'01_異動主檔'!$D:$D,B1215,'01_異動主檔'!$E:$E,"精簡")</f>
        <v/>
      </c>
      <c r="J1215" s="10">
        <f>D1215+E1215+F1215+G1215+H1215+I1215</f>
        <v/>
      </c>
    </row>
    <row r="1216" ht="18" customHeight="1">
      <c r="A1216" s="6" t="inlineStr">
        <is>
          <t>F005</t>
        </is>
      </c>
      <c r="B1216" s="5" t="inlineStr">
        <is>
          <t>行政組</t>
        </is>
      </c>
      <c r="C1216" s="6" t="n">
        <v>122</v>
      </c>
      <c r="D1216" s="10">
        <f>J1215</f>
        <v/>
      </c>
      <c r="E1216" s="4">
        <f>SUMIFS('01_異動主檔'!$F:$F,'01_異動主檔'!$B:$B,122,'01_異動主檔'!$D:$D,B1216,'01_異動主檔'!$E:$E,"移入")</f>
        <v/>
      </c>
      <c r="F1216" s="4">
        <f>-SUMIFS('01_異動主檔'!$F:$F,'01_異動主檔'!$B:$B,122,'01_異動主檔'!$D:$D,B1216,'01_異動主檔'!$E:$E,"移出")</f>
        <v/>
      </c>
      <c r="G1216" s="4">
        <f>SUMIFS('01_異動主檔'!$F:$F,'01_異動主檔'!$B:$B,122,'01_異動主檔'!$D:$D,B1216,'01_異動主檔'!$E:$E,"新增")</f>
        <v/>
      </c>
      <c r="H1216" s="4">
        <f>-SUMIFS('01_異動主檔'!$F:$F,'01_異動主檔'!$B:$B,122,'01_異動主檔'!$D:$D,B1216,'01_異動主檔'!$E:$E,"減列")</f>
        <v/>
      </c>
      <c r="I1216" s="4">
        <f>-SUMIFS('01_異動主檔'!$F:$F,'01_異動主檔'!$B:$B,122,'01_異動主檔'!$D:$D,B1216,'01_異動主檔'!$E:$E,"精簡")</f>
        <v/>
      </c>
      <c r="J1216" s="10">
        <f>D1216+E1216+F1216+G1216+H1216+I1216</f>
        <v/>
      </c>
    </row>
    <row r="1217" ht="18" customHeight="1">
      <c r="A1217" s="4" t="inlineStr">
        <is>
          <t>F005</t>
        </is>
      </c>
      <c r="B1217" s="3" t="inlineStr">
        <is>
          <t>行政組</t>
        </is>
      </c>
      <c r="C1217" s="4" t="n">
        <v>123</v>
      </c>
      <c r="D1217" s="10">
        <f>J1216</f>
        <v/>
      </c>
      <c r="E1217" s="4">
        <f>SUMIFS('01_異動主檔'!$F:$F,'01_異動主檔'!$B:$B,123,'01_異動主檔'!$D:$D,B1217,'01_異動主檔'!$E:$E,"移入")</f>
        <v/>
      </c>
      <c r="F1217" s="4">
        <f>-SUMIFS('01_異動主檔'!$F:$F,'01_異動主檔'!$B:$B,123,'01_異動主檔'!$D:$D,B1217,'01_異動主檔'!$E:$E,"移出")</f>
        <v/>
      </c>
      <c r="G1217" s="4">
        <f>SUMIFS('01_異動主檔'!$F:$F,'01_異動主檔'!$B:$B,123,'01_異動主檔'!$D:$D,B1217,'01_異動主檔'!$E:$E,"新增")</f>
        <v/>
      </c>
      <c r="H1217" s="4">
        <f>-SUMIFS('01_異動主檔'!$F:$F,'01_異動主檔'!$B:$B,123,'01_異動主檔'!$D:$D,B1217,'01_異動主檔'!$E:$E,"減列")</f>
        <v/>
      </c>
      <c r="I1217" s="4">
        <f>-SUMIFS('01_異動主檔'!$F:$F,'01_異動主檔'!$B:$B,123,'01_異動主檔'!$D:$D,B1217,'01_異動主檔'!$E:$E,"精簡")</f>
        <v/>
      </c>
      <c r="J1217" s="10">
        <f>D1217+E1217+F1217+G1217+H1217+I1217</f>
        <v/>
      </c>
    </row>
    <row r="1218" ht="18" customHeight="1">
      <c r="A1218" s="6" t="inlineStr">
        <is>
          <t>F005</t>
        </is>
      </c>
      <c r="B1218" s="5" t="inlineStr">
        <is>
          <t>行政組</t>
        </is>
      </c>
      <c r="C1218" s="6" t="n">
        <v>124</v>
      </c>
      <c r="D1218" s="10">
        <f>J1217</f>
        <v/>
      </c>
      <c r="E1218" s="4">
        <f>SUMIFS('01_異動主檔'!$F:$F,'01_異動主檔'!$B:$B,124,'01_異動主檔'!$D:$D,B1218,'01_異動主檔'!$E:$E,"移入")</f>
        <v/>
      </c>
      <c r="F1218" s="4">
        <f>-SUMIFS('01_異動主檔'!$F:$F,'01_異動主檔'!$B:$B,124,'01_異動主檔'!$D:$D,B1218,'01_異動主檔'!$E:$E,"移出")</f>
        <v/>
      </c>
      <c r="G1218" s="4">
        <f>SUMIFS('01_異動主檔'!$F:$F,'01_異動主檔'!$B:$B,124,'01_異動主檔'!$D:$D,B1218,'01_異動主檔'!$E:$E,"新增")</f>
        <v/>
      </c>
      <c r="H1218" s="4">
        <f>-SUMIFS('01_異動主檔'!$F:$F,'01_異動主檔'!$B:$B,124,'01_異動主檔'!$D:$D,B1218,'01_異動主檔'!$E:$E,"減列")</f>
        <v/>
      </c>
      <c r="I1218" s="4">
        <f>-SUMIFS('01_異動主檔'!$F:$F,'01_異動主檔'!$B:$B,124,'01_異動主檔'!$D:$D,B1218,'01_異動主檔'!$E:$E,"精簡")</f>
        <v/>
      </c>
      <c r="J1218" s="10">
        <f>D1218+E1218+F1218+G1218+H1218+I1218</f>
        <v/>
      </c>
    </row>
    <row r="1219" ht="18" customHeight="1">
      <c r="A1219" s="4" t="inlineStr">
        <is>
          <t>F005</t>
        </is>
      </c>
      <c r="B1219" s="3" t="inlineStr">
        <is>
          <t>行政組</t>
        </is>
      </c>
      <c r="C1219" s="4" t="n">
        <v>125</v>
      </c>
      <c r="D1219" s="10">
        <f>J1218</f>
        <v/>
      </c>
      <c r="E1219" s="4">
        <f>SUMIFS('01_異動主檔'!$F:$F,'01_異動主檔'!$B:$B,125,'01_異動主檔'!$D:$D,B1219,'01_異動主檔'!$E:$E,"移入")</f>
        <v/>
      </c>
      <c r="F1219" s="4">
        <f>-SUMIFS('01_異動主檔'!$F:$F,'01_異動主檔'!$B:$B,125,'01_異動主檔'!$D:$D,B1219,'01_異動主檔'!$E:$E,"移出")</f>
        <v/>
      </c>
      <c r="G1219" s="4">
        <f>SUMIFS('01_異動主檔'!$F:$F,'01_異動主檔'!$B:$B,125,'01_異動主檔'!$D:$D,B1219,'01_異動主檔'!$E:$E,"新增")</f>
        <v/>
      </c>
      <c r="H1219" s="4">
        <f>-SUMIFS('01_異動主檔'!$F:$F,'01_異動主檔'!$B:$B,125,'01_異動主檔'!$D:$D,B1219,'01_異動主檔'!$E:$E,"減列")</f>
        <v/>
      </c>
      <c r="I1219" s="4">
        <f>-SUMIFS('01_異動主檔'!$F:$F,'01_異動主檔'!$B:$B,125,'01_異動主檔'!$D:$D,B1219,'01_異動主檔'!$E:$E,"精簡")</f>
        <v/>
      </c>
      <c r="J1219" s="10">
        <f>D1219+E1219+F1219+G1219+H1219+I1219</f>
        <v/>
      </c>
    </row>
    <row r="1220" ht="18" customHeight="1">
      <c r="A1220" s="6" t="inlineStr">
        <is>
          <t>F006</t>
        </is>
      </c>
      <c r="B1220" s="5" t="inlineStr">
        <is>
          <t>財務組</t>
        </is>
      </c>
      <c r="C1220" s="6" t="n">
        <v>99</v>
      </c>
      <c r="D1220" s="10">
        <f>'02_年初員額設定'!C50</f>
        <v/>
      </c>
      <c r="E1220" s="4">
        <f>SUMIFS('01_異動主檔'!$F:$F,'01_異動主檔'!$B:$B,99,'01_異動主檔'!$D:$D,B1220,'01_異動主檔'!$E:$E,"移入")</f>
        <v/>
      </c>
      <c r="F1220" s="4">
        <f>-SUMIFS('01_異動主檔'!$F:$F,'01_異動主檔'!$B:$B,99,'01_異動主檔'!$D:$D,B1220,'01_異動主檔'!$E:$E,"移出")</f>
        <v/>
      </c>
      <c r="G1220" s="4">
        <f>SUMIFS('01_異動主檔'!$F:$F,'01_異動主檔'!$B:$B,99,'01_異動主檔'!$D:$D,B1220,'01_異動主檔'!$E:$E,"新增")</f>
        <v/>
      </c>
      <c r="H1220" s="4">
        <f>-SUMIFS('01_異動主檔'!$F:$F,'01_異動主檔'!$B:$B,99,'01_異動主檔'!$D:$D,B1220,'01_異動主檔'!$E:$E,"減列")</f>
        <v/>
      </c>
      <c r="I1220" s="4">
        <f>-SUMIFS('01_異動主檔'!$F:$F,'01_異動主檔'!$B:$B,99,'01_異動主檔'!$D:$D,B1220,'01_異動主檔'!$E:$E,"精簡")</f>
        <v/>
      </c>
      <c r="J1220" s="10">
        <f>D1220+E1220+F1220+G1220+H1220+I1220</f>
        <v/>
      </c>
    </row>
    <row r="1221" ht="18" customHeight="1">
      <c r="A1221" s="4" t="inlineStr">
        <is>
          <t>F006</t>
        </is>
      </c>
      <c r="B1221" s="3" t="inlineStr">
        <is>
          <t>財務組</t>
        </is>
      </c>
      <c r="C1221" s="4" t="n">
        <v>100</v>
      </c>
      <c r="D1221" s="10">
        <f>J1220</f>
        <v/>
      </c>
      <c r="E1221" s="4">
        <f>SUMIFS('01_異動主檔'!$F:$F,'01_異動主檔'!$B:$B,100,'01_異動主檔'!$D:$D,B1221,'01_異動主檔'!$E:$E,"移入")</f>
        <v/>
      </c>
      <c r="F1221" s="4">
        <f>-SUMIFS('01_異動主檔'!$F:$F,'01_異動主檔'!$B:$B,100,'01_異動主檔'!$D:$D,B1221,'01_異動主檔'!$E:$E,"移出")</f>
        <v/>
      </c>
      <c r="G1221" s="4">
        <f>SUMIFS('01_異動主檔'!$F:$F,'01_異動主檔'!$B:$B,100,'01_異動主檔'!$D:$D,B1221,'01_異動主檔'!$E:$E,"新增")</f>
        <v/>
      </c>
      <c r="H1221" s="4">
        <f>-SUMIFS('01_異動主檔'!$F:$F,'01_異動主檔'!$B:$B,100,'01_異動主檔'!$D:$D,B1221,'01_異動主檔'!$E:$E,"減列")</f>
        <v/>
      </c>
      <c r="I1221" s="4">
        <f>-SUMIFS('01_異動主檔'!$F:$F,'01_異動主檔'!$B:$B,100,'01_異動主檔'!$D:$D,B1221,'01_異動主檔'!$E:$E,"精簡")</f>
        <v/>
      </c>
      <c r="J1221" s="10">
        <f>D1221+E1221+F1221+G1221+H1221+I1221</f>
        <v/>
      </c>
    </row>
    <row r="1222" ht="18" customHeight="1">
      <c r="A1222" s="6" t="inlineStr">
        <is>
          <t>F006</t>
        </is>
      </c>
      <c r="B1222" s="5" t="inlineStr">
        <is>
          <t>財務組</t>
        </is>
      </c>
      <c r="C1222" s="6" t="n">
        <v>101</v>
      </c>
      <c r="D1222" s="10">
        <f>J1221</f>
        <v/>
      </c>
      <c r="E1222" s="4">
        <f>SUMIFS('01_異動主檔'!$F:$F,'01_異動主檔'!$B:$B,101,'01_異動主檔'!$D:$D,B1222,'01_異動主檔'!$E:$E,"移入")</f>
        <v/>
      </c>
      <c r="F1222" s="4">
        <f>-SUMIFS('01_異動主檔'!$F:$F,'01_異動主檔'!$B:$B,101,'01_異動主檔'!$D:$D,B1222,'01_異動主檔'!$E:$E,"移出")</f>
        <v/>
      </c>
      <c r="G1222" s="4">
        <f>SUMIFS('01_異動主檔'!$F:$F,'01_異動主檔'!$B:$B,101,'01_異動主檔'!$D:$D,B1222,'01_異動主檔'!$E:$E,"新增")</f>
        <v/>
      </c>
      <c r="H1222" s="4">
        <f>-SUMIFS('01_異動主檔'!$F:$F,'01_異動主檔'!$B:$B,101,'01_異動主檔'!$D:$D,B1222,'01_異動主檔'!$E:$E,"減列")</f>
        <v/>
      </c>
      <c r="I1222" s="4">
        <f>-SUMIFS('01_異動主檔'!$F:$F,'01_異動主檔'!$B:$B,101,'01_異動主檔'!$D:$D,B1222,'01_異動主檔'!$E:$E,"精簡")</f>
        <v/>
      </c>
      <c r="J1222" s="10">
        <f>D1222+E1222+F1222+G1222+H1222+I1222</f>
        <v/>
      </c>
    </row>
    <row r="1223" ht="18" customHeight="1">
      <c r="A1223" s="4" t="inlineStr">
        <is>
          <t>F006</t>
        </is>
      </c>
      <c r="B1223" s="3" t="inlineStr">
        <is>
          <t>財務組</t>
        </is>
      </c>
      <c r="C1223" s="4" t="n">
        <v>102</v>
      </c>
      <c r="D1223" s="10">
        <f>J1222</f>
        <v/>
      </c>
      <c r="E1223" s="4">
        <f>SUMIFS('01_異動主檔'!$F:$F,'01_異動主檔'!$B:$B,102,'01_異動主檔'!$D:$D,B1223,'01_異動主檔'!$E:$E,"移入")</f>
        <v/>
      </c>
      <c r="F1223" s="4">
        <f>-SUMIFS('01_異動主檔'!$F:$F,'01_異動主檔'!$B:$B,102,'01_異動主檔'!$D:$D,B1223,'01_異動主檔'!$E:$E,"移出")</f>
        <v/>
      </c>
      <c r="G1223" s="4">
        <f>SUMIFS('01_異動主檔'!$F:$F,'01_異動主檔'!$B:$B,102,'01_異動主檔'!$D:$D,B1223,'01_異動主檔'!$E:$E,"新增")</f>
        <v/>
      </c>
      <c r="H1223" s="4">
        <f>-SUMIFS('01_異動主檔'!$F:$F,'01_異動主檔'!$B:$B,102,'01_異動主檔'!$D:$D,B1223,'01_異動主檔'!$E:$E,"減列")</f>
        <v/>
      </c>
      <c r="I1223" s="4">
        <f>-SUMIFS('01_異動主檔'!$F:$F,'01_異動主檔'!$B:$B,102,'01_異動主檔'!$D:$D,B1223,'01_異動主檔'!$E:$E,"精簡")</f>
        <v/>
      </c>
      <c r="J1223" s="10">
        <f>D1223+E1223+F1223+G1223+H1223+I1223</f>
        <v/>
      </c>
    </row>
    <row r="1224" ht="18" customHeight="1">
      <c r="A1224" s="6" t="inlineStr">
        <is>
          <t>F006</t>
        </is>
      </c>
      <c r="B1224" s="5" t="inlineStr">
        <is>
          <t>財務組</t>
        </is>
      </c>
      <c r="C1224" s="6" t="n">
        <v>103</v>
      </c>
      <c r="D1224" s="10">
        <f>J1223</f>
        <v/>
      </c>
      <c r="E1224" s="4">
        <f>SUMIFS('01_異動主檔'!$F:$F,'01_異動主檔'!$B:$B,103,'01_異動主檔'!$D:$D,B1224,'01_異動主檔'!$E:$E,"移入")</f>
        <v/>
      </c>
      <c r="F1224" s="4">
        <f>-SUMIFS('01_異動主檔'!$F:$F,'01_異動主檔'!$B:$B,103,'01_異動主檔'!$D:$D,B1224,'01_異動主檔'!$E:$E,"移出")</f>
        <v/>
      </c>
      <c r="G1224" s="4">
        <f>SUMIFS('01_異動主檔'!$F:$F,'01_異動主檔'!$B:$B,103,'01_異動主檔'!$D:$D,B1224,'01_異動主檔'!$E:$E,"新增")</f>
        <v/>
      </c>
      <c r="H1224" s="4">
        <f>-SUMIFS('01_異動主檔'!$F:$F,'01_異動主檔'!$B:$B,103,'01_異動主檔'!$D:$D,B1224,'01_異動主檔'!$E:$E,"減列")</f>
        <v/>
      </c>
      <c r="I1224" s="4">
        <f>-SUMIFS('01_異動主檔'!$F:$F,'01_異動主檔'!$B:$B,103,'01_異動主檔'!$D:$D,B1224,'01_異動主檔'!$E:$E,"精簡")</f>
        <v/>
      </c>
      <c r="J1224" s="10">
        <f>D1224+E1224+F1224+G1224+H1224+I1224</f>
        <v/>
      </c>
    </row>
    <row r="1225" ht="18" customHeight="1">
      <c r="A1225" s="4" t="inlineStr">
        <is>
          <t>F006</t>
        </is>
      </c>
      <c r="B1225" s="3" t="inlineStr">
        <is>
          <t>財務組</t>
        </is>
      </c>
      <c r="C1225" s="4" t="n">
        <v>104</v>
      </c>
      <c r="D1225" s="10">
        <f>J1224</f>
        <v/>
      </c>
      <c r="E1225" s="4">
        <f>SUMIFS('01_異動主檔'!$F:$F,'01_異動主檔'!$B:$B,104,'01_異動主檔'!$D:$D,B1225,'01_異動主檔'!$E:$E,"移入")</f>
        <v/>
      </c>
      <c r="F1225" s="4">
        <f>-SUMIFS('01_異動主檔'!$F:$F,'01_異動主檔'!$B:$B,104,'01_異動主檔'!$D:$D,B1225,'01_異動主檔'!$E:$E,"移出")</f>
        <v/>
      </c>
      <c r="G1225" s="4">
        <f>SUMIFS('01_異動主檔'!$F:$F,'01_異動主檔'!$B:$B,104,'01_異動主檔'!$D:$D,B1225,'01_異動主檔'!$E:$E,"新增")</f>
        <v/>
      </c>
      <c r="H1225" s="4">
        <f>-SUMIFS('01_異動主檔'!$F:$F,'01_異動主檔'!$B:$B,104,'01_異動主檔'!$D:$D,B1225,'01_異動主檔'!$E:$E,"減列")</f>
        <v/>
      </c>
      <c r="I1225" s="4">
        <f>-SUMIFS('01_異動主檔'!$F:$F,'01_異動主檔'!$B:$B,104,'01_異動主檔'!$D:$D,B1225,'01_異動主檔'!$E:$E,"精簡")</f>
        <v/>
      </c>
      <c r="J1225" s="10">
        <f>D1225+E1225+F1225+G1225+H1225+I1225</f>
        <v/>
      </c>
    </row>
    <row r="1226" ht="18" customHeight="1">
      <c r="A1226" s="6" t="inlineStr">
        <is>
          <t>F006</t>
        </is>
      </c>
      <c r="B1226" s="5" t="inlineStr">
        <is>
          <t>財務組</t>
        </is>
      </c>
      <c r="C1226" s="6" t="n">
        <v>105</v>
      </c>
      <c r="D1226" s="10">
        <f>J1225</f>
        <v/>
      </c>
      <c r="E1226" s="4">
        <f>SUMIFS('01_異動主檔'!$F:$F,'01_異動主檔'!$B:$B,105,'01_異動主檔'!$D:$D,B1226,'01_異動主檔'!$E:$E,"移入")</f>
        <v/>
      </c>
      <c r="F1226" s="4">
        <f>-SUMIFS('01_異動主檔'!$F:$F,'01_異動主檔'!$B:$B,105,'01_異動主檔'!$D:$D,B1226,'01_異動主檔'!$E:$E,"移出")</f>
        <v/>
      </c>
      <c r="G1226" s="4">
        <f>SUMIFS('01_異動主檔'!$F:$F,'01_異動主檔'!$B:$B,105,'01_異動主檔'!$D:$D,B1226,'01_異動主檔'!$E:$E,"新增")</f>
        <v/>
      </c>
      <c r="H1226" s="4">
        <f>-SUMIFS('01_異動主檔'!$F:$F,'01_異動主檔'!$B:$B,105,'01_異動主檔'!$D:$D,B1226,'01_異動主檔'!$E:$E,"減列")</f>
        <v/>
      </c>
      <c r="I1226" s="4">
        <f>-SUMIFS('01_異動主檔'!$F:$F,'01_異動主檔'!$B:$B,105,'01_異動主檔'!$D:$D,B1226,'01_異動主檔'!$E:$E,"精簡")</f>
        <v/>
      </c>
      <c r="J1226" s="10">
        <f>D1226+E1226+F1226+G1226+H1226+I1226</f>
        <v/>
      </c>
    </row>
    <row r="1227" ht="18" customHeight="1">
      <c r="A1227" s="4" t="inlineStr">
        <is>
          <t>F006</t>
        </is>
      </c>
      <c r="B1227" s="3" t="inlineStr">
        <is>
          <t>財務組</t>
        </is>
      </c>
      <c r="C1227" s="4" t="n">
        <v>106</v>
      </c>
      <c r="D1227" s="10">
        <f>J1226</f>
        <v/>
      </c>
      <c r="E1227" s="4">
        <f>SUMIFS('01_異動主檔'!$F:$F,'01_異動主檔'!$B:$B,106,'01_異動主檔'!$D:$D,B1227,'01_異動主檔'!$E:$E,"移入")</f>
        <v/>
      </c>
      <c r="F1227" s="4">
        <f>-SUMIFS('01_異動主檔'!$F:$F,'01_異動主檔'!$B:$B,106,'01_異動主檔'!$D:$D,B1227,'01_異動主檔'!$E:$E,"移出")</f>
        <v/>
      </c>
      <c r="G1227" s="4">
        <f>SUMIFS('01_異動主檔'!$F:$F,'01_異動主檔'!$B:$B,106,'01_異動主檔'!$D:$D,B1227,'01_異動主檔'!$E:$E,"新增")</f>
        <v/>
      </c>
      <c r="H1227" s="4">
        <f>-SUMIFS('01_異動主檔'!$F:$F,'01_異動主檔'!$B:$B,106,'01_異動主檔'!$D:$D,B1227,'01_異動主檔'!$E:$E,"減列")</f>
        <v/>
      </c>
      <c r="I1227" s="4">
        <f>-SUMIFS('01_異動主檔'!$F:$F,'01_異動主檔'!$B:$B,106,'01_異動主檔'!$D:$D,B1227,'01_異動主檔'!$E:$E,"精簡")</f>
        <v/>
      </c>
      <c r="J1227" s="10">
        <f>D1227+E1227+F1227+G1227+H1227+I1227</f>
        <v/>
      </c>
    </row>
    <row r="1228" ht="18" customHeight="1">
      <c r="A1228" s="6" t="inlineStr">
        <is>
          <t>F006</t>
        </is>
      </c>
      <c r="B1228" s="5" t="inlineStr">
        <is>
          <t>財務組</t>
        </is>
      </c>
      <c r="C1228" s="6" t="n">
        <v>107</v>
      </c>
      <c r="D1228" s="10">
        <f>J1227</f>
        <v/>
      </c>
      <c r="E1228" s="4">
        <f>SUMIFS('01_異動主檔'!$F:$F,'01_異動主檔'!$B:$B,107,'01_異動主檔'!$D:$D,B1228,'01_異動主檔'!$E:$E,"移入")</f>
        <v/>
      </c>
      <c r="F1228" s="4">
        <f>-SUMIFS('01_異動主檔'!$F:$F,'01_異動主檔'!$B:$B,107,'01_異動主檔'!$D:$D,B1228,'01_異動主檔'!$E:$E,"移出")</f>
        <v/>
      </c>
      <c r="G1228" s="4">
        <f>SUMIFS('01_異動主檔'!$F:$F,'01_異動主檔'!$B:$B,107,'01_異動主檔'!$D:$D,B1228,'01_異動主檔'!$E:$E,"新增")</f>
        <v/>
      </c>
      <c r="H1228" s="4">
        <f>-SUMIFS('01_異動主檔'!$F:$F,'01_異動主檔'!$B:$B,107,'01_異動主檔'!$D:$D,B1228,'01_異動主檔'!$E:$E,"減列")</f>
        <v/>
      </c>
      <c r="I1228" s="4">
        <f>-SUMIFS('01_異動主檔'!$F:$F,'01_異動主檔'!$B:$B,107,'01_異動主檔'!$D:$D,B1228,'01_異動主檔'!$E:$E,"精簡")</f>
        <v/>
      </c>
      <c r="J1228" s="10">
        <f>D1228+E1228+F1228+G1228+H1228+I1228</f>
        <v/>
      </c>
    </row>
    <row r="1229" ht="18" customHeight="1">
      <c r="A1229" s="4" t="inlineStr">
        <is>
          <t>F006</t>
        </is>
      </c>
      <c r="B1229" s="3" t="inlineStr">
        <is>
          <t>財務組</t>
        </is>
      </c>
      <c r="C1229" s="4" t="n">
        <v>108</v>
      </c>
      <c r="D1229" s="10">
        <f>J1228</f>
        <v/>
      </c>
      <c r="E1229" s="4">
        <f>SUMIFS('01_異動主檔'!$F:$F,'01_異動主檔'!$B:$B,108,'01_異動主檔'!$D:$D,B1229,'01_異動主檔'!$E:$E,"移入")</f>
        <v/>
      </c>
      <c r="F1229" s="4">
        <f>-SUMIFS('01_異動主檔'!$F:$F,'01_異動主檔'!$B:$B,108,'01_異動主檔'!$D:$D,B1229,'01_異動主檔'!$E:$E,"移出")</f>
        <v/>
      </c>
      <c r="G1229" s="4">
        <f>SUMIFS('01_異動主檔'!$F:$F,'01_異動主檔'!$B:$B,108,'01_異動主檔'!$D:$D,B1229,'01_異動主檔'!$E:$E,"新增")</f>
        <v/>
      </c>
      <c r="H1229" s="4">
        <f>-SUMIFS('01_異動主檔'!$F:$F,'01_異動主檔'!$B:$B,108,'01_異動主檔'!$D:$D,B1229,'01_異動主檔'!$E:$E,"減列")</f>
        <v/>
      </c>
      <c r="I1229" s="4">
        <f>-SUMIFS('01_異動主檔'!$F:$F,'01_異動主檔'!$B:$B,108,'01_異動主檔'!$D:$D,B1229,'01_異動主檔'!$E:$E,"精簡")</f>
        <v/>
      </c>
      <c r="J1229" s="10">
        <f>D1229+E1229+F1229+G1229+H1229+I1229</f>
        <v/>
      </c>
    </row>
    <row r="1230" ht="18" customHeight="1">
      <c r="A1230" s="6" t="inlineStr">
        <is>
          <t>F006</t>
        </is>
      </c>
      <c r="B1230" s="5" t="inlineStr">
        <is>
          <t>財務組</t>
        </is>
      </c>
      <c r="C1230" s="6" t="n">
        <v>109</v>
      </c>
      <c r="D1230" s="10">
        <f>J1229</f>
        <v/>
      </c>
      <c r="E1230" s="4">
        <f>SUMIFS('01_異動主檔'!$F:$F,'01_異動主檔'!$B:$B,109,'01_異動主檔'!$D:$D,B1230,'01_異動主檔'!$E:$E,"移入")</f>
        <v/>
      </c>
      <c r="F1230" s="4">
        <f>-SUMIFS('01_異動主檔'!$F:$F,'01_異動主檔'!$B:$B,109,'01_異動主檔'!$D:$D,B1230,'01_異動主檔'!$E:$E,"移出")</f>
        <v/>
      </c>
      <c r="G1230" s="4">
        <f>SUMIFS('01_異動主檔'!$F:$F,'01_異動主檔'!$B:$B,109,'01_異動主檔'!$D:$D,B1230,'01_異動主檔'!$E:$E,"新增")</f>
        <v/>
      </c>
      <c r="H1230" s="4">
        <f>-SUMIFS('01_異動主檔'!$F:$F,'01_異動主檔'!$B:$B,109,'01_異動主檔'!$D:$D,B1230,'01_異動主檔'!$E:$E,"減列")</f>
        <v/>
      </c>
      <c r="I1230" s="4">
        <f>-SUMIFS('01_異動主檔'!$F:$F,'01_異動主檔'!$B:$B,109,'01_異動主檔'!$D:$D,B1230,'01_異動主檔'!$E:$E,"精簡")</f>
        <v/>
      </c>
      <c r="J1230" s="10">
        <f>D1230+E1230+F1230+G1230+H1230+I1230</f>
        <v/>
      </c>
    </row>
    <row r="1231" ht="18" customHeight="1">
      <c r="A1231" s="4" t="inlineStr">
        <is>
          <t>F006</t>
        </is>
      </c>
      <c r="B1231" s="3" t="inlineStr">
        <is>
          <t>財務組</t>
        </is>
      </c>
      <c r="C1231" s="4" t="n">
        <v>110</v>
      </c>
      <c r="D1231" s="10">
        <f>J1230</f>
        <v/>
      </c>
      <c r="E1231" s="4">
        <f>SUMIFS('01_異動主檔'!$F:$F,'01_異動主檔'!$B:$B,110,'01_異動主檔'!$D:$D,B1231,'01_異動主檔'!$E:$E,"移入")</f>
        <v/>
      </c>
      <c r="F1231" s="4">
        <f>-SUMIFS('01_異動主檔'!$F:$F,'01_異動主檔'!$B:$B,110,'01_異動主檔'!$D:$D,B1231,'01_異動主檔'!$E:$E,"移出")</f>
        <v/>
      </c>
      <c r="G1231" s="4">
        <f>SUMIFS('01_異動主檔'!$F:$F,'01_異動主檔'!$B:$B,110,'01_異動主檔'!$D:$D,B1231,'01_異動主檔'!$E:$E,"新增")</f>
        <v/>
      </c>
      <c r="H1231" s="4">
        <f>-SUMIFS('01_異動主檔'!$F:$F,'01_異動主檔'!$B:$B,110,'01_異動主檔'!$D:$D,B1231,'01_異動主檔'!$E:$E,"減列")</f>
        <v/>
      </c>
      <c r="I1231" s="4">
        <f>-SUMIFS('01_異動主檔'!$F:$F,'01_異動主檔'!$B:$B,110,'01_異動主檔'!$D:$D,B1231,'01_異動主檔'!$E:$E,"精簡")</f>
        <v/>
      </c>
      <c r="J1231" s="10">
        <f>D1231+E1231+F1231+G1231+H1231+I1231</f>
        <v/>
      </c>
    </row>
    <row r="1232" ht="18" customHeight="1">
      <c r="A1232" s="6" t="inlineStr">
        <is>
          <t>F006</t>
        </is>
      </c>
      <c r="B1232" s="5" t="inlineStr">
        <is>
          <t>財務組</t>
        </is>
      </c>
      <c r="C1232" s="6" t="n">
        <v>111</v>
      </c>
      <c r="D1232" s="10">
        <f>J1231</f>
        <v/>
      </c>
      <c r="E1232" s="4">
        <f>SUMIFS('01_異動主檔'!$F:$F,'01_異動主檔'!$B:$B,111,'01_異動主檔'!$D:$D,B1232,'01_異動主檔'!$E:$E,"移入")</f>
        <v/>
      </c>
      <c r="F1232" s="4">
        <f>-SUMIFS('01_異動主檔'!$F:$F,'01_異動主檔'!$B:$B,111,'01_異動主檔'!$D:$D,B1232,'01_異動主檔'!$E:$E,"移出")</f>
        <v/>
      </c>
      <c r="G1232" s="4">
        <f>SUMIFS('01_異動主檔'!$F:$F,'01_異動主檔'!$B:$B,111,'01_異動主檔'!$D:$D,B1232,'01_異動主檔'!$E:$E,"新增")</f>
        <v/>
      </c>
      <c r="H1232" s="4">
        <f>-SUMIFS('01_異動主檔'!$F:$F,'01_異動主檔'!$B:$B,111,'01_異動主檔'!$D:$D,B1232,'01_異動主檔'!$E:$E,"減列")</f>
        <v/>
      </c>
      <c r="I1232" s="4">
        <f>-SUMIFS('01_異動主檔'!$F:$F,'01_異動主檔'!$B:$B,111,'01_異動主檔'!$D:$D,B1232,'01_異動主檔'!$E:$E,"精簡")</f>
        <v/>
      </c>
      <c r="J1232" s="10">
        <f>D1232+E1232+F1232+G1232+H1232+I1232</f>
        <v/>
      </c>
    </row>
    <row r="1233" ht="18" customHeight="1">
      <c r="A1233" s="4" t="inlineStr">
        <is>
          <t>F006</t>
        </is>
      </c>
      <c r="B1233" s="3" t="inlineStr">
        <is>
          <t>財務組</t>
        </is>
      </c>
      <c r="C1233" s="4" t="n">
        <v>112</v>
      </c>
      <c r="D1233" s="10">
        <f>J1232</f>
        <v/>
      </c>
      <c r="E1233" s="4">
        <f>SUMIFS('01_異動主檔'!$F:$F,'01_異動主檔'!$B:$B,112,'01_異動主檔'!$D:$D,B1233,'01_異動主檔'!$E:$E,"移入")</f>
        <v/>
      </c>
      <c r="F1233" s="4">
        <f>-SUMIFS('01_異動主檔'!$F:$F,'01_異動主檔'!$B:$B,112,'01_異動主檔'!$D:$D,B1233,'01_異動主檔'!$E:$E,"移出")</f>
        <v/>
      </c>
      <c r="G1233" s="4">
        <f>SUMIFS('01_異動主檔'!$F:$F,'01_異動主檔'!$B:$B,112,'01_異動主檔'!$D:$D,B1233,'01_異動主檔'!$E:$E,"新增")</f>
        <v/>
      </c>
      <c r="H1233" s="4">
        <f>-SUMIFS('01_異動主檔'!$F:$F,'01_異動主檔'!$B:$B,112,'01_異動主檔'!$D:$D,B1233,'01_異動主檔'!$E:$E,"減列")</f>
        <v/>
      </c>
      <c r="I1233" s="4">
        <f>-SUMIFS('01_異動主檔'!$F:$F,'01_異動主檔'!$B:$B,112,'01_異動主檔'!$D:$D,B1233,'01_異動主檔'!$E:$E,"精簡")</f>
        <v/>
      </c>
      <c r="J1233" s="10">
        <f>D1233+E1233+F1233+G1233+H1233+I1233</f>
        <v/>
      </c>
    </row>
    <row r="1234" ht="18" customHeight="1">
      <c r="A1234" s="6" t="inlineStr">
        <is>
          <t>F006</t>
        </is>
      </c>
      <c r="B1234" s="5" t="inlineStr">
        <is>
          <t>財務組</t>
        </is>
      </c>
      <c r="C1234" s="6" t="n">
        <v>113</v>
      </c>
      <c r="D1234" s="10">
        <f>J1233</f>
        <v/>
      </c>
      <c r="E1234" s="4">
        <f>SUMIFS('01_異動主檔'!$F:$F,'01_異動主檔'!$B:$B,113,'01_異動主檔'!$D:$D,B1234,'01_異動主檔'!$E:$E,"移入")</f>
        <v/>
      </c>
      <c r="F1234" s="4">
        <f>-SUMIFS('01_異動主檔'!$F:$F,'01_異動主檔'!$B:$B,113,'01_異動主檔'!$D:$D,B1234,'01_異動主檔'!$E:$E,"移出")</f>
        <v/>
      </c>
      <c r="G1234" s="4">
        <f>SUMIFS('01_異動主檔'!$F:$F,'01_異動主檔'!$B:$B,113,'01_異動主檔'!$D:$D,B1234,'01_異動主檔'!$E:$E,"新增")</f>
        <v/>
      </c>
      <c r="H1234" s="4">
        <f>-SUMIFS('01_異動主檔'!$F:$F,'01_異動主檔'!$B:$B,113,'01_異動主檔'!$D:$D,B1234,'01_異動主檔'!$E:$E,"減列")</f>
        <v/>
      </c>
      <c r="I1234" s="4">
        <f>-SUMIFS('01_異動主檔'!$F:$F,'01_異動主檔'!$B:$B,113,'01_異動主檔'!$D:$D,B1234,'01_異動主檔'!$E:$E,"精簡")</f>
        <v/>
      </c>
      <c r="J1234" s="10">
        <f>D1234+E1234+F1234+G1234+H1234+I1234</f>
        <v/>
      </c>
    </row>
    <row r="1235" ht="18" customHeight="1">
      <c r="A1235" s="4" t="inlineStr">
        <is>
          <t>F006</t>
        </is>
      </c>
      <c r="B1235" s="3" t="inlineStr">
        <is>
          <t>財務組</t>
        </is>
      </c>
      <c r="C1235" s="4" t="n">
        <v>114</v>
      </c>
      <c r="D1235" s="10">
        <f>J1234</f>
        <v/>
      </c>
      <c r="E1235" s="4">
        <f>SUMIFS('01_異動主檔'!$F:$F,'01_異動主檔'!$B:$B,114,'01_異動主檔'!$D:$D,B1235,'01_異動主檔'!$E:$E,"移入")</f>
        <v/>
      </c>
      <c r="F1235" s="4">
        <f>-SUMIFS('01_異動主檔'!$F:$F,'01_異動主檔'!$B:$B,114,'01_異動主檔'!$D:$D,B1235,'01_異動主檔'!$E:$E,"移出")</f>
        <v/>
      </c>
      <c r="G1235" s="4">
        <f>SUMIFS('01_異動主檔'!$F:$F,'01_異動主檔'!$B:$B,114,'01_異動主檔'!$D:$D,B1235,'01_異動主檔'!$E:$E,"新增")</f>
        <v/>
      </c>
      <c r="H1235" s="4">
        <f>-SUMIFS('01_異動主檔'!$F:$F,'01_異動主檔'!$B:$B,114,'01_異動主檔'!$D:$D,B1235,'01_異動主檔'!$E:$E,"減列")</f>
        <v/>
      </c>
      <c r="I1235" s="4">
        <f>-SUMIFS('01_異動主檔'!$F:$F,'01_異動主檔'!$B:$B,114,'01_異動主檔'!$D:$D,B1235,'01_異動主檔'!$E:$E,"精簡")</f>
        <v/>
      </c>
      <c r="J1235" s="10">
        <f>D1235+E1235+F1235+G1235+H1235+I1235</f>
        <v/>
      </c>
    </row>
    <row r="1236" ht="18" customHeight="1">
      <c r="A1236" s="6" t="inlineStr">
        <is>
          <t>F006</t>
        </is>
      </c>
      <c r="B1236" s="5" t="inlineStr">
        <is>
          <t>財務組</t>
        </is>
      </c>
      <c r="C1236" s="6" t="n">
        <v>115</v>
      </c>
      <c r="D1236" s="10">
        <f>J1235</f>
        <v/>
      </c>
      <c r="E1236" s="4">
        <f>SUMIFS('01_異動主檔'!$F:$F,'01_異動主檔'!$B:$B,115,'01_異動主檔'!$D:$D,B1236,'01_異動主檔'!$E:$E,"移入")</f>
        <v/>
      </c>
      <c r="F1236" s="4">
        <f>-SUMIFS('01_異動主檔'!$F:$F,'01_異動主檔'!$B:$B,115,'01_異動主檔'!$D:$D,B1236,'01_異動主檔'!$E:$E,"移出")</f>
        <v/>
      </c>
      <c r="G1236" s="4">
        <f>SUMIFS('01_異動主檔'!$F:$F,'01_異動主檔'!$B:$B,115,'01_異動主檔'!$D:$D,B1236,'01_異動主檔'!$E:$E,"新增")</f>
        <v/>
      </c>
      <c r="H1236" s="4">
        <f>-SUMIFS('01_異動主檔'!$F:$F,'01_異動主檔'!$B:$B,115,'01_異動主檔'!$D:$D,B1236,'01_異動主檔'!$E:$E,"減列")</f>
        <v/>
      </c>
      <c r="I1236" s="4">
        <f>-SUMIFS('01_異動主檔'!$F:$F,'01_異動主檔'!$B:$B,115,'01_異動主檔'!$D:$D,B1236,'01_異動主檔'!$E:$E,"精簡")</f>
        <v/>
      </c>
      <c r="J1236" s="10">
        <f>D1236+E1236+F1236+G1236+H1236+I1236</f>
        <v/>
      </c>
    </row>
    <row r="1237" ht="18" customHeight="1">
      <c r="A1237" s="4" t="inlineStr">
        <is>
          <t>F006</t>
        </is>
      </c>
      <c r="B1237" s="3" t="inlineStr">
        <is>
          <t>財務組</t>
        </is>
      </c>
      <c r="C1237" s="4" t="n">
        <v>116</v>
      </c>
      <c r="D1237" s="10">
        <f>J1236</f>
        <v/>
      </c>
      <c r="E1237" s="4">
        <f>SUMIFS('01_異動主檔'!$F:$F,'01_異動主檔'!$B:$B,116,'01_異動主檔'!$D:$D,B1237,'01_異動主檔'!$E:$E,"移入")</f>
        <v/>
      </c>
      <c r="F1237" s="4">
        <f>-SUMIFS('01_異動主檔'!$F:$F,'01_異動主檔'!$B:$B,116,'01_異動主檔'!$D:$D,B1237,'01_異動主檔'!$E:$E,"移出")</f>
        <v/>
      </c>
      <c r="G1237" s="4">
        <f>SUMIFS('01_異動主檔'!$F:$F,'01_異動主檔'!$B:$B,116,'01_異動主檔'!$D:$D,B1237,'01_異動主檔'!$E:$E,"新增")</f>
        <v/>
      </c>
      <c r="H1237" s="4">
        <f>-SUMIFS('01_異動主檔'!$F:$F,'01_異動主檔'!$B:$B,116,'01_異動主檔'!$D:$D,B1237,'01_異動主檔'!$E:$E,"減列")</f>
        <v/>
      </c>
      <c r="I1237" s="4">
        <f>-SUMIFS('01_異動主檔'!$F:$F,'01_異動主檔'!$B:$B,116,'01_異動主檔'!$D:$D,B1237,'01_異動主檔'!$E:$E,"精簡")</f>
        <v/>
      </c>
      <c r="J1237" s="10">
        <f>D1237+E1237+F1237+G1237+H1237+I1237</f>
        <v/>
      </c>
    </row>
    <row r="1238" ht="18" customHeight="1">
      <c r="A1238" s="6" t="inlineStr">
        <is>
          <t>F006</t>
        </is>
      </c>
      <c r="B1238" s="5" t="inlineStr">
        <is>
          <t>財務組</t>
        </is>
      </c>
      <c r="C1238" s="6" t="n">
        <v>117</v>
      </c>
      <c r="D1238" s="10">
        <f>J1237</f>
        <v/>
      </c>
      <c r="E1238" s="4">
        <f>SUMIFS('01_異動主檔'!$F:$F,'01_異動主檔'!$B:$B,117,'01_異動主檔'!$D:$D,B1238,'01_異動主檔'!$E:$E,"移入")</f>
        <v/>
      </c>
      <c r="F1238" s="4">
        <f>-SUMIFS('01_異動主檔'!$F:$F,'01_異動主檔'!$B:$B,117,'01_異動主檔'!$D:$D,B1238,'01_異動主檔'!$E:$E,"移出")</f>
        <v/>
      </c>
      <c r="G1238" s="4">
        <f>SUMIFS('01_異動主檔'!$F:$F,'01_異動主檔'!$B:$B,117,'01_異動主檔'!$D:$D,B1238,'01_異動主檔'!$E:$E,"新增")</f>
        <v/>
      </c>
      <c r="H1238" s="4">
        <f>-SUMIFS('01_異動主檔'!$F:$F,'01_異動主檔'!$B:$B,117,'01_異動主檔'!$D:$D,B1238,'01_異動主檔'!$E:$E,"減列")</f>
        <v/>
      </c>
      <c r="I1238" s="4">
        <f>-SUMIFS('01_異動主檔'!$F:$F,'01_異動主檔'!$B:$B,117,'01_異動主檔'!$D:$D,B1238,'01_異動主檔'!$E:$E,"精簡")</f>
        <v/>
      </c>
      <c r="J1238" s="10">
        <f>D1238+E1238+F1238+G1238+H1238+I1238</f>
        <v/>
      </c>
    </row>
    <row r="1239" ht="18" customHeight="1">
      <c r="A1239" s="4" t="inlineStr">
        <is>
          <t>F006</t>
        </is>
      </c>
      <c r="B1239" s="3" t="inlineStr">
        <is>
          <t>財務組</t>
        </is>
      </c>
      <c r="C1239" s="4" t="n">
        <v>118</v>
      </c>
      <c r="D1239" s="10">
        <f>J1238</f>
        <v/>
      </c>
      <c r="E1239" s="4">
        <f>SUMIFS('01_異動主檔'!$F:$F,'01_異動主檔'!$B:$B,118,'01_異動主檔'!$D:$D,B1239,'01_異動主檔'!$E:$E,"移入")</f>
        <v/>
      </c>
      <c r="F1239" s="4">
        <f>-SUMIFS('01_異動主檔'!$F:$F,'01_異動主檔'!$B:$B,118,'01_異動主檔'!$D:$D,B1239,'01_異動主檔'!$E:$E,"移出")</f>
        <v/>
      </c>
      <c r="G1239" s="4">
        <f>SUMIFS('01_異動主檔'!$F:$F,'01_異動主檔'!$B:$B,118,'01_異動主檔'!$D:$D,B1239,'01_異動主檔'!$E:$E,"新增")</f>
        <v/>
      </c>
      <c r="H1239" s="4">
        <f>-SUMIFS('01_異動主檔'!$F:$F,'01_異動主檔'!$B:$B,118,'01_異動主檔'!$D:$D,B1239,'01_異動主檔'!$E:$E,"減列")</f>
        <v/>
      </c>
      <c r="I1239" s="4">
        <f>-SUMIFS('01_異動主檔'!$F:$F,'01_異動主檔'!$B:$B,118,'01_異動主檔'!$D:$D,B1239,'01_異動主檔'!$E:$E,"精簡")</f>
        <v/>
      </c>
      <c r="J1239" s="10">
        <f>D1239+E1239+F1239+G1239+H1239+I1239</f>
        <v/>
      </c>
    </row>
    <row r="1240" ht="18" customHeight="1">
      <c r="A1240" s="6" t="inlineStr">
        <is>
          <t>F006</t>
        </is>
      </c>
      <c r="B1240" s="5" t="inlineStr">
        <is>
          <t>財務組</t>
        </is>
      </c>
      <c r="C1240" s="6" t="n">
        <v>119</v>
      </c>
      <c r="D1240" s="10">
        <f>J1239</f>
        <v/>
      </c>
      <c r="E1240" s="4">
        <f>SUMIFS('01_異動主檔'!$F:$F,'01_異動主檔'!$B:$B,119,'01_異動主檔'!$D:$D,B1240,'01_異動主檔'!$E:$E,"移入")</f>
        <v/>
      </c>
      <c r="F1240" s="4">
        <f>-SUMIFS('01_異動主檔'!$F:$F,'01_異動主檔'!$B:$B,119,'01_異動主檔'!$D:$D,B1240,'01_異動主檔'!$E:$E,"移出")</f>
        <v/>
      </c>
      <c r="G1240" s="4">
        <f>SUMIFS('01_異動主檔'!$F:$F,'01_異動主檔'!$B:$B,119,'01_異動主檔'!$D:$D,B1240,'01_異動主檔'!$E:$E,"新增")</f>
        <v/>
      </c>
      <c r="H1240" s="4">
        <f>-SUMIFS('01_異動主檔'!$F:$F,'01_異動主檔'!$B:$B,119,'01_異動主檔'!$D:$D,B1240,'01_異動主檔'!$E:$E,"減列")</f>
        <v/>
      </c>
      <c r="I1240" s="4">
        <f>-SUMIFS('01_異動主檔'!$F:$F,'01_異動主檔'!$B:$B,119,'01_異動主檔'!$D:$D,B1240,'01_異動主檔'!$E:$E,"精簡")</f>
        <v/>
      </c>
      <c r="J1240" s="10">
        <f>D1240+E1240+F1240+G1240+H1240+I1240</f>
        <v/>
      </c>
    </row>
    <row r="1241" ht="18" customHeight="1">
      <c r="A1241" s="4" t="inlineStr">
        <is>
          <t>F006</t>
        </is>
      </c>
      <c r="B1241" s="3" t="inlineStr">
        <is>
          <t>財務組</t>
        </is>
      </c>
      <c r="C1241" s="4" t="n">
        <v>120</v>
      </c>
      <c r="D1241" s="10">
        <f>J1240</f>
        <v/>
      </c>
      <c r="E1241" s="4">
        <f>SUMIFS('01_異動主檔'!$F:$F,'01_異動主檔'!$B:$B,120,'01_異動主檔'!$D:$D,B1241,'01_異動主檔'!$E:$E,"移入")</f>
        <v/>
      </c>
      <c r="F1241" s="4">
        <f>-SUMIFS('01_異動主檔'!$F:$F,'01_異動主檔'!$B:$B,120,'01_異動主檔'!$D:$D,B1241,'01_異動主檔'!$E:$E,"移出")</f>
        <v/>
      </c>
      <c r="G1241" s="4">
        <f>SUMIFS('01_異動主檔'!$F:$F,'01_異動主檔'!$B:$B,120,'01_異動主檔'!$D:$D,B1241,'01_異動主檔'!$E:$E,"新增")</f>
        <v/>
      </c>
      <c r="H1241" s="4">
        <f>-SUMIFS('01_異動主檔'!$F:$F,'01_異動主檔'!$B:$B,120,'01_異動主檔'!$D:$D,B1241,'01_異動主檔'!$E:$E,"減列")</f>
        <v/>
      </c>
      <c r="I1241" s="4">
        <f>-SUMIFS('01_異動主檔'!$F:$F,'01_異動主檔'!$B:$B,120,'01_異動主檔'!$D:$D,B1241,'01_異動主檔'!$E:$E,"精簡")</f>
        <v/>
      </c>
      <c r="J1241" s="10">
        <f>D1241+E1241+F1241+G1241+H1241+I1241</f>
        <v/>
      </c>
    </row>
    <row r="1242" ht="18" customHeight="1">
      <c r="A1242" s="6" t="inlineStr">
        <is>
          <t>F006</t>
        </is>
      </c>
      <c r="B1242" s="5" t="inlineStr">
        <is>
          <t>財務組</t>
        </is>
      </c>
      <c r="C1242" s="6" t="n">
        <v>121</v>
      </c>
      <c r="D1242" s="10">
        <f>J1241</f>
        <v/>
      </c>
      <c r="E1242" s="4">
        <f>SUMIFS('01_異動主檔'!$F:$F,'01_異動主檔'!$B:$B,121,'01_異動主檔'!$D:$D,B1242,'01_異動主檔'!$E:$E,"移入")</f>
        <v/>
      </c>
      <c r="F1242" s="4">
        <f>-SUMIFS('01_異動主檔'!$F:$F,'01_異動主檔'!$B:$B,121,'01_異動主檔'!$D:$D,B1242,'01_異動主檔'!$E:$E,"移出")</f>
        <v/>
      </c>
      <c r="G1242" s="4">
        <f>SUMIFS('01_異動主檔'!$F:$F,'01_異動主檔'!$B:$B,121,'01_異動主檔'!$D:$D,B1242,'01_異動主檔'!$E:$E,"新增")</f>
        <v/>
      </c>
      <c r="H1242" s="4">
        <f>-SUMIFS('01_異動主檔'!$F:$F,'01_異動主檔'!$B:$B,121,'01_異動主檔'!$D:$D,B1242,'01_異動主檔'!$E:$E,"減列")</f>
        <v/>
      </c>
      <c r="I1242" s="4">
        <f>-SUMIFS('01_異動主檔'!$F:$F,'01_異動主檔'!$B:$B,121,'01_異動主檔'!$D:$D,B1242,'01_異動主檔'!$E:$E,"精簡")</f>
        <v/>
      </c>
      <c r="J1242" s="10">
        <f>D1242+E1242+F1242+G1242+H1242+I1242</f>
        <v/>
      </c>
    </row>
    <row r="1243" ht="18" customHeight="1">
      <c r="A1243" s="4" t="inlineStr">
        <is>
          <t>F006</t>
        </is>
      </c>
      <c r="B1243" s="3" t="inlineStr">
        <is>
          <t>財務組</t>
        </is>
      </c>
      <c r="C1243" s="4" t="n">
        <v>122</v>
      </c>
      <c r="D1243" s="10">
        <f>J1242</f>
        <v/>
      </c>
      <c r="E1243" s="4">
        <f>SUMIFS('01_異動主檔'!$F:$F,'01_異動主檔'!$B:$B,122,'01_異動主檔'!$D:$D,B1243,'01_異動主檔'!$E:$E,"移入")</f>
        <v/>
      </c>
      <c r="F1243" s="4">
        <f>-SUMIFS('01_異動主檔'!$F:$F,'01_異動主檔'!$B:$B,122,'01_異動主檔'!$D:$D,B1243,'01_異動主檔'!$E:$E,"移出")</f>
        <v/>
      </c>
      <c r="G1243" s="4">
        <f>SUMIFS('01_異動主檔'!$F:$F,'01_異動主檔'!$B:$B,122,'01_異動主檔'!$D:$D,B1243,'01_異動主檔'!$E:$E,"新增")</f>
        <v/>
      </c>
      <c r="H1243" s="4">
        <f>-SUMIFS('01_異動主檔'!$F:$F,'01_異動主檔'!$B:$B,122,'01_異動主檔'!$D:$D,B1243,'01_異動主檔'!$E:$E,"減列")</f>
        <v/>
      </c>
      <c r="I1243" s="4">
        <f>-SUMIFS('01_異動主檔'!$F:$F,'01_異動主檔'!$B:$B,122,'01_異動主檔'!$D:$D,B1243,'01_異動主檔'!$E:$E,"精簡")</f>
        <v/>
      </c>
      <c r="J1243" s="10">
        <f>D1243+E1243+F1243+G1243+H1243+I1243</f>
        <v/>
      </c>
    </row>
    <row r="1244" ht="18" customHeight="1">
      <c r="A1244" s="6" t="inlineStr">
        <is>
          <t>F006</t>
        </is>
      </c>
      <c r="B1244" s="5" t="inlineStr">
        <is>
          <t>財務組</t>
        </is>
      </c>
      <c r="C1244" s="6" t="n">
        <v>123</v>
      </c>
      <c r="D1244" s="10">
        <f>J1243</f>
        <v/>
      </c>
      <c r="E1244" s="4">
        <f>SUMIFS('01_異動主檔'!$F:$F,'01_異動主檔'!$B:$B,123,'01_異動主檔'!$D:$D,B1244,'01_異動主檔'!$E:$E,"移入")</f>
        <v/>
      </c>
      <c r="F1244" s="4">
        <f>-SUMIFS('01_異動主檔'!$F:$F,'01_異動主檔'!$B:$B,123,'01_異動主檔'!$D:$D,B1244,'01_異動主檔'!$E:$E,"移出")</f>
        <v/>
      </c>
      <c r="G1244" s="4">
        <f>SUMIFS('01_異動主檔'!$F:$F,'01_異動主檔'!$B:$B,123,'01_異動主檔'!$D:$D,B1244,'01_異動主檔'!$E:$E,"新增")</f>
        <v/>
      </c>
      <c r="H1244" s="4">
        <f>-SUMIFS('01_異動主檔'!$F:$F,'01_異動主檔'!$B:$B,123,'01_異動主檔'!$D:$D,B1244,'01_異動主檔'!$E:$E,"減列")</f>
        <v/>
      </c>
      <c r="I1244" s="4">
        <f>-SUMIFS('01_異動主檔'!$F:$F,'01_異動主檔'!$B:$B,123,'01_異動主檔'!$D:$D,B1244,'01_異動主檔'!$E:$E,"精簡")</f>
        <v/>
      </c>
      <c r="J1244" s="10">
        <f>D1244+E1244+F1244+G1244+H1244+I1244</f>
        <v/>
      </c>
    </row>
    <row r="1245" ht="18" customHeight="1">
      <c r="A1245" s="4" t="inlineStr">
        <is>
          <t>F006</t>
        </is>
      </c>
      <c r="B1245" s="3" t="inlineStr">
        <is>
          <t>財務組</t>
        </is>
      </c>
      <c r="C1245" s="4" t="n">
        <v>124</v>
      </c>
      <c r="D1245" s="10">
        <f>J1244</f>
        <v/>
      </c>
      <c r="E1245" s="4">
        <f>SUMIFS('01_異動主檔'!$F:$F,'01_異動主檔'!$B:$B,124,'01_異動主檔'!$D:$D,B1245,'01_異動主檔'!$E:$E,"移入")</f>
        <v/>
      </c>
      <c r="F1245" s="4">
        <f>-SUMIFS('01_異動主檔'!$F:$F,'01_異動主檔'!$B:$B,124,'01_異動主檔'!$D:$D,B1245,'01_異動主檔'!$E:$E,"移出")</f>
        <v/>
      </c>
      <c r="G1245" s="4">
        <f>SUMIFS('01_異動主檔'!$F:$F,'01_異動主檔'!$B:$B,124,'01_異動主檔'!$D:$D,B1245,'01_異動主檔'!$E:$E,"新增")</f>
        <v/>
      </c>
      <c r="H1245" s="4">
        <f>-SUMIFS('01_異動主檔'!$F:$F,'01_異動主檔'!$B:$B,124,'01_異動主檔'!$D:$D,B1245,'01_異動主檔'!$E:$E,"減列")</f>
        <v/>
      </c>
      <c r="I1245" s="4">
        <f>-SUMIFS('01_異動主檔'!$F:$F,'01_異動主檔'!$B:$B,124,'01_異動主檔'!$D:$D,B1245,'01_異動主檔'!$E:$E,"精簡")</f>
        <v/>
      </c>
      <c r="J1245" s="10">
        <f>D1245+E1245+F1245+G1245+H1245+I1245</f>
        <v/>
      </c>
    </row>
    <row r="1246" ht="18" customHeight="1">
      <c r="A1246" s="6" t="inlineStr">
        <is>
          <t>F006</t>
        </is>
      </c>
      <c r="B1246" s="5" t="inlineStr">
        <is>
          <t>財務組</t>
        </is>
      </c>
      <c r="C1246" s="6" t="n">
        <v>125</v>
      </c>
      <c r="D1246" s="10">
        <f>J1245</f>
        <v/>
      </c>
      <c r="E1246" s="4">
        <f>SUMIFS('01_異動主檔'!$F:$F,'01_異動主檔'!$B:$B,125,'01_異動主檔'!$D:$D,B1246,'01_異動主檔'!$E:$E,"移入")</f>
        <v/>
      </c>
      <c r="F1246" s="4">
        <f>-SUMIFS('01_異動主檔'!$F:$F,'01_異動主檔'!$B:$B,125,'01_異動主檔'!$D:$D,B1246,'01_異動主檔'!$E:$E,"移出")</f>
        <v/>
      </c>
      <c r="G1246" s="4">
        <f>SUMIFS('01_異動主檔'!$F:$F,'01_異動主檔'!$B:$B,125,'01_異動主檔'!$D:$D,B1246,'01_異動主檔'!$E:$E,"新增")</f>
        <v/>
      </c>
      <c r="H1246" s="4">
        <f>-SUMIFS('01_異動主檔'!$F:$F,'01_異動主檔'!$B:$B,125,'01_異動主檔'!$D:$D,B1246,'01_異動主檔'!$E:$E,"減列")</f>
        <v/>
      </c>
      <c r="I1246" s="4">
        <f>-SUMIFS('01_異動主檔'!$F:$F,'01_異動主檔'!$B:$B,125,'01_異動主檔'!$D:$D,B1246,'01_異動主檔'!$E:$E,"精簡")</f>
        <v/>
      </c>
      <c r="J1246" s="10">
        <f>D1246+E1246+F1246+G1246+H1246+I1246</f>
        <v/>
      </c>
    </row>
    <row r="1247" ht="18" customHeight="1">
      <c r="A1247" s="4" t="inlineStr">
        <is>
          <t>F007</t>
        </is>
      </c>
      <c r="B1247" s="3" t="inlineStr">
        <is>
          <t>法規組</t>
        </is>
      </c>
      <c r="C1247" s="4" t="n">
        <v>99</v>
      </c>
      <c r="D1247" s="10">
        <f>'02_年初員額設定'!C51</f>
        <v/>
      </c>
      <c r="E1247" s="4">
        <f>SUMIFS('01_異動主檔'!$F:$F,'01_異動主檔'!$B:$B,99,'01_異動主檔'!$D:$D,B1247,'01_異動主檔'!$E:$E,"移入")</f>
        <v/>
      </c>
      <c r="F1247" s="4">
        <f>-SUMIFS('01_異動主檔'!$F:$F,'01_異動主檔'!$B:$B,99,'01_異動主檔'!$D:$D,B1247,'01_異動主檔'!$E:$E,"移出")</f>
        <v/>
      </c>
      <c r="G1247" s="4">
        <f>SUMIFS('01_異動主檔'!$F:$F,'01_異動主檔'!$B:$B,99,'01_異動主檔'!$D:$D,B1247,'01_異動主檔'!$E:$E,"新增")</f>
        <v/>
      </c>
      <c r="H1247" s="4">
        <f>-SUMIFS('01_異動主檔'!$F:$F,'01_異動主檔'!$B:$B,99,'01_異動主檔'!$D:$D,B1247,'01_異動主檔'!$E:$E,"減列")</f>
        <v/>
      </c>
      <c r="I1247" s="4">
        <f>-SUMIFS('01_異動主檔'!$F:$F,'01_異動主檔'!$B:$B,99,'01_異動主檔'!$D:$D,B1247,'01_異動主檔'!$E:$E,"精簡")</f>
        <v/>
      </c>
      <c r="J1247" s="10">
        <f>D1247+E1247+F1247+G1247+H1247+I1247</f>
        <v/>
      </c>
    </row>
    <row r="1248" ht="18" customHeight="1">
      <c r="A1248" s="6" t="inlineStr">
        <is>
          <t>F007</t>
        </is>
      </c>
      <c r="B1248" s="5" t="inlineStr">
        <is>
          <t>法規組</t>
        </is>
      </c>
      <c r="C1248" s="6" t="n">
        <v>100</v>
      </c>
      <c r="D1248" s="10">
        <f>J1247</f>
        <v/>
      </c>
      <c r="E1248" s="4">
        <f>SUMIFS('01_異動主檔'!$F:$F,'01_異動主檔'!$B:$B,100,'01_異動主檔'!$D:$D,B1248,'01_異動主檔'!$E:$E,"移入")</f>
        <v/>
      </c>
      <c r="F1248" s="4">
        <f>-SUMIFS('01_異動主檔'!$F:$F,'01_異動主檔'!$B:$B,100,'01_異動主檔'!$D:$D,B1248,'01_異動主檔'!$E:$E,"移出")</f>
        <v/>
      </c>
      <c r="G1248" s="4">
        <f>SUMIFS('01_異動主檔'!$F:$F,'01_異動主檔'!$B:$B,100,'01_異動主檔'!$D:$D,B1248,'01_異動主檔'!$E:$E,"新增")</f>
        <v/>
      </c>
      <c r="H1248" s="4">
        <f>-SUMIFS('01_異動主檔'!$F:$F,'01_異動主檔'!$B:$B,100,'01_異動主檔'!$D:$D,B1248,'01_異動主檔'!$E:$E,"減列")</f>
        <v/>
      </c>
      <c r="I1248" s="4">
        <f>-SUMIFS('01_異動主檔'!$F:$F,'01_異動主檔'!$B:$B,100,'01_異動主檔'!$D:$D,B1248,'01_異動主檔'!$E:$E,"精簡")</f>
        <v/>
      </c>
      <c r="J1248" s="10">
        <f>D1248+E1248+F1248+G1248+H1248+I1248</f>
        <v/>
      </c>
    </row>
    <row r="1249" ht="18" customHeight="1">
      <c r="A1249" s="4" t="inlineStr">
        <is>
          <t>F007</t>
        </is>
      </c>
      <c r="B1249" s="3" t="inlineStr">
        <is>
          <t>法規組</t>
        </is>
      </c>
      <c r="C1249" s="4" t="n">
        <v>101</v>
      </c>
      <c r="D1249" s="10">
        <f>J1248</f>
        <v/>
      </c>
      <c r="E1249" s="4">
        <f>SUMIFS('01_異動主檔'!$F:$F,'01_異動主檔'!$B:$B,101,'01_異動主檔'!$D:$D,B1249,'01_異動主檔'!$E:$E,"移入")</f>
        <v/>
      </c>
      <c r="F1249" s="4">
        <f>-SUMIFS('01_異動主檔'!$F:$F,'01_異動主檔'!$B:$B,101,'01_異動主檔'!$D:$D,B1249,'01_異動主檔'!$E:$E,"移出")</f>
        <v/>
      </c>
      <c r="G1249" s="4">
        <f>SUMIFS('01_異動主檔'!$F:$F,'01_異動主檔'!$B:$B,101,'01_異動主檔'!$D:$D,B1249,'01_異動主檔'!$E:$E,"新增")</f>
        <v/>
      </c>
      <c r="H1249" s="4">
        <f>-SUMIFS('01_異動主檔'!$F:$F,'01_異動主檔'!$B:$B,101,'01_異動主檔'!$D:$D,B1249,'01_異動主檔'!$E:$E,"減列")</f>
        <v/>
      </c>
      <c r="I1249" s="4">
        <f>-SUMIFS('01_異動主檔'!$F:$F,'01_異動主檔'!$B:$B,101,'01_異動主檔'!$D:$D,B1249,'01_異動主檔'!$E:$E,"精簡")</f>
        <v/>
      </c>
      <c r="J1249" s="10">
        <f>D1249+E1249+F1249+G1249+H1249+I1249</f>
        <v/>
      </c>
    </row>
    <row r="1250" ht="18" customHeight="1">
      <c r="A1250" s="6" t="inlineStr">
        <is>
          <t>F007</t>
        </is>
      </c>
      <c r="B1250" s="5" t="inlineStr">
        <is>
          <t>法規組</t>
        </is>
      </c>
      <c r="C1250" s="6" t="n">
        <v>102</v>
      </c>
      <c r="D1250" s="10">
        <f>J1249</f>
        <v/>
      </c>
      <c r="E1250" s="4">
        <f>SUMIFS('01_異動主檔'!$F:$F,'01_異動主檔'!$B:$B,102,'01_異動主檔'!$D:$D,B1250,'01_異動主檔'!$E:$E,"移入")</f>
        <v/>
      </c>
      <c r="F1250" s="4">
        <f>-SUMIFS('01_異動主檔'!$F:$F,'01_異動主檔'!$B:$B,102,'01_異動主檔'!$D:$D,B1250,'01_異動主檔'!$E:$E,"移出")</f>
        <v/>
      </c>
      <c r="G1250" s="4">
        <f>SUMIFS('01_異動主檔'!$F:$F,'01_異動主檔'!$B:$B,102,'01_異動主檔'!$D:$D,B1250,'01_異動主檔'!$E:$E,"新增")</f>
        <v/>
      </c>
      <c r="H1250" s="4">
        <f>-SUMIFS('01_異動主檔'!$F:$F,'01_異動主檔'!$B:$B,102,'01_異動主檔'!$D:$D,B1250,'01_異動主檔'!$E:$E,"減列")</f>
        <v/>
      </c>
      <c r="I1250" s="4">
        <f>-SUMIFS('01_異動主檔'!$F:$F,'01_異動主檔'!$B:$B,102,'01_異動主檔'!$D:$D,B1250,'01_異動主檔'!$E:$E,"精簡")</f>
        <v/>
      </c>
      <c r="J1250" s="10">
        <f>D1250+E1250+F1250+G1250+H1250+I1250</f>
        <v/>
      </c>
    </row>
    <row r="1251" ht="18" customHeight="1">
      <c r="A1251" s="4" t="inlineStr">
        <is>
          <t>F007</t>
        </is>
      </c>
      <c r="B1251" s="3" t="inlineStr">
        <is>
          <t>法規組</t>
        </is>
      </c>
      <c r="C1251" s="4" t="n">
        <v>103</v>
      </c>
      <c r="D1251" s="10">
        <f>J1250</f>
        <v/>
      </c>
      <c r="E1251" s="4">
        <f>SUMIFS('01_異動主檔'!$F:$F,'01_異動主檔'!$B:$B,103,'01_異動主檔'!$D:$D,B1251,'01_異動主檔'!$E:$E,"移入")</f>
        <v/>
      </c>
      <c r="F1251" s="4">
        <f>-SUMIFS('01_異動主檔'!$F:$F,'01_異動主檔'!$B:$B,103,'01_異動主檔'!$D:$D,B1251,'01_異動主檔'!$E:$E,"移出")</f>
        <v/>
      </c>
      <c r="G1251" s="4">
        <f>SUMIFS('01_異動主檔'!$F:$F,'01_異動主檔'!$B:$B,103,'01_異動主檔'!$D:$D,B1251,'01_異動主檔'!$E:$E,"新增")</f>
        <v/>
      </c>
      <c r="H1251" s="4">
        <f>-SUMIFS('01_異動主檔'!$F:$F,'01_異動主檔'!$B:$B,103,'01_異動主檔'!$D:$D,B1251,'01_異動主檔'!$E:$E,"減列")</f>
        <v/>
      </c>
      <c r="I1251" s="4">
        <f>-SUMIFS('01_異動主檔'!$F:$F,'01_異動主檔'!$B:$B,103,'01_異動主檔'!$D:$D,B1251,'01_異動主檔'!$E:$E,"精簡")</f>
        <v/>
      </c>
      <c r="J1251" s="10">
        <f>D1251+E1251+F1251+G1251+H1251+I1251</f>
        <v/>
      </c>
    </row>
    <row r="1252" ht="18" customHeight="1">
      <c r="A1252" s="6" t="inlineStr">
        <is>
          <t>F007</t>
        </is>
      </c>
      <c r="B1252" s="5" t="inlineStr">
        <is>
          <t>法規組</t>
        </is>
      </c>
      <c r="C1252" s="6" t="n">
        <v>104</v>
      </c>
      <c r="D1252" s="10">
        <f>J1251</f>
        <v/>
      </c>
      <c r="E1252" s="4">
        <f>SUMIFS('01_異動主檔'!$F:$F,'01_異動主檔'!$B:$B,104,'01_異動主檔'!$D:$D,B1252,'01_異動主檔'!$E:$E,"移入")</f>
        <v/>
      </c>
      <c r="F1252" s="4">
        <f>-SUMIFS('01_異動主檔'!$F:$F,'01_異動主檔'!$B:$B,104,'01_異動主檔'!$D:$D,B1252,'01_異動主檔'!$E:$E,"移出")</f>
        <v/>
      </c>
      <c r="G1252" s="4">
        <f>SUMIFS('01_異動主檔'!$F:$F,'01_異動主檔'!$B:$B,104,'01_異動主檔'!$D:$D,B1252,'01_異動主檔'!$E:$E,"新增")</f>
        <v/>
      </c>
      <c r="H1252" s="4">
        <f>-SUMIFS('01_異動主檔'!$F:$F,'01_異動主檔'!$B:$B,104,'01_異動主檔'!$D:$D,B1252,'01_異動主檔'!$E:$E,"減列")</f>
        <v/>
      </c>
      <c r="I1252" s="4">
        <f>-SUMIFS('01_異動主檔'!$F:$F,'01_異動主檔'!$B:$B,104,'01_異動主檔'!$D:$D,B1252,'01_異動主檔'!$E:$E,"精簡")</f>
        <v/>
      </c>
      <c r="J1252" s="10">
        <f>D1252+E1252+F1252+G1252+H1252+I1252</f>
        <v/>
      </c>
    </row>
    <row r="1253" ht="18" customHeight="1">
      <c r="A1253" s="4" t="inlineStr">
        <is>
          <t>F007</t>
        </is>
      </c>
      <c r="B1253" s="3" t="inlineStr">
        <is>
          <t>法規組</t>
        </is>
      </c>
      <c r="C1253" s="4" t="n">
        <v>105</v>
      </c>
      <c r="D1253" s="10">
        <f>J1252</f>
        <v/>
      </c>
      <c r="E1253" s="4">
        <f>SUMIFS('01_異動主檔'!$F:$F,'01_異動主檔'!$B:$B,105,'01_異動主檔'!$D:$D,B1253,'01_異動主檔'!$E:$E,"移入")</f>
        <v/>
      </c>
      <c r="F1253" s="4">
        <f>-SUMIFS('01_異動主檔'!$F:$F,'01_異動主檔'!$B:$B,105,'01_異動主檔'!$D:$D,B1253,'01_異動主檔'!$E:$E,"移出")</f>
        <v/>
      </c>
      <c r="G1253" s="4">
        <f>SUMIFS('01_異動主檔'!$F:$F,'01_異動主檔'!$B:$B,105,'01_異動主檔'!$D:$D,B1253,'01_異動主檔'!$E:$E,"新增")</f>
        <v/>
      </c>
      <c r="H1253" s="4">
        <f>-SUMIFS('01_異動主檔'!$F:$F,'01_異動主檔'!$B:$B,105,'01_異動主檔'!$D:$D,B1253,'01_異動主檔'!$E:$E,"減列")</f>
        <v/>
      </c>
      <c r="I1253" s="4">
        <f>-SUMIFS('01_異動主檔'!$F:$F,'01_異動主檔'!$B:$B,105,'01_異動主檔'!$D:$D,B1253,'01_異動主檔'!$E:$E,"精簡")</f>
        <v/>
      </c>
      <c r="J1253" s="10">
        <f>D1253+E1253+F1253+G1253+H1253+I1253</f>
        <v/>
      </c>
    </row>
    <row r="1254" ht="18" customHeight="1">
      <c r="A1254" s="6" t="inlineStr">
        <is>
          <t>F007</t>
        </is>
      </c>
      <c r="B1254" s="5" t="inlineStr">
        <is>
          <t>法規組</t>
        </is>
      </c>
      <c r="C1254" s="6" t="n">
        <v>106</v>
      </c>
      <c r="D1254" s="10">
        <f>J1253</f>
        <v/>
      </c>
      <c r="E1254" s="4">
        <f>SUMIFS('01_異動主檔'!$F:$F,'01_異動主檔'!$B:$B,106,'01_異動主檔'!$D:$D,B1254,'01_異動主檔'!$E:$E,"移入")</f>
        <v/>
      </c>
      <c r="F1254" s="4">
        <f>-SUMIFS('01_異動主檔'!$F:$F,'01_異動主檔'!$B:$B,106,'01_異動主檔'!$D:$D,B1254,'01_異動主檔'!$E:$E,"移出")</f>
        <v/>
      </c>
      <c r="G1254" s="4">
        <f>SUMIFS('01_異動主檔'!$F:$F,'01_異動主檔'!$B:$B,106,'01_異動主檔'!$D:$D,B1254,'01_異動主檔'!$E:$E,"新增")</f>
        <v/>
      </c>
      <c r="H1254" s="4">
        <f>-SUMIFS('01_異動主檔'!$F:$F,'01_異動主檔'!$B:$B,106,'01_異動主檔'!$D:$D,B1254,'01_異動主檔'!$E:$E,"減列")</f>
        <v/>
      </c>
      <c r="I1254" s="4">
        <f>-SUMIFS('01_異動主檔'!$F:$F,'01_異動主檔'!$B:$B,106,'01_異動主檔'!$D:$D,B1254,'01_異動主檔'!$E:$E,"精簡")</f>
        <v/>
      </c>
      <c r="J1254" s="10">
        <f>D1254+E1254+F1254+G1254+H1254+I1254</f>
        <v/>
      </c>
    </row>
    <row r="1255" ht="18" customHeight="1">
      <c r="A1255" s="4" t="inlineStr">
        <is>
          <t>F007</t>
        </is>
      </c>
      <c r="B1255" s="3" t="inlineStr">
        <is>
          <t>法規組</t>
        </is>
      </c>
      <c r="C1255" s="4" t="n">
        <v>107</v>
      </c>
      <c r="D1255" s="10">
        <f>J1254</f>
        <v/>
      </c>
      <c r="E1255" s="4">
        <f>SUMIFS('01_異動主檔'!$F:$F,'01_異動主檔'!$B:$B,107,'01_異動主檔'!$D:$D,B1255,'01_異動主檔'!$E:$E,"移入")</f>
        <v/>
      </c>
      <c r="F1255" s="4">
        <f>-SUMIFS('01_異動主檔'!$F:$F,'01_異動主檔'!$B:$B,107,'01_異動主檔'!$D:$D,B1255,'01_異動主檔'!$E:$E,"移出")</f>
        <v/>
      </c>
      <c r="G1255" s="4">
        <f>SUMIFS('01_異動主檔'!$F:$F,'01_異動主檔'!$B:$B,107,'01_異動主檔'!$D:$D,B1255,'01_異動主檔'!$E:$E,"新增")</f>
        <v/>
      </c>
      <c r="H1255" s="4">
        <f>-SUMIFS('01_異動主檔'!$F:$F,'01_異動主檔'!$B:$B,107,'01_異動主檔'!$D:$D,B1255,'01_異動主檔'!$E:$E,"減列")</f>
        <v/>
      </c>
      <c r="I1255" s="4">
        <f>-SUMIFS('01_異動主檔'!$F:$F,'01_異動主檔'!$B:$B,107,'01_異動主檔'!$D:$D,B1255,'01_異動主檔'!$E:$E,"精簡")</f>
        <v/>
      </c>
      <c r="J1255" s="10">
        <f>D1255+E1255+F1255+G1255+H1255+I1255</f>
        <v/>
      </c>
    </row>
    <row r="1256" ht="18" customHeight="1">
      <c r="A1256" s="6" t="inlineStr">
        <is>
          <t>F007</t>
        </is>
      </c>
      <c r="B1256" s="5" t="inlineStr">
        <is>
          <t>法規組</t>
        </is>
      </c>
      <c r="C1256" s="6" t="n">
        <v>108</v>
      </c>
      <c r="D1256" s="10">
        <f>J1255</f>
        <v/>
      </c>
      <c r="E1256" s="4">
        <f>SUMIFS('01_異動主檔'!$F:$F,'01_異動主檔'!$B:$B,108,'01_異動主檔'!$D:$D,B1256,'01_異動主檔'!$E:$E,"移入")</f>
        <v/>
      </c>
      <c r="F1256" s="4">
        <f>-SUMIFS('01_異動主檔'!$F:$F,'01_異動主檔'!$B:$B,108,'01_異動主檔'!$D:$D,B1256,'01_異動主檔'!$E:$E,"移出")</f>
        <v/>
      </c>
      <c r="G1256" s="4">
        <f>SUMIFS('01_異動主檔'!$F:$F,'01_異動主檔'!$B:$B,108,'01_異動主檔'!$D:$D,B1256,'01_異動主檔'!$E:$E,"新增")</f>
        <v/>
      </c>
      <c r="H1256" s="4">
        <f>-SUMIFS('01_異動主檔'!$F:$F,'01_異動主檔'!$B:$B,108,'01_異動主檔'!$D:$D,B1256,'01_異動主檔'!$E:$E,"減列")</f>
        <v/>
      </c>
      <c r="I1256" s="4">
        <f>-SUMIFS('01_異動主檔'!$F:$F,'01_異動主檔'!$B:$B,108,'01_異動主檔'!$D:$D,B1256,'01_異動主檔'!$E:$E,"精簡")</f>
        <v/>
      </c>
      <c r="J1256" s="10">
        <f>D1256+E1256+F1256+G1256+H1256+I1256</f>
        <v/>
      </c>
    </row>
    <row r="1257" ht="18" customHeight="1">
      <c r="A1257" s="4" t="inlineStr">
        <is>
          <t>F007</t>
        </is>
      </c>
      <c r="B1257" s="3" t="inlineStr">
        <is>
          <t>法規組</t>
        </is>
      </c>
      <c r="C1257" s="4" t="n">
        <v>109</v>
      </c>
      <c r="D1257" s="10">
        <f>J1256</f>
        <v/>
      </c>
      <c r="E1257" s="4">
        <f>SUMIFS('01_異動主檔'!$F:$F,'01_異動主檔'!$B:$B,109,'01_異動主檔'!$D:$D,B1257,'01_異動主檔'!$E:$E,"移入")</f>
        <v/>
      </c>
      <c r="F1257" s="4">
        <f>-SUMIFS('01_異動主檔'!$F:$F,'01_異動主檔'!$B:$B,109,'01_異動主檔'!$D:$D,B1257,'01_異動主檔'!$E:$E,"移出")</f>
        <v/>
      </c>
      <c r="G1257" s="4">
        <f>SUMIFS('01_異動主檔'!$F:$F,'01_異動主檔'!$B:$B,109,'01_異動主檔'!$D:$D,B1257,'01_異動主檔'!$E:$E,"新增")</f>
        <v/>
      </c>
      <c r="H1257" s="4">
        <f>-SUMIFS('01_異動主檔'!$F:$F,'01_異動主檔'!$B:$B,109,'01_異動主檔'!$D:$D,B1257,'01_異動主檔'!$E:$E,"減列")</f>
        <v/>
      </c>
      <c r="I1257" s="4">
        <f>-SUMIFS('01_異動主檔'!$F:$F,'01_異動主檔'!$B:$B,109,'01_異動主檔'!$D:$D,B1257,'01_異動主檔'!$E:$E,"精簡")</f>
        <v/>
      </c>
      <c r="J1257" s="10">
        <f>D1257+E1257+F1257+G1257+H1257+I1257</f>
        <v/>
      </c>
    </row>
    <row r="1258" ht="18" customHeight="1">
      <c r="A1258" s="6" t="inlineStr">
        <is>
          <t>F007</t>
        </is>
      </c>
      <c r="B1258" s="5" t="inlineStr">
        <is>
          <t>法規組</t>
        </is>
      </c>
      <c r="C1258" s="6" t="n">
        <v>110</v>
      </c>
      <c r="D1258" s="10">
        <f>J1257</f>
        <v/>
      </c>
      <c r="E1258" s="4">
        <f>SUMIFS('01_異動主檔'!$F:$F,'01_異動主檔'!$B:$B,110,'01_異動主檔'!$D:$D,B1258,'01_異動主檔'!$E:$E,"移入")</f>
        <v/>
      </c>
      <c r="F1258" s="4">
        <f>-SUMIFS('01_異動主檔'!$F:$F,'01_異動主檔'!$B:$B,110,'01_異動主檔'!$D:$D,B1258,'01_異動主檔'!$E:$E,"移出")</f>
        <v/>
      </c>
      <c r="G1258" s="4">
        <f>SUMIFS('01_異動主檔'!$F:$F,'01_異動主檔'!$B:$B,110,'01_異動主檔'!$D:$D,B1258,'01_異動主檔'!$E:$E,"新增")</f>
        <v/>
      </c>
      <c r="H1258" s="4">
        <f>-SUMIFS('01_異動主檔'!$F:$F,'01_異動主檔'!$B:$B,110,'01_異動主檔'!$D:$D,B1258,'01_異動主檔'!$E:$E,"減列")</f>
        <v/>
      </c>
      <c r="I1258" s="4">
        <f>-SUMIFS('01_異動主檔'!$F:$F,'01_異動主檔'!$B:$B,110,'01_異動主檔'!$D:$D,B1258,'01_異動主檔'!$E:$E,"精簡")</f>
        <v/>
      </c>
      <c r="J1258" s="10">
        <f>D1258+E1258+F1258+G1258+H1258+I1258</f>
        <v/>
      </c>
    </row>
    <row r="1259" ht="18" customHeight="1">
      <c r="A1259" s="4" t="inlineStr">
        <is>
          <t>F007</t>
        </is>
      </c>
      <c r="B1259" s="3" t="inlineStr">
        <is>
          <t>法規組</t>
        </is>
      </c>
      <c r="C1259" s="4" t="n">
        <v>111</v>
      </c>
      <c r="D1259" s="10">
        <f>J1258</f>
        <v/>
      </c>
      <c r="E1259" s="4">
        <f>SUMIFS('01_異動主檔'!$F:$F,'01_異動主檔'!$B:$B,111,'01_異動主檔'!$D:$D,B1259,'01_異動主檔'!$E:$E,"移入")</f>
        <v/>
      </c>
      <c r="F1259" s="4">
        <f>-SUMIFS('01_異動主檔'!$F:$F,'01_異動主檔'!$B:$B,111,'01_異動主檔'!$D:$D,B1259,'01_異動主檔'!$E:$E,"移出")</f>
        <v/>
      </c>
      <c r="G1259" s="4">
        <f>SUMIFS('01_異動主檔'!$F:$F,'01_異動主檔'!$B:$B,111,'01_異動主檔'!$D:$D,B1259,'01_異動主檔'!$E:$E,"新增")</f>
        <v/>
      </c>
      <c r="H1259" s="4">
        <f>-SUMIFS('01_異動主檔'!$F:$F,'01_異動主檔'!$B:$B,111,'01_異動主檔'!$D:$D,B1259,'01_異動主檔'!$E:$E,"減列")</f>
        <v/>
      </c>
      <c r="I1259" s="4">
        <f>-SUMIFS('01_異動主檔'!$F:$F,'01_異動主檔'!$B:$B,111,'01_異動主檔'!$D:$D,B1259,'01_異動主檔'!$E:$E,"精簡")</f>
        <v/>
      </c>
      <c r="J1259" s="10">
        <f>D1259+E1259+F1259+G1259+H1259+I1259</f>
        <v/>
      </c>
    </row>
    <row r="1260" ht="18" customHeight="1">
      <c r="A1260" s="6" t="inlineStr">
        <is>
          <t>F007</t>
        </is>
      </c>
      <c r="B1260" s="5" t="inlineStr">
        <is>
          <t>法規組</t>
        </is>
      </c>
      <c r="C1260" s="6" t="n">
        <v>112</v>
      </c>
      <c r="D1260" s="10">
        <f>J1259</f>
        <v/>
      </c>
      <c r="E1260" s="4">
        <f>SUMIFS('01_異動主檔'!$F:$F,'01_異動主檔'!$B:$B,112,'01_異動主檔'!$D:$D,B1260,'01_異動主檔'!$E:$E,"移入")</f>
        <v/>
      </c>
      <c r="F1260" s="4">
        <f>-SUMIFS('01_異動主檔'!$F:$F,'01_異動主檔'!$B:$B,112,'01_異動主檔'!$D:$D,B1260,'01_異動主檔'!$E:$E,"移出")</f>
        <v/>
      </c>
      <c r="G1260" s="4">
        <f>SUMIFS('01_異動主檔'!$F:$F,'01_異動主檔'!$B:$B,112,'01_異動主檔'!$D:$D,B1260,'01_異動主檔'!$E:$E,"新增")</f>
        <v/>
      </c>
      <c r="H1260" s="4">
        <f>-SUMIFS('01_異動主檔'!$F:$F,'01_異動主檔'!$B:$B,112,'01_異動主檔'!$D:$D,B1260,'01_異動主檔'!$E:$E,"減列")</f>
        <v/>
      </c>
      <c r="I1260" s="4">
        <f>-SUMIFS('01_異動主檔'!$F:$F,'01_異動主檔'!$B:$B,112,'01_異動主檔'!$D:$D,B1260,'01_異動主檔'!$E:$E,"精簡")</f>
        <v/>
      </c>
      <c r="J1260" s="10">
        <f>D1260+E1260+F1260+G1260+H1260+I1260</f>
        <v/>
      </c>
    </row>
    <row r="1261" ht="18" customHeight="1">
      <c r="A1261" s="4" t="inlineStr">
        <is>
          <t>F007</t>
        </is>
      </c>
      <c r="B1261" s="3" t="inlineStr">
        <is>
          <t>法規組</t>
        </is>
      </c>
      <c r="C1261" s="4" t="n">
        <v>113</v>
      </c>
      <c r="D1261" s="10">
        <f>J1260</f>
        <v/>
      </c>
      <c r="E1261" s="4">
        <f>SUMIFS('01_異動主檔'!$F:$F,'01_異動主檔'!$B:$B,113,'01_異動主檔'!$D:$D,B1261,'01_異動主檔'!$E:$E,"移入")</f>
        <v/>
      </c>
      <c r="F1261" s="4">
        <f>-SUMIFS('01_異動主檔'!$F:$F,'01_異動主檔'!$B:$B,113,'01_異動主檔'!$D:$D,B1261,'01_異動主檔'!$E:$E,"移出")</f>
        <v/>
      </c>
      <c r="G1261" s="4">
        <f>SUMIFS('01_異動主檔'!$F:$F,'01_異動主檔'!$B:$B,113,'01_異動主檔'!$D:$D,B1261,'01_異動主檔'!$E:$E,"新增")</f>
        <v/>
      </c>
      <c r="H1261" s="4">
        <f>-SUMIFS('01_異動主檔'!$F:$F,'01_異動主檔'!$B:$B,113,'01_異動主檔'!$D:$D,B1261,'01_異動主檔'!$E:$E,"減列")</f>
        <v/>
      </c>
      <c r="I1261" s="4">
        <f>-SUMIFS('01_異動主檔'!$F:$F,'01_異動主檔'!$B:$B,113,'01_異動主檔'!$D:$D,B1261,'01_異動主檔'!$E:$E,"精簡")</f>
        <v/>
      </c>
      <c r="J1261" s="10">
        <f>D1261+E1261+F1261+G1261+H1261+I1261</f>
        <v/>
      </c>
    </row>
    <row r="1262" ht="18" customHeight="1">
      <c r="A1262" s="6" t="inlineStr">
        <is>
          <t>F007</t>
        </is>
      </c>
      <c r="B1262" s="5" t="inlineStr">
        <is>
          <t>法規組</t>
        </is>
      </c>
      <c r="C1262" s="6" t="n">
        <v>114</v>
      </c>
      <c r="D1262" s="10">
        <f>J1261</f>
        <v/>
      </c>
      <c r="E1262" s="4">
        <f>SUMIFS('01_異動主檔'!$F:$F,'01_異動主檔'!$B:$B,114,'01_異動主檔'!$D:$D,B1262,'01_異動主檔'!$E:$E,"移入")</f>
        <v/>
      </c>
      <c r="F1262" s="4">
        <f>-SUMIFS('01_異動主檔'!$F:$F,'01_異動主檔'!$B:$B,114,'01_異動主檔'!$D:$D,B1262,'01_異動主檔'!$E:$E,"移出")</f>
        <v/>
      </c>
      <c r="G1262" s="4">
        <f>SUMIFS('01_異動主檔'!$F:$F,'01_異動主檔'!$B:$B,114,'01_異動主檔'!$D:$D,B1262,'01_異動主檔'!$E:$E,"新增")</f>
        <v/>
      </c>
      <c r="H1262" s="4">
        <f>-SUMIFS('01_異動主檔'!$F:$F,'01_異動主檔'!$B:$B,114,'01_異動主檔'!$D:$D,B1262,'01_異動主檔'!$E:$E,"減列")</f>
        <v/>
      </c>
      <c r="I1262" s="4">
        <f>-SUMIFS('01_異動主檔'!$F:$F,'01_異動主檔'!$B:$B,114,'01_異動主檔'!$D:$D,B1262,'01_異動主檔'!$E:$E,"精簡")</f>
        <v/>
      </c>
      <c r="J1262" s="10">
        <f>D1262+E1262+F1262+G1262+H1262+I1262</f>
        <v/>
      </c>
    </row>
    <row r="1263" ht="18" customHeight="1">
      <c r="A1263" s="4" t="inlineStr">
        <is>
          <t>F007</t>
        </is>
      </c>
      <c r="B1263" s="3" t="inlineStr">
        <is>
          <t>法規組</t>
        </is>
      </c>
      <c r="C1263" s="4" t="n">
        <v>115</v>
      </c>
      <c r="D1263" s="10">
        <f>J1262</f>
        <v/>
      </c>
      <c r="E1263" s="4">
        <f>SUMIFS('01_異動主檔'!$F:$F,'01_異動主檔'!$B:$B,115,'01_異動主檔'!$D:$D,B1263,'01_異動主檔'!$E:$E,"移入")</f>
        <v/>
      </c>
      <c r="F1263" s="4">
        <f>-SUMIFS('01_異動主檔'!$F:$F,'01_異動主檔'!$B:$B,115,'01_異動主檔'!$D:$D,B1263,'01_異動主檔'!$E:$E,"移出")</f>
        <v/>
      </c>
      <c r="G1263" s="4">
        <f>SUMIFS('01_異動主檔'!$F:$F,'01_異動主檔'!$B:$B,115,'01_異動主檔'!$D:$D,B1263,'01_異動主檔'!$E:$E,"新增")</f>
        <v/>
      </c>
      <c r="H1263" s="4">
        <f>-SUMIFS('01_異動主檔'!$F:$F,'01_異動主檔'!$B:$B,115,'01_異動主檔'!$D:$D,B1263,'01_異動主檔'!$E:$E,"減列")</f>
        <v/>
      </c>
      <c r="I1263" s="4">
        <f>-SUMIFS('01_異動主檔'!$F:$F,'01_異動主檔'!$B:$B,115,'01_異動主檔'!$D:$D,B1263,'01_異動主檔'!$E:$E,"精簡")</f>
        <v/>
      </c>
      <c r="J1263" s="10">
        <f>D1263+E1263+F1263+G1263+H1263+I1263</f>
        <v/>
      </c>
    </row>
    <row r="1264" ht="18" customHeight="1">
      <c r="A1264" s="6" t="inlineStr">
        <is>
          <t>F007</t>
        </is>
      </c>
      <c r="B1264" s="5" t="inlineStr">
        <is>
          <t>法規組</t>
        </is>
      </c>
      <c r="C1264" s="6" t="n">
        <v>116</v>
      </c>
      <c r="D1264" s="10">
        <f>J1263</f>
        <v/>
      </c>
      <c r="E1264" s="4">
        <f>SUMIFS('01_異動主檔'!$F:$F,'01_異動主檔'!$B:$B,116,'01_異動主檔'!$D:$D,B1264,'01_異動主檔'!$E:$E,"移入")</f>
        <v/>
      </c>
      <c r="F1264" s="4">
        <f>-SUMIFS('01_異動主檔'!$F:$F,'01_異動主檔'!$B:$B,116,'01_異動主檔'!$D:$D,B1264,'01_異動主檔'!$E:$E,"移出")</f>
        <v/>
      </c>
      <c r="G1264" s="4">
        <f>SUMIFS('01_異動主檔'!$F:$F,'01_異動主檔'!$B:$B,116,'01_異動主檔'!$D:$D,B1264,'01_異動主檔'!$E:$E,"新增")</f>
        <v/>
      </c>
      <c r="H1264" s="4">
        <f>-SUMIFS('01_異動主檔'!$F:$F,'01_異動主檔'!$B:$B,116,'01_異動主檔'!$D:$D,B1264,'01_異動主檔'!$E:$E,"減列")</f>
        <v/>
      </c>
      <c r="I1264" s="4">
        <f>-SUMIFS('01_異動主檔'!$F:$F,'01_異動主檔'!$B:$B,116,'01_異動主檔'!$D:$D,B1264,'01_異動主檔'!$E:$E,"精簡")</f>
        <v/>
      </c>
      <c r="J1264" s="10">
        <f>D1264+E1264+F1264+G1264+H1264+I1264</f>
        <v/>
      </c>
    </row>
    <row r="1265" ht="18" customHeight="1">
      <c r="A1265" s="4" t="inlineStr">
        <is>
          <t>F007</t>
        </is>
      </c>
      <c r="B1265" s="3" t="inlineStr">
        <is>
          <t>法規組</t>
        </is>
      </c>
      <c r="C1265" s="4" t="n">
        <v>117</v>
      </c>
      <c r="D1265" s="10">
        <f>J1264</f>
        <v/>
      </c>
      <c r="E1265" s="4">
        <f>SUMIFS('01_異動主檔'!$F:$F,'01_異動主檔'!$B:$B,117,'01_異動主檔'!$D:$D,B1265,'01_異動主檔'!$E:$E,"移入")</f>
        <v/>
      </c>
      <c r="F1265" s="4">
        <f>-SUMIFS('01_異動主檔'!$F:$F,'01_異動主檔'!$B:$B,117,'01_異動主檔'!$D:$D,B1265,'01_異動主檔'!$E:$E,"移出")</f>
        <v/>
      </c>
      <c r="G1265" s="4">
        <f>SUMIFS('01_異動主檔'!$F:$F,'01_異動主檔'!$B:$B,117,'01_異動主檔'!$D:$D,B1265,'01_異動主檔'!$E:$E,"新增")</f>
        <v/>
      </c>
      <c r="H1265" s="4">
        <f>-SUMIFS('01_異動主檔'!$F:$F,'01_異動主檔'!$B:$B,117,'01_異動主檔'!$D:$D,B1265,'01_異動主檔'!$E:$E,"減列")</f>
        <v/>
      </c>
      <c r="I1265" s="4">
        <f>-SUMIFS('01_異動主檔'!$F:$F,'01_異動主檔'!$B:$B,117,'01_異動主檔'!$D:$D,B1265,'01_異動主檔'!$E:$E,"精簡")</f>
        <v/>
      </c>
      <c r="J1265" s="10">
        <f>D1265+E1265+F1265+G1265+H1265+I1265</f>
        <v/>
      </c>
    </row>
    <row r="1266" ht="18" customHeight="1">
      <c r="A1266" s="6" t="inlineStr">
        <is>
          <t>F007</t>
        </is>
      </c>
      <c r="B1266" s="5" t="inlineStr">
        <is>
          <t>法規組</t>
        </is>
      </c>
      <c r="C1266" s="6" t="n">
        <v>118</v>
      </c>
      <c r="D1266" s="10">
        <f>J1265</f>
        <v/>
      </c>
      <c r="E1266" s="4">
        <f>SUMIFS('01_異動主檔'!$F:$F,'01_異動主檔'!$B:$B,118,'01_異動主檔'!$D:$D,B1266,'01_異動主檔'!$E:$E,"移入")</f>
        <v/>
      </c>
      <c r="F1266" s="4">
        <f>-SUMIFS('01_異動主檔'!$F:$F,'01_異動主檔'!$B:$B,118,'01_異動主檔'!$D:$D,B1266,'01_異動主檔'!$E:$E,"移出")</f>
        <v/>
      </c>
      <c r="G1266" s="4">
        <f>SUMIFS('01_異動主檔'!$F:$F,'01_異動主檔'!$B:$B,118,'01_異動主檔'!$D:$D,B1266,'01_異動主檔'!$E:$E,"新增")</f>
        <v/>
      </c>
      <c r="H1266" s="4">
        <f>-SUMIFS('01_異動主檔'!$F:$F,'01_異動主檔'!$B:$B,118,'01_異動主檔'!$D:$D,B1266,'01_異動主檔'!$E:$E,"減列")</f>
        <v/>
      </c>
      <c r="I1266" s="4">
        <f>-SUMIFS('01_異動主檔'!$F:$F,'01_異動主檔'!$B:$B,118,'01_異動主檔'!$D:$D,B1266,'01_異動主檔'!$E:$E,"精簡")</f>
        <v/>
      </c>
      <c r="J1266" s="10">
        <f>D1266+E1266+F1266+G1266+H1266+I1266</f>
        <v/>
      </c>
    </row>
    <row r="1267" ht="18" customHeight="1">
      <c r="A1267" s="4" t="inlineStr">
        <is>
          <t>F007</t>
        </is>
      </c>
      <c r="B1267" s="3" t="inlineStr">
        <is>
          <t>法規組</t>
        </is>
      </c>
      <c r="C1267" s="4" t="n">
        <v>119</v>
      </c>
      <c r="D1267" s="10">
        <f>J1266</f>
        <v/>
      </c>
      <c r="E1267" s="4">
        <f>SUMIFS('01_異動主檔'!$F:$F,'01_異動主檔'!$B:$B,119,'01_異動主檔'!$D:$D,B1267,'01_異動主檔'!$E:$E,"移入")</f>
        <v/>
      </c>
      <c r="F1267" s="4">
        <f>-SUMIFS('01_異動主檔'!$F:$F,'01_異動主檔'!$B:$B,119,'01_異動主檔'!$D:$D,B1267,'01_異動主檔'!$E:$E,"移出")</f>
        <v/>
      </c>
      <c r="G1267" s="4">
        <f>SUMIFS('01_異動主檔'!$F:$F,'01_異動主檔'!$B:$B,119,'01_異動主檔'!$D:$D,B1267,'01_異動主檔'!$E:$E,"新增")</f>
        <v/>
      </c>
      <c r="H1267" s="4">
        <f>-SUMIFS('01_異動主檔'!$F:$F,'01_異動主檔'!$B:$B,119,'01_異動主檔'!$D:$D,B1267,'01_異動主檔'!$E:$E,"減列")</f>
        <v/>
      </c>
      <c r="I1267" s="4">
        <f>-SUMIFS('01_異動主檔'!$F:$F,'01_異動主檔'!$B:$B,119,'01_異動主檔'!$D:$D,B1267,'01_異動主檔'!$E:$E,"精簡")</f>
        <v/>
      </c>
      <c r="J1267" s="10">
        <f>D1267+E1267+F1267+G1267+H1267+I1267</f>
        <v/>
      </c>
    </row>
    <row r="1268" ht="18" customHeight="1">
      <c r="A1268" s="6" t="inlineStr">
        <is>
          <t>F007</t>
        </is>
      </c>
      <c r="B1268" s="5" t="inlineStr">
        <is>
          <t>法規組</t>
        </is>
      </c>
      <c r="C1268" s="6" t="n">
        <v>120</v>
      </c>
      <c r="D1268" s="10">
        <f>J1267</f>
        <v/>
      </c>
      <c r="E1268" s="4">
        <f>SUMIFS('01_異動主檔'!$F:$F,'01_異動主檔'!$B:$B,120,'01_異動主檔'!$D:$D,B1268,'01_異動主檔'!$E:$E,"移入")</f>
        <v/>
      </c>
      <c r="F1268" s="4">
        <f>-SUMIFS('01_異動主檔'!$F:$F,'01_異動主檔'!$B:$B,120,'01_異動主檔'!$D:$D,B1268,'01_異動主檔'!$E:$E,"移出")</f>
        <v/>
      </c>
      <c r="G1268" s="4">
        <f>SUMIFS('01_異動主檔'!$F:$F,'01_異動主檔'!$B:$B,120,'01_異動主檔'!$D:$D,B1268,'01_異動主檔'!$E:$E,"新增")</f>
        <v/>
      </c>
      <c r="H1268" s="4">
        <f>-SUMIFS('01_異動主檔'!$F:$F,'01_異動主檔'!$B:$B,120,'01_異動主檔'!$D:$D,B1268,'01_異動主檔'!$E:$E,"減列")</f>
        <v/>
      </c>
      <c r="I1268" s="4">
        <f>-SUMIFS('01_異動主檔'!$F:$F,'01_異動主檔'!$B:$B,120,'01_異動主檔'!$D:$D,B1268,'01_異動主檔'!$E:$E,"精簡")</f>
        <v/>
      </c>
      <c r="J1268" s="10">
        <f>D1268+E1268+F1268+G1268+H1268+I1268</f>
        <v/>
      </c>
    </row>
    <row r="1269" ht="18" customHeight="1">
      <c r="A1269" s="4" t="inlineStr">
        <is>
          <t>F007</t>
        </is>
      </c>
      <c r="B1269" s="3" t="inlineStr">
        <is>
          <t>法規組</t>
        </is>
      </c>
      <c r="C1269" s="4" t="n">
        <v>121</v>
      </c>
      <c r="D1269" s="10">
        <f>J1268</f>
        <v/>
      </c>
      <c r="E1269" s="4">
        <f>SUMIFS('01_異動主檔'!$F:$F,'01_異動主檔'!$B:$B,121,'01_異動主檔'!$D:$D,B1269,'01_異動主檔'!$E:$E,"移入")</f>
        <v/>
      </c>
      <c r="F1269" s="4">
        <f>-SUMIFS('01_異動主檔'!$F:$F,'01_異動主檔'!$B:$B,121,'01_異動主檔'!$D:$D,B1269,'01_異動主檔'!$E:$E,"移出")</f>
        <v/>
      </c>
      <c r="G1269" s="4">
        <f>SUMIFS('01_異動主檔'!$F:$F,'01_異動主檔'!$B:$B,121,'01_異動主檔'!$D:$D,B1269,'01_異動主檔'!$E:$E,"新增")</f>
        <v/>
      </c>
      <c r="H1269" s="4">
        <f>-SUMIFS('01_異動主檔'!$F:$F,'01_異動主檔'!$B:$B,121,'01_異動主檔'!$D:$D,B1269,'01_異動主檔'!$E:$E,"減列")</f>
        <v/>
      </c>
      <c r="I1269" s="4">
        <f>-SUMIFS('01_異動主檔'!$F:$F,'01_異動主檔'!$B:$B,121,'01_異動主檔'!$D:$D,B1269,'01_異動主檔'!$E:$E,"精簡")</f>
        <v/>
      </c>
      <c r="J1269" s="10">
        <f>D1269+E1269+F1269+G1269+H1269+I1269</f>
        <v/>
      </c>
    </row>
    <row r="1270" ht="18" customHeight="1">
      <c r="A1270" s="6" t="inlineStr">
        <is>
          <t>F007</t>
        </is>
      </c>
      <c r="B1270" s="5" t="inlineStr">
        <is>
          <t>法規組</t>
        </is>
      </c>
      <c r="C1270" s="6" t="n">
        <v>122</v>
      </c>
      <c r="D1270" s="10">
        <f>J1269</f>
        <v/>
      </c>
      <c r="E1270" s="4">
        <f>SUMIFS('01_異動主檔'!$F:$F,'01_異動主檔'!$B:$B,122,'01_異動主檔'!$D:$D,B1270,'01_異動主檔'!$E:$E,"移入")</f>
        <v/>
      </c>
      <c r="F1270" s="4">
        <f>-SUMIFS('01_異動主檔'!$F:$F,'01_異動主檔'!$B:$B,122,'01_異動主檔'!$D:$D,B1270,'01_異動主檔'!$E:$E,"移出")</f>
        <v/>
      </c>
      <c r="G1270" s="4">
        <f>SUMIFS('01_異動主檔'!$F:$F,'01_異動主檔'!$B:$B,122,'01_異動主檔'!$D:$D,B1270,'01_異動主檔'!$E:$E,"新增")</f>
        <v/>
      </c>
      <c r="H1270" s="4">
        <f>-SUMIFS('01_異動主檔'!$F:$F,'01_異動主檔'!$B:$B,122,'01_異動主檔'!$D:$D,B1270,'01_異動主檔'!$E:$E,"減列")</f>
        <v/>
      </c>
      <c r="I1270" s="4">
        <f>-SUMIFS('01_異動主檔'!$F:$F,'01_異動主檔'!$B:$B,122,'01_異動主檔'!$D:$D,B1270,'01_異動主檔'!$E:$E,"精簡")</f>
        <v/>
      </c>
      <c r="J1270" s="10">
        <f>D1270+E1270+F1270+G1270+H1270+I1270</f>
        <v/>
      </c>
    </row>
    <row r="1271" ht="18" customHeight="1">
      <c r="A1271" s="4" t="inlineStr">
        <is>
          <t>F007</t>
        </is>
      </c>
      <c r="B1271" s="3" t="inlineStr">
        <is>
          <t>法規組</t>
        </is>
      </c>
      <c r="C1271" s="4" t="n">
        <v>123</v>
      </c>
      <c r="D1271" s="10">
        <f>J1270</f>
        <v/>
      </c>
      <c r="E1271" s="4">
        <f>SUMIFS('01_異動主檔'!$F:$F,'01_異動主檔'!$B:$B,123,'01_異動主檔'!$D:$D,B1271,'01_異動主檔'!$E:$E,"移入")</f>
        <v/>
      </c>
      <c r="F1271" s="4">
        <f>-SUMIFS('01_異動主檔'!$F:$F,'01_異動主檔'!$B:$B,123,'01_異動主檔'!$D:$D,B1271,'01_異動主檔'!$E:$E,"移出")</f>
        <v/>
      </c>
      <c r="G1271" s="4">
        <f>SUMIFS('01_異動主檔'!$F:$F,'01_異動主檔'!$B:$B,123,'01_異動主檔'!$D:$D,B1271,'01_異動主檔'!$E:$E,"新增")</f>
        <v/>
      </c>
      <c r="H1271" s="4">
        <f>-SUMIFS('01_異動主檔'!$F:$F,'01_異動主檔'!$B:$B,123,'01_異動主檔'!$D:$D,B1271,'01_異動主檔'!$E:$E,"減列")</f>
        <v/>
      </c>
      <c r="I1271" s="4">
        <f>-SUMIFS('01_異動主檔'!$F:$F,'01_異動主檔'!$B:$B,123,'01_異動主檔'!$D:$D,B1271,'01_異動主檔'!$E:$E,"精簡")</f>
        <v/>
      </c>
      <c r="J1271" s="10">
        <f>D1271+E1271+F1271+G1271+H1271+I1271</f>
        <v/>
      </c>
    </row>
    <row r="1272" ht="18" customHeight="1">
      <c r="A1272" s="6" t="inlineStr">
        <is>
          <t>F007</t>
        </is>
      </c>
      <c r="B1272" s="5" t="inlineStr">
        <is>
          <t>法規組</t>
        </is>
      </c>
      <c r="C1272" s="6" t="n">
        <v>124</v>
      </c>
      <c r="D1272" s="10">
        <f>J1271</f>
        <v/>
      </c>
      <c r="E1272" s="4">
        <f>SUMIFS('01_異動主檔'!$F:$F,'01_異動主檔'!$B:$B,124,'01_異動主檔'!$D:$D,B1272,'01_異動主檔'!$E:$E,"移入")</f>
        <v/>
      </c>
      <c r="F1272" s="4">
        <f>-SUMIFS('01_異動主檔'!$F:$F,'01_異動主檔'!$B:$B,124,'01_異動主檔'!$D:$D,B1272,'01_異動主檔'!$E:$E,"移出")</f>
        <v/>
      </c>
      <c r="G1272" s="4">
        <f>SUMIFS('01_異動主檔'!$F:$F,'01_異動主檔'!$B:$B,124,'01_異動主檔'!$D:$D,B1272,'01_異動主檔'!$E:$E,"新增")</f>
        <v/>
      </c>
      <c r="H1272" s="4">
        <f>-SUMIFS('01_異動主檔'!$F:$F,'01_異動主檔'!$B:$B,124,'01_異動主檔'!$D:$D,B1272,'01_異動主檔'!$E:$E,"減列")</f>
        <v/>
      </c>
      <c r="I1272" s="4">
        <f>-SUMIFS('01_異動主檔'!$F:$F,'01_異動主檔'!$B:$B,124,'01_異動主檔'!$D:$D,B1272,'01_異動主檔'!$E:$E,"精簡")</f>
        <v/>
      </c>
      <c r="J1272" s="10">
        <f>D1272+E1272+F1272+G1272+H1272+I1272</f>
        <v/>
      </c>
    </row>
    <row r="1273" ht="18" customHeight="1">
      <c r="A1273" s="4" t="inlineStr">
        <is>
          <t>F007</t>
        </is>
      </c>
      <c r="B1273" s="3" t="inlineStr">
        <is>
          <t>法規組</t>
        </is>
      </c>
      <c r="C1273" s="4" t="n">
        <v>125</v>
      </c>
      <c r="D1273" s="10">
        <f>J1272</f>
        <v/>
      </c>
      <c r="E1273" s="4">
        <f>SUMIFS('01_異動主檔'!$F:$F,'01_異動主檔'!$B:$B,125,'01_異動主檔'!$D:$D,B1273,'01_異動主檔'!$E:$E,"移入")</f>
        <v/>
      </c>
      <c r="F1273" s="4">
        <f>-SUMIFS('01_異動主檔'!$F:$F,'01_異動主檔'!$B:$B,125,'01_異動主檔'!$D:$D,B1273,'01_異動主檔'!$E:$E,"移出")</f>
        <v/>
      </c>
      <c r="G1273" s="4">
        <f>SUMIFS('01_異動主檔'!$F:$F,'01_異動主檔'!$B:$B,125,'01_異動主檔'!$D:$D,B1273,'01_異動主檔'!$E:$E,"新增")</f>
        <v/>
      </c>
      <c r="H1273" s="4">
        <f>-SUMIFS('01_異動主檔'!$F:$F,'01_異動主檔'!$B:$B,125,'01_異動主檔'!$D:$D,B1273,'01_異動主檔'!$E:$E,"減列")</f>
        <v/>
      </c>
      <c r="I1273" s="4">
        <f>-SUMIFS('01_異動主檔'!$F:$F,'01_異動主檔'!$B:$B,125,'01_異動主檔'!$D:$D,B1273,'01_異動主檔'!$E:$E,"精簡")</f>
        <v/>
      </c>
      <c r="J1273" s="10">
        <f>D1273+E1273+F1273+G1273+H1273+I1273</f>
        <v/>
      </c>
    </row>
    <row r="1274" ht="18" customHeight="1">
      <c r="A1274" s="6" t="inlineStr">
        <is>
          <t>F008</t>
        </is>
      </c>
      <c r="B1274" s="5" t="inlineStr">
        <is>
          <t>稽核組</t>
        </is>
      </c>
      <c r="C1274" s="6" t="n">
        <v>99</v>
      </c>
      <c r="D1274" s="10">
        <f>'02_年初員額設定'!C52</f>
        <v/>
      </c>
      <c r="E1274" s="4">
        <f>SUMIFS('01_異動主檔'!$F:$F,'01_異動主檔'!$B:$B,99,'01_異動主檔'!$D:$D,B1274,'01_異動主檔'!$E:$E,"移入")</f>
        <v/>
      </c>
      <c r="F1274" s="4">
        <f>-SUMIFS('01_異動主檔'!$F:$F,'01_異動主檔'!$B:$B,99,'01_異動主檔'!$D:$D,B1274,'01_異動主檔'!$E:$E,"移出")</f>
        <v/>
      </c>
      <c r="G1274" s="4">
        <f>SUMIFS('01_異動主檔'!$F:$F,'01_異動主檔'!$B:$B,99,'01_異動主檔'!$D:$D,B1274,'01_異動主檔'!$E:$E,"新增")</f>
        <v/>
      </c>
      <c r="H1274" s="4">
        <f>-SUMIFS('01_異動主檔'!$F:$F,'01_異動主檔'!$B:$B,99,'01_異動主檔'!$D:$D,B1274,'01_異動主檔'!$E:$E,"減列")</f>
        <v/>
      </c>
      <c r="I1274" s="4">
        <f>-SUMIFS('01_異動主檔'!$F:$F,'01_異動主檔'!$B:$B,99,'01_異動主檔'!$D:$D,B1274,'01_異動主檔'!$E:$E,"精簡")</f>
        <v/>
      </c>
      <c r="J1274" s="10">
        <f>D1274+E1274+F1274+G1274+H1274+I1274</f>
        <v/>
      </c>
    </row>
    <row r="1275" ht="18" customHeight="1">
      <c r="A1275" s="4" t="inlineStr">
        <is>
          <t>F008</t>
        </is>
      </c>
      <c r="B1275" s="3" t="inlineStr">
        <is>
          <t>稽核組</t>
        </is>
      </c>
      <c r="C1275" s="4" t="n">
        <v>100</v>
      </c>
      <c r="D1275" s="10">
        <f>J1274</f>
        <v/>
      </c>
      <c r="E1275" s="4">
        <f>SUMIFS('01_異動主檔'!$F:$F,'01_異動主檔'!$B:$B,100,'01_異動主檔'!$D:$D,B1275,'01_異動主檔'!$E:$E,"移入")</f>
        <v/>
      </c>
      <c r="F1275" s="4">
        <f>-SUMIFS('01_異動主檔'!$F:$F,'01_異動主檔'!$B:$B,100,'01_異動主檔'!$D:$D,B1275,'01_異動主檔'!$E:$E,"移出")</f>
        <v/>
      </c>
      <c r="G1275" s="4">
        <f>SUMIFS('01_異動主檔'!$F:$F,'01_異動主檔'!$B:$B,100,'01_異動主檔'!$D:$D,B1275,'01_異動主檔'!$E:$E,"新增")</f>
        <v/>
      </c>
      <c r="H1275" s="4">
        <f>-SUMIFS('01_異動主檔'!$F:$F,'01_異動主檔'!$B:$B,100,'01_異動主檔'!$D:$D,B1275,'01_異動主檔'!$E:$E,"減列")</f>
        <v/>
      </c>
      <c r="I1275" s="4">
        <f>-SUMIFS('01_異動主檔'!$F:$F,'01_異動主檔'!$B:$B,100,'01_異動主檔'!$D:$D,B1275,'01_異動主檔'!$E:$E,"精簡")</f>
        <v/>
      </c>
      <c r="J1275" s="10">
        <f>D1275+E1275+F1275+G1275+H1275+I1275</f>
        <v/>
      </c>
    </row>
    <row r="1276" ht="18" customHeight="1">
      <c r="A1276" s="6" t="inlineStr">
        <is>
          <t>F008</t>
        </is>
      </c>
      <c r="B1276" s="5" t="inlineStr">
        <is>
          <t>稽核組</t>
        </is>
      </c>
      <c r="C1276" s="6" t="n">
        <v>101</v>
      </c>
      <c r="D1276" s="10">
        <f>J1275</f>
        <v/>
      </c>
      <c r="E1276" s="4">
        <f>SUMIFS('01_異動主檔'!$F:$F,'01_異動主檔'!$B:$B,101,'01_異動主檔'!$D:$D,B1276,'01_異動主檔'!$E:$E,"移入")</f>
        <v/>
      </c>
      <c r="F1276" s="4">
        <f>-SUMIFS('01_異動主檔'!$F:$F,'01_異動主檔'!$B:$B,101,'01_異動主檔'!$D:$D,B1276,'01_異動主檔'!$E:$E,"移出")</f>
        <v/>
      </c>
      <c r="G1276" s="4">
        <f>SUMIFS('01_異動主檔'!$F:$F,'01_異動主檔'!$B:$B,101,'01_異動主檔'!$D:$D,B1276,'01_異動主檔'!$E:$E,"新增")</f>
        <v/>
      </c>
      <c r="H1276" s="4">
        <f>-SUMIFS('01_異動主檔'!$F:$F,'01_異動主檔'!$B:$B,101,'01_異動主檔'!$D:$D,B1276,'01_異動主檔'!$E:$E,"減列")</f>
        <v/>
      </c>
      <c r="I1276" s="4">
        <f>-SUMIFS('01_異動主檔'!$F:$F,'01_異動主檔'!$B:$B,101,'01_異動主檔'!$D:$D,B1276,'01_異動主檔'!$E:$E,"精簡")</f>
        <v/>
      </c>
      <c r="J1276" s="10">
        <f>D1276+E1276+F1276+G1276+H1276+I1276</f>
        <v/>
      </c>
    </row>
    <row r="1277" ht="18" customHeight="1">
      <c r="A1277" s="4" t="inlineStr">
        <is>
          <t>F008</t>
        </is>
      </c>
      <c r="B1277" s="3" t="inlineStr">
        <is>
          <t>稽核組</t>
        </is>
      </c>
      <c r="C1277" s="4" t="n">
        <v>102</v>
      </c>
      <c r="D1277" s="10">
        <f>J1276</f>
        <v/>
      </c>
      <c r="E1277" s="4">
        <f>SUMIFS('01_異動主檔'!$F:$F,'01_異動主檔'!$B:$B,102,'01_異動主檔'!$D:$D,B1277,'01_異動主檔'!$E:$E,"移入")</f>
        <v/>
      </c>
      <c r="F1277" s="4">
        <f>-SUMIFS('01_異動主檔'!$F:$F,'01_異動主檔'!$B:$B,102,'01_異動主檔'!$D:$D,B1277,'01_異動主檔'!$E:$E,"移出")</f>
        <v/>
      </c>
      <c r="G1277" s="4">
        <f>SUMIFS('01_異動主檔'!$F:$F,'01_異動主檔'!$B:$B,102,'01_異動主檔'!$D:$D,B1277,'01_異動主檔'!$E:$E,"新增")</f>
        <v/>
      </c>
      <c r="H1277" s="4">
        <f>-SUMIFS('01_異動主檔'!$F:$F,'01_異動主檔'!$B:$B,102,'01_異動主檔'!$D:$D,B1277,'01_異動主檔'!$E:$E,"減列")</f>
        <v/>
      </c>
      <c r="I1277" s="4">
        <f>-SUMIFS('01_異動主檔'!$F:$F,'01_異動主檔'!$B:$B,102,'01_異動主檔'!$D:$D,B1277,'01_異動主檔'!$E:$E,"精簡")</f>
        <v/>
      </c>
      <c r="J1277" s="10">
        <f>D1277+E1277+F1277+G1277+H1277+I1277</f>
        <v/>
      </c>
    </row>
    <row r="1278" ht="18" customHeight="1">
      <c r="A1278" s="6" t="inlineStr">
        <is>
          <t>F008</t>
        </is>
      </c>
      <c r="B1278" s="5" t="inlineStr">
        <is>
          <t>稽核組</t>
        </is>
      </c>
      <c r="C1278" s="6" t="n">
        <v>103</v>
      </c>
      <c r="D1278" s="10">
        <f>J1277</f>
        <v/>
      </c>
      <c r="E1278" s="4">
        <f>SUMIFS('01_異動主檔'!$F:$F,'01_異動主檔'!$B:$B,103,'01_異動主檔'!$D:$D,B1278,'01_異動主檔'!$E:$E,"移入")</f>
        <v/>
      </c>
      <c r="F1278" s="4">
        <f>-SUMIFS('01_異動主檔'!$F:$F,'01_異動主檔'!$B:$B,103,'01_異動主檔'!$D:$D,B1278,'01_異動主檔'!$E:$E,"移出")</f>
        <v/>
      </c>
      <c r="G1278" s="4">
        <f>SUMIFS('01_異動主檔'!$F:$F,'01_異動主檔'!$B:$B,103,'01_異動主檔'!$D:$D,B1278,'01_異動主檔'!$E:$E,"新增")</f>
        <v/>
      </c>
      <c r="H1278" s="4">
        <f>-SUMIFS('01_異動主檔'!$F:$F,'01_異動主檔'!$B:$B,103,'01_異動主檔'!$D:$D,B1278,'01_異動主檔'!$E:$E,"減列")</f>
        <v/>
      </c>
      <c r="I1278" s="4">
        <f>-SUMIFS('01_異動主檔'!$F:$F,'01_異動主檔'!$B:$B,103,'01_異動主檔'!$D:$D,B1278,'01_異動主檔'!$E:$E,"精簡")</f>
        <v/>
      </c>
      <c r="J1278" s="10">
        <f>D1278+E1278+F1278+G1278+H1278+I1278</f>
        <v/>
      </c>
    </row>
    <row r="1279" ht="18" customHeight="1">
      <c r="A1279" s="4" t="inlineStr">
        <is>
          <t>F008</t>
        </is>
      </c>
      <c r="B1279" s="3" t="inlineStr">
        <is>
          <t>稽核組</t>
        </is>
      </c>
      <c r="C1279" s="4" t="n">
        <v>104</v>
      </c>
      <c r="D1279" s="10">
        <f>J1278</f>
        <v/>
      </c>
      <c r="E1279" s="4">
        <f>SUMIFS('01_異動主檔'!$F:$F,'01_異動主檔'!$B:$B,104,'01_異動主檔'!$D:$D,B1279,'01_異動主檔'!$E:$E,"移入")</f>
        <v/>
      </c>
      <c r="F1279" s="4">
        <f>-SUMIFS('01_異動主檔'!$F:$F,'01_異動主檔'!$B:$B,104,'01_異動主檔'!$D:$D,B1279,'01_異動主檔'!$E:$E,"移出")</f>
        <v/>
      </c>
      <c r="G1279" s="4">
        <f>SUMIFS('01_異動主檔'!$F:$F,'01_異動主檔'!$B:$B,104,'01_異動主檔'!$D:$D,B1279,'01_異動主檔'!$E:$E,"新增")</f>
        <v/>
      </c>
      <c r="H1279" s="4">
        <f>-SUMIFS('01_異動主檔'!$F:$F,'01_異動主檔'!$B:$B,104,'01_異動主檔'!$D:$D,B1279,'01_異動主檔'!$E:$E,"減列")</f>
        <v/>
      </c>
      <c r="I1279" s="4">
        <f>-SUMIFS('01_異動主檔'!$F:$F,'01_異動主檔'!$B:$B,104,'01_異動主檔'!$D:$D,B1279,'01_異動主檔'!$E:$E,"精簡")</f>
        <v/>
      </c>
      <c r="J1279" s="10">
        <f>D1279+E1279+F1279+G1279+H1279+I1279</f>
        <v/>
      </c>
    </row>
    <row r="1280" ht="18" customHeight="1">
      <c r="A1280" s="6" t="inlineStr">
        <is>
          <t>F008</t>
        </is>
      </c>
      <c r="B1280" s="5" t="inlineStr">
        <is>
          <t>稽核組</t>
        </is>
      </c>
      <c r="C1280" s="6" t="n">
        <v>105</v>
      </c>
      <c r="D1280" s="10">
        <f>J1279</f>
        <v/>
      </c>
      <c r="E1280" s="4">
        <f>SUMIFS('01_異動主檔'!$F:$F,'01_異動主檔'!$B:$B,105,'01_異動主檔'!$D:$D,B1280,'01_異動主檔'!$E:$E,"移入")</f>
        <v/>
      </c>
      <c r="F1280" s="4">
        <f>-SUMIFS('01_異動主檔'!$F:$F,'01_異動主檔'!$B:$B,105,'01_異動主檔'!$D:$D,B1280,'01_異動主檔'!$E:$E,"移出")</f>
        <v/>
      </c>
      <c r="G1280" s="4">
        <f>SUMIFS('01_異動主檔'!$F:$F,'01_異動主檔'!$B:$B,105,'01_異動主檔'!$D:$D,B1280,'01_異動主檔'!$E:$E,"新增")</f>
        <v/>
      </c>
      <c r="H1280" s="4">
        <f>-SUMIFS('01_異動主檔'!$F:$F,'01_異動主檔'!$B:$B,105,'01_異動主檔'!$D:$D,B1280,'01_異動主檔'!$E:$E,"減列")</f>
        <v/>
      </c>
      <c r="I1280" s="4">
        <f>-SUMIFS('01_異動主檔'!$F:$F,'01_異動主檔'!$B:$B,105,'01_異動主檔'!$D:$D,B1280,'01_異動主檔'!$E:$E,"精簡")</f>
        <v/>
      </c>
      <c r="J1280" s="10">
        <f>D1280+E1280+F1280+G1280+H1280+I1280</f>
        <v/>
      </c>
    </row>
    <row r="1281" ht="18" customHeight="1">
      <c r="A1281" s="4" t="inlineStr">
        <is>
          <t>F008</t>
        </is>
      </c>
      <c r="B1281" s="3" t="inlineStr">
        <is>
          <t>稽核組</t>
        </is>
      </c>
      <c r="C1281" s="4" t="n">
        <v>106</v>
      </c>
      <c r="D1281" s="10">
        <f>J1280</f>
        <v/>
      </c>
      <c r="E1281" s="4">
        <f>SUMIFS('01_異動主檔'!$F:$F,'01_異動主檔'!$B:$B,106,'01_異動主檔'!$D:$D,B1281,'01_異動主檔'!$E:$E,"移入")</f>
        <v/>
      </c>
      <c r="F1281" s="4">
        <f>-SUMIFS('01_異動主檔'!$F:$F,'01_異動主檔'!$B:$B,106,'01_異動主檔'!$D:$D,B1281,'01_異動主檔'!$E:$E,"移出")</f>
        <v/>
      </c>
      <c r="G1281" s="4">
        <f>SUMIFS('01_異動主檔'!$F:$F,'01_異動主檔'!$B:$B,106,'01_異動主檔'!$D:$D,B1281,'01_異動主檔'!$E:$E,"新增")</f>
        <v/>
      </c>
      <c r="H1281" s="4">
        <f>-SUMIFS('01_異動主檔'!$F:$F,'01_異動主檔'!$B:$B,106,'01_異動主檔'!$D:$D,B1281,'01_異動主檔'!$E:$E,"減列")</f>
        <v/>
      </c>
      <c r="I1281" s="4">
        <f>-SUMIFS('01_異動主檔'!$F:$F,'01_異動主檔'!$B:$B,106,'01_異動主檔'!$D:$D,B1281,'01_異動主檔'!$E:$E,"精簡")</f>
        <v/>
      </c>
      <c r="J1281" s="10">
        <f>D1281+E1281+F1281+G1281+H1281+I1281</f>
        <v/>
      </c>
    </row>
    <row r="1282" ht="18" customHeight="1">
      <c r="A1282" s="6" t="inlineStr">
        <is>
          <t>F008</t>
        </is>
      </c>
      <c r="B1282" s="5" t="inlineStr">
        <is>
          <t>稽核組</t>
        </is>
      </c>
      <c r="C1282" s="6" t="n">
        <v>107</v>
      </c>
      <c r="D1282" s="10">
        <f>J1281</f>
        <v/>
      </c>
      <c r="E1282" s="4">
        <f>SUMIFS('01_異動主檔'!$F:$F,'01_異動主檔'!$B:$B,107,'01_異動主檔'!$D:$D,B1282,'01_異動主檔'!$E:$E,"移入")</f>
        <v/>
      </c>
      <c r="F1282" s="4">
        <f>-SUMIFS('01_異動主檔'!$F:$F,'01_異動主檔'!$B:$B,107,'01_異動主檔'!$D:$D,B1282,'01_異動主檔'!$E:$E,"移出")</f>
        <v/>
      </c>
      <c r="G1282" s="4">
        <f>SUMIFS('01_異動主檔'!$F:$F,'01_異動主檔'!$B:$B,107,'01_異動主檔'!$D:$D,B1282,'01_異動主檔'!$E:$E,"新增")</f>
        <v/>
      </c>
      <c r="H1282" s="4">
        <f>-SUMIFS('01_異動主檔'!$F:$F,'01_異動主檔'!$B:$B,107,'01_異動主檔'!$D:$D,B1282,'01_異動主檔'!$E:$E,"減列")</f>
        <v/>
      </c>
      <c r="I1282" s="4">
        <f>-SUMIFS('01_異動主檔'!$F:$F,'01_異動主檔'!$B:$B,107,'01_異動主檔'!$D:$D,B1282,'01_異動主檔'!$E:$E,"精簡")</f>
        <v/>
      </c>
      <c r="J1282" s="10">
        <f>D1282+E1282+F1282+G1282+H1282+I1282</f>
        <v/>
      </c>
    </row>
    <row r="1283" ht="18" customHeight="1">
      <c r="A1283" s="4" t="inlineStr">
        <is>
          <t>F008</t>
        </is>
      </c>
      <c r="B1283" s="3" t="inlineStr">
        <is>
          <t>稽核組</t>
        </is>
      </c>
      <c r="C1283" s="4" t="n">
        <v>108</v>
      </c>
      <c r="D1283" s="10">
        <f>J1282</f>
        <v/>
      </c>
      <c r="E1283" s="4">
        <f>SUMIFS('01_異動主檔'!$F:$F,'01_異動主檔'!$B:$B,108,'01_異動主檔'!$D:$D,B1283,'01_異動主檔'!$E:$E,"移入")</f>
        <v/>
      </c>
      <c r="F1283" s="4">
        <f>-SUMIFS('01_異動主檔'!$F:$F,'01_異動主檔'!$B:$B,108,'01_異動主檔'!$D:$D,B1283,'01_異動主檔'!$E:$E,"移出")</f>
        <v/>
      </c>
      <c r="G1283" s="4">
        <f>SUMIFS('01_異動主檔'!$F:$F,'01_異動主檔'!$B:$B,108,'01_異動主檔'!$D:$D,B1283,'01_異動主檔'!$E:$E,"新增")</f>
        <v/>
      </c>
      <c r="H1283" s="4">
        <f>-SUMIFS('01_異動主檔'!$F:$F,'01_異動主檔'!$B:$B,108,'01_異動主檔'!$D:$D,B1283,'01_異動主檔'!$E:$E,"減列")</f>
        <v/>
      </c>
      <c r="I1283" s="4">
        <f>-SUMIFS('01_異動主檔'!$F:$F,'01_異動主檔'!$B:$B,108,'01_異動主檔'!$D:$D,B1283,'01_異動主檔'!$E:$E,"精簡")</f>
        <v/>
      </c>
      <c r="J1283" s="10">
        <f>D1283+E1283+F1283+G1283+H1283+I1283</f>
        <v/>
      </c>
    </row>
    <row r="1284" ht="18" customHeight="1">
      <c r="A1284" s="6" t="inlineStr">
        <is>
          <t>F008</t>
        </is>
      </c>
      <c r="B1284" s="5" t="inlineStr">
        <is>
          <t>稽核組</t>
        </is>
      </c>
      <c r="C1284" s="6" t="n">
        <v>109</v>
      </c>
      <c r="D1284" s="10">
        <f>J1283</f>
        <v/>
      </c>
      <c r="E1284" s="4">
        <f>SUMIFS('01_異動主檔'!$F:$F,'01_異動主檔'!$B:$B,109,'01_異動主檔'!$D:$D,B1284,'01_異動主檔'!$E:$E,"移入")</f>
        <v/>
      </c>
      <c r="F1284" s="4">
        <f>-SUMIFS('01_異動主檔'!$F:$F,'01_異動主檔'!$B:$B,109,'01_異動主檔'!$D:$D,B1284,'01_異動主檔'!$E:$E,"移出")</f>
        <v/>
      </c>
      <c r="G1284" s="4">
        <f>SUMIFS('01_異動主檔'!$F:$F,'01_異動主檔'!$B:$B,109,'01_異動主檔'!$D:$D,B1284,'01_異動主檔'!$E:$E,"新增")</f>
        <v/>
      </c>
      <c r="H1284" s="4">
        <f>-SUMIFS('01_異動主檔'!$F:$F,'01_異動主檔'!$B:$B,109,'01_異動主檔'!$D:$D,B1284,'01_異動主檔'!$E:$E,"減列")</f>
        <v/>
      </c>
      <c r="I1284" s="4">
        <f>-SUMIFS('01_異動主檔'!$F:$F,'01_異動主檔'!$B:$B,109,'01_異動主檔'!$D:$D,B1284,'01_異動主檔'!$E:$E,"精簡")</f>
        <v/>
      </c>
      <c r="J1284" s="10">
        <f>D1284+E1284+F1284+G1284+H1284+I1284</f>
        <v/>
      </c>
    </row>
    <row r="1285" ht="18" customHeight="1">
      <c r="A1285" s="4" t="inlineStr">
        <is>
          <t>F008</t>
        </is>
      </c>
      <c r="B1285" s="3" t="inlineStr">
        <is>
          <t>稽核組</t>
        </is>
      </c>
      <c r="C1285" s="4" t="n">
        <v>110</v>
      </c>
      <c r="D1285" s="10">
        <f>J1284</f>
        <v/>
      </c>
      <c r="E1285" s="4">
        <f>SUMIFS('01_異動主檔'!$F:$F,'01_異動主檔'!$B:$B,110,'01_異動主檔'!$D:$D,B1285,'01_異動主檔'!$E:$E,"移入")</f>
        <v/>
      </c>
      <c r="F1285" s="4">
        <f>-SUMIFS('01_異動主檔'!$F:$F,'01_異動主檔'!$B:$B,110,'01_異動主檔'!$D:$D,B1285,'01_異動主檔'!$E:$E,"移出")</f>
        <v/>
      </c>
      <c r="G1285" s="4">
        <f>SUMIFS('01_異動主檔'!$F:$F,'01_異動主檔'!$B:$B,110,'01_異動主檔'!$D:$D,B1285,'01_異動主檔'!$E:$E,"新增")</f>
        <v/>
      </c>
      <c r="H1285" s="4">
        <f>-SUMIFS('01_異動主檔'!$F:$F,'01_異動主檔'!$B:$B,110,'01_異動主檔'!$D:$D,B1285,'01_異動主檔'!$E:$E,"減列")</f>
        <v/>
      </c>
      <c r="I1285" s="4">
        <f>-SUMIFS('01_異動主檔'!$F:$F,'01_異動主檔'!$B:$B,110,'01_異動主檔'!$D:$D,B1285,'01_異動主檔'!$E:$E,"精簡")</f>
        <v/>
      </c>
      <c r="J1285" s="10">
        <f>D1285+E1285+F1285+G1285+H1285+I1285</f>
        <v/>
      </c>
    </row>
    <row r="1286" ht="18" customHeight="1">
      <c r="A1286" s="6" t="inlineStr">
        <is>
          <t>F008</t>
        </is>
      </c>
      <c r="B1286" s="5" t="inlineStr">
        <is>
          <t>稽核組</t>
        </is>
      </c>
      <c r="C1286" s="6" t="n">
        <v>111</v>
      </c>
      <c r="D1286" s="10">
        <f>J1285</f>
        <v/>
      </c>
      <c r="E1286" s="4">
        <f>SUMIFS('01_異動主檔'!$F:$F,'01_異動主檔'!$B:$B,111,'01_異動主檔'!$D:$D,B1286,'01_異動主檔'!$E:$E,"移入")</f>
        <v/>
      </c>
      <c r="F1286" s="4">
        <f>-SUMIFS('01_異動主檔'!$F:$F,'01_異動主檔'!$B:$B,111,'01_異動主檔'!$D:$D,B1286,'01_異動主檔'!$E:$E,"移出")</f>
        <v/>
      </c>
      <c r="G1286" s="4">
        <f>SUMIFS('01_異動主檔'!$F:$F,'01_異動主檔'!$B:$B,111,'01_異動主檔'!$D:$D,B1286,'01_異動主檔'!$E:$E,"新增")</f>
        <v/>
      </c>
      <c r="H1286" s="4">
        <f>-SUMIFS('01_異動主檔'!$F:$F,'01_異動主檔'!$B:$B,111,'01_異動主檔'!$D:$D,B1286,'01_異動主檔'!$E:$E,"減列")</f>
        <v/>
      </c>
      <c r="I1286" s="4">
        <f>-SUMIFS('01_異動主檔'!$F:$F,'01_異動主檔'!$B:$B,111,'01_異動主檔'!$D:$D,B1286,'01_異動主檔'!$E:$E,"精簡")</f>
        <v/>
      </c>
      <c r="J1286" s="10">
        <f>D1286+E1286+F1286+G1286+H1286+I1286</f>
        <v/>
      </c>
    </row>
    <row r="1287" ht="18" customHeight="1">
      <c r="A1287" s="4" t="inlineStr">
        <is>
          <t>F008</t>
        </is>
      </c>
      <c r="B1287" s="3" t="inlineStr">
        <is>
          <t>稽核組</t>
        </is>
      </c>
      <c r="C1287" s="4" t="n">
        <v>112</v>
      </c>
      <c r="D1287" s="10">
        <f>J1286</f>
        <v/>
      </c>
      <c r="E1287" s="4">
        <f>SUMIFS('01_異動主檔'!$F:$F,'01_異動主檔'!$B:$B,112,'01_異動主檔'!$D:$D,B1287,'01_異動主檔'!$E:$E,"移入")</f>
        <v/>
      </c>
      <c r="F1287" s="4">
        <f>-SUMIFS('01_異動主檔'!$F:$F,'01_異動主檔'!$B:$B,112,'01_異動主檔'!$D:$D,B1287,'01_異動主檔'!$E:$E,"移出")</f>
        <v/>
      </c>
      <c r="G1287" s="4">
        <f>SUMIFS('01_異動主檔'!$F:$F,'01_異動主檔'!$B:$B,112,'01_異動主檔'!$D:$D,B1287,'01_異動主檔'!$E:$E,"新增")</f>
        <v/>
      </c>
      <c r="H1287" s="4">
        <f>-SUMIFS('01_異動主檔'!$F:$F,'01_異動主檔'!$B:$B,112,'01_異動主檔'!$D:$D,B1287,'01_異動主檔'!$E:$E,"減列")</f>
        <v/>
      </c>
      <c r="I1287" s="4">
        <f>-SUMIFS('01_異動主檔'!$F:$F,'01_異動主檔'!$B:$B,112,'01_異動主檔'!$D:$D,B1287,'01_異動主檔'!$E:$E,"精簡")</f>
        <v/>
      </c>
      <c r="J1287" s="10">
        <f>D1287+E1287+F1287+G1287+H1287+I1287</f>
        <v/>
      </c>
    </row>
    <row r="1288" ht="18" customHeight="1">
      <c r="A1288" s="6" t="inlineStr">
        <is>
          <t>F008</t>
        </is>
      </c>
      <c r="B1288" s="5" t="inlineStr">
        <is>
          <t>稽核組</t>
        </is>
      </c>
      <c r="C1288" s="6" t="n">
        <v>113</v>
      </c>
      <c r="D1288" s="10">
        <f>J1287</f>
        <v/>
      </c>
      <c r="E1288" s="4">
        <f>SUMIFS('01_異動主檔'!$F:$F,'01_異動主檔'!$B:$B,113,'01_異動主檔'!$D:$D,B1288,'01_異動主檔'!$E:$E,"移入")</f>
        <v/>
      </c>
      <c r="F1288" s="4">
        <f>-SUMIFS('01_異動主檔'!$F:$F,'01_異動主檔'!$B:$B,113,'01_異動主檔'!$D:$D,B1288,'01_異動主檔'!$E:$E,"移出")</f>
        <v/>
      </c>
      <c r="G1288" s="4">
        <f>SUMIFS('01_異動主檔'!$F:$F,'01_異動主檔'!$B:$B,113,'01_異動主檔'!$D:$D,B1288,'01_異動主檔'!$E:$E,"新增")</f>
        <v/>
      </c>
      <c r="H1288" s="4">
        <f>-SUMIFS('01_異動主檔'!$F:$F,'01_異動主檔'!$B:$B,113,'01_異動主檔'!$D:$D,B1288,'01_異動主檔'!$E:$E,"減列")</f>
        <v/>
      </c>
      <c r="I1288" s="4">
        <f>-SUMIFS('01_異動主檔'!$F:$F,'01_異動主檔'!$B:$B,113,'01_異動主檔'!$D:$D,B1288,'01_異動主檔'!$E:$E,"精簡")</f>
        <v/>
      </c>
      <c r="J1288" s="10">
        <f>D1288+E1288+F1288+G1288+H1288+I1288</f>
        <v/>
      </c>
    </row>
    <row r="1289" ht="18" customHeight="1">
      <c r="A1289" s="4" t="inlineStr">
        <is>
          <t>F008</t>
        </is>
      </c>
      <c r="B1289" s="3" t="inlineStr">
        <is>
          <t>稽核組</t>
        </is>
      </c>
      <c r="C1289" s="4" t="n">
        <v>114</v>
      </c>
      <c r="D1289" s="10">
        <f>J1288</f>
        <v/>
      </c>
      <c r="E1289" s="4">
        <f>SUMIFS('01_異動主檔'!$F:$F,'01_異動主檔'!$B:$B,114,'01_異動主檔'!$D:$D,B1289,'01_異動主檔'!$E:$E,"移入")</f>
        <v/>
      </c>
      <c r="F1289" s="4">
        <f>-SUMIFS('01_異動主檔'!$F:$F,'01_異動主檔'!$B:$B,114,'01_異動主檔'!$D:$D,B1289,'01_異動主檔'!$E:$E,"移出")</f>
        <v/>
      </c>
      <c r="G1289" s="4">
        <f>SUMIFS('01_異動主檔'!$F:$F,'01_異動主檔'!$B:$B,114,'01_異動主檔'!$D:$D,B1289,'01_異動主檔'!$E:$E,"新增")</f>
        <v/>
      </c>
      <c r="H1289" s="4">
        <f>-SUMIFS('01_異動主檔'!$F:$F,'01_異動主檔'!$B:$B,114,'01_異動主檔'!$D:$D,B1289,'01_異動主檔'!$E:$E,"減列")</f>
        <v/>
      </c>
      <c r="I1289" s="4">
        <f>-SUMIFS('01_異動主檔'!$F:$F,'01_異動主檔'!$B:$B,114,'01_異動主檔'!$D:$D,B1289,'01_異動主檔'!$E:$E,"精簡")</f>
        <v/>
      </c>
      <c r="J1289" s="10">
        <f>D1289+E1289+F1289+G1289+H1289+I1289</f>
        <v/>
      </c>
    </row>
    <row r="1290" ht="18" customHeight="1">
      <c r="A1290" s="6" t="inlineStr">
        <is>
          <t>F008</t>
        </is>
      </c>
      <c r="B1290" s="5" t="inlineStr">
        <is>
          <t>稽核組</t>
        </is>
      </c>
      <c r="C1290" s="6" t="n">
        <v>115</v>
      </c>
      <c r="D1290" s="10">
        <f>J1289</f>
        <v/>
      </c>
      <c r="E1290" s="4">
        <f>SUMIFS('01_異動主檔'!$F:$F,'01_異動主檔'!$B:$B,115,'01_異動主檔'!$D:$D,B1290,'01_異動主檔'!$E:$E,"移入")</f>
        <v/>
      </c>
      <c r="F1290" s="4">
        <f>-SUMIFS('01_異動主檔'!$F:$F,'01_異動主檔'!$B:$B,115,'01_異動主檔'!$D:$D,B1290,'01_異動主檔'!$E:$E,"移出")</f>
        <v/>
      </c>
      <c r="G1290" s="4">
        <f>SUMIFS('01_異動主檔'!$F:$F,'01_異動主檔'!$B:$B,115,'01_異動主檔'!$D:$D,B1290,'01_異動主檔'!$E:$E,"新增")</f>
        <v/>
      </c>
      <c r="H1290" s="4">
        <f>-SUMIFS('01_異動主檔'!$F:$F,'01_異動主檔'!$B:$B,115,'01_異動主檔'!$D:$D,B1290,'01_異動主檔'!$E:$E,"減列")</f>
        <v/>
      </c>
      <c r="I1290" s="4">
        <f>-SUMIFS('01_異動主檔'!$F:$F,'01_異動主檔'!$B:$B,115,'01_異動主檔'!$D:$D,B1290,'01_異動主檔'!$E:$E,"精簡")</f>
        <v/>
      </c>
      <c r="J1290" s="10">
        <f>D1290+E1290+F1290+G1290+H1290+I1290</f>
        <v/>
      </c>
    </row>
    <row r="1291" ht="18" customHeight="1">
      <c r="A1291" s="4" t="inlineStr">
        <is>
          <t>F008</t>
        </is>
      </c>
      <c r="B1291" s="3" t="inlineStr">
        <is>
          <t>稽核組</t>
        </is>
      </c>
      <c r="C1291" s="4" t="n">
        <v>116</v>
      </c>
      <c r="D1291" s="10">
        <f>J1290</f>
        <v/>
      </c>
      <c r="E1291" s="4">
        <f>SUMIFS('01_異動主檔'!$F:$F,'01_異動主檔'!$B:$B,116,'01_異動主檔'!$D:$D,B1291,'01_異動主檔'!$E:$E,"移入")</f>
        <v/>
      </c>
      <c r="F1291" s="4">
        <f>-SUMIFS('01_異動主檔'!$F:$F,'01_異動主檔'!$B:$B,116,'01_異動主檔'!$D:$D,B1291,'01_異動主檔'!$E:$E,"移出")</f>
        <v/>
      </c>
      <c r="G1291" s="4">
        <f>SUMIFS('01_異動主檔'!$F:$F,'01_異動主檔'!$B:$B,116,'01_異動主檔'!$D:$D,B1291,'01_異動主檔'!$E:$E,"新增")</f>
        <v/>
      </c>
      <c r="H1291" s="4">
        <f>-SUMIFS('01_異動主檔'!$F:$F,'01_異動主檔'!$B:$B,116,'01_異動主檔'!$D:$D,B1291,'01_異動主檔'!$E:$E,"減列")</f>
        <v/>
      </c>
      <c r="I1291" s="4">
        <f>-SUMIFS('01_異動主檔'!$F:$F,'01_異動主檔'!$B:$B,116,'01_異動主檔'!$D:$D,B1291,'01_異動主檔'!$E:$E,"精簡")</f>
        <v/>
      </c>
      <c r="J1291" s="10">
        <f>D1291+E1291+F1291+G1291+H1291+I1291</f>
        <v/>
      </c>
    </row>
    <row r="1292" ht="18" customHeight="1">
      <c r="A1292" s="6" t="inlineStr">
        <is>
          <t>F008</t>
        </is>
      </c>
      <c r="B1292" s="5" t="inlineStr">
        <is>
          <t>稽核組</t>
        </is>
      </c>
      <c r="C1292" s="6" t="n">
        <v>117</v>
      </c>
      <c r="D1292" s="10">
        <f>J1291</f>
        <v/>
      </c>
      <c r="E1292" s="4">
        <f>SUMIFS('01_異動主檔'!$F:$F,'01_異動主檔'!$B:$B,117,'01_異動主檔'!$D:$D,B1292,'01_異動主檔'!$E:$E,"移入")</f>
        <v/>
      </c>
      <c r="F1292" s="4">
        <f>-SUMIFS('01_異動主檔'!$F:$F,'01_異動主檔'!$B:$B,117,'01_異動主檔'!$D:$D,B1292,'01_異動主檔'!$E:$E,"移出")</f>
        <v/>
      </c>
      <c r="G1292" s="4">
        <f>SUMIFS('01_異動主檔'!$F:$F,'01_異動主檔'!$B:$B,117,'01_異動主檔'!$D:$D,B1292,'01_異動主檔'!$E:$E,"新增")</f>
        <v/>
      </c>
      <c r="H1292" s="4">
        <f>-SUMIFS('01_異動主檔'!$F:$F,'01_異動主檔'!$B:$B,117,'01_異動主檔'!$D:$D,B1292,'01_異動主檔'!$E:$E,"減列")</f>
        <v/>
      </c>
      <c r="I1292" s="4">
        <f>-SUMIFS('01_異動主檔'!$F:$F,'01_異動主檔'!$B:$B,117,'01_異動主檔'!$D:$D,B1292,'01_異動主檔'!$E:$E,"精簡")</f>
        <v/>
      </c>
      <c r="J1292" s="10">
        <f>D1292+E1292+F1292+G1292+H1292+I1292</f>
        <v/>
      </c>
    </row>
    <row r="1293" ht="18" customHeight="1">
      <c r="A1293" s="4" t="inlineStr">
        <is>
          <t>F008</t>
        </is>
      </c>
      <c r="B1293" s="3" t="inlineStr">
        <is>
          <t>稽核組</t>
        </is>
      </c>
      <c r="C1293" s="4" t="n">
        <v>118</v>
      </c>
      <c r="D1293" s="10">
        <f>J1292</f>
        <v/>
      </c>
      <c r="E1293" s="4">
        <f>SUMIFS('01_異動主檔'!$F:$F,'01_異動主檔'!$B:$B,118,'01_異動主檔'!$D:$D,B1293,'01_異動主檔'!$E:$E,"移入")</f>
        <v/>
      </c>
      <c r="F1293" s="4">
        <f>-SUMIFS('01_異動主檔'!$F:$F,'01_異動主檔'!$B:$B,118,'01_異動主檔'!$D:$D,B1293,'01_異動主檔'!$E:$E,"移出")</f>
        <v/>
      </c>
      <c r="G1293" s="4">
        <f>SUMIFS('01_異動主檔'!$F:$F,'01_異動主檔'!$B:$B,118,'01_異動主檔'!$D:$D,B1293,'01_異動主檔'!$E:$E,"新增")</f>
        <v/>
      </c>
      <c r="H1293" s="4">
        <f>-SUMIFS('01_異動主檔'!$F:$F,'01_異動主檔'!$B:$B,118,'01_異動主檔'!$D:$D,B1293,'01_異動主檔'!$E:$E,"減列")</f>
        <v/>
      </c>
      <c r="I1293" s="4">
        <f>-SUMIFS('01_異動主檔'!$F:$F,'01_異動主檔'!$B:$B,118,'01_異動主檔'!$D:$D,B1293,'01_異動主檔'!$E:$E,"精簡")</f>
        <v/>
      </c>
      <c r="J1293" s="10">
        <f>D1293+E1293+F1293+G1293+H1293+I1293</f>
        <v/>
      </c>
    </row>
    <row r="1294" ht="18" customHeight="1">
      <c r="A1294" s="6" t="inlineStr">
        <is>
          <t>F008</t>
        </is>
      </c>
      <c r="B1294" s="5" t="inlineStr">
        <is>
          <t>稽核組</t>
        </is>
      </c>
      <c r="C1294" s="6" t="n">
        <v>119</v>
      </c>
      <c r="D1294" s="10">
        <f>J1293</f>
        <v/>
      </c>
      <c r="E1294" s="4">
        <f>SUMIFS('01_異動主檔'!$F:$F,'01_異動主檔'!$B:$B,119,'01_異動主檔'!$D:$D,B1294,'01_異動主檔'!$E:$E,"移入")</f>
        <v/>
      </c>
      <c r="F1294" s="4">
        <f>-SUMIFS('01_異動主檔'!$F:$F,'01_異動主檔'!$B:$B,119,'01_異動主檔'!$D:$D,B1294,'01_異動主檔'!$E:$E,"移出")</f>
        <v/>
      </c>
      <c r="G1294" s="4">
        <f>SUMIFS('01_異動主檔'!$F:$F,'01_異動主檔'!$B:$B,119,'01_異動主檔'!$D:$D,B1294,'01_異動主檔'!$E:$E,"新增")</f>
        <v/>
      </c>
      <c r="H1294" s="4">
        <f>-SUMIFS('01_異動主檔'!$F:$F,'01_異動主檔'!$B:$B,119,'01_異動主檔'!$D:$D,B1294,'01_異動主檔'!$E:$E,"減列")</f>
        <v/>
      </c>
      <c r="I1294" s="4">
        <f>-SUMIFS('01_異動主檔'!$F:$F,'01_異動主檔'!$B:$B,119,'01_異動主檔'!$D:$D,B1294,'01_異動主檔'!$E:$E,"精簡")</f>
        <v/>
      </c>
      <c r="J1294" s="10">
        <f>D1294+E1294+F1294+G1294+H1294+I1294</f>
        <v/>
      </c>
    </row>
    <row r="1295" ht="18" customHeight="1">
      <c r="A1295" s="4" t="inlineStr">
        <is>
          <t>F008</t>
        </is>
      </c>
      <c r="B1295" s="3" t="inlineStr">
        <is>
          <t>稽核組</t>
        </is>
      </c>
      <c r="C1295" s="4" t="n">
        <v>120</v>
      </c>
      <c r="D1295" s="10">
        <f>J1294</f>
        <v/>
      </c>
      <c r="E1295" s="4">
        <f>SUMIFS('01_異動主檔'!$F:$F,'01_異動主檔'!$B:$B,120,'01_異動主檔'!$D:$D,B1295,'01_異動主檔'!$E:$E,"移入")</f>
        <v/>
      </c>
      <c r="F1295" s="4">
        <f>-SUMIFS('01_異動主檔'!$F:$F,'01_異動主檔'!$B:$B,120,'01_異動主檔'!$D:$D,B1295,'01_異動主檔'!$E:$E,"移出")</f>
        <v/>
      </c>
      <c r="G1295" s="4">
        <f>SUMIFS('01_異動主檔'!$F:$F,'01_異動主檔'!$B:$B,120,'01_異動主檔'!$D:$D,B1295,'01_異動主檔'!$E:$E,"新增")</f>
        <v/>
      </c>
      <c r="H1295" s="4">
        <f>-SUMIFS('01_異動主檔'!$F:$F,'01_異動主檔'!$B:$B,120,'01_異動主檔'!$D:$D,B1295,'01_異動主檔'!$E:$E,"減列")</f>
        <v/>
      </c>
      <c r="I1295" s="4">
        <f>-SUMIFS('01_異動主檔'!$F:$F,'01_異動主檔'!$B:$B,120,'01_異動主檔'!$D:$D,B1295,'01_異動主檔'!$E:$E,"精簡")</f>
        <v/>
      </c>
      <c r="J1295" s="10">
        <f>D1295+E1295+F1295+G1295+H1295+I1295</f>
        <v/>
      </c>
    </row>
    <row r="1296" ht="18" customHeight="1">
      <c r="A1296" s="6" t="inlineStr">
        <is>
          <t>F008</t>
        </is>
      </c>
      <c r="B1296" s="5" t="inlineStr">
        <is>
          <t>稽核組</t>
        </is>
      </c>
      <c r="C1296" s="6" t="n">
        <v>121</v>
      </c>
      <c r="D1296" s="10">
        <f>J1295</f>
        <v/>
      </c>
      <c r="E1296" s="4">
        <f>SUMIFS('01_異動主檔'!$F:$F,'01_異動主檔'!$B:$B,121,'01_異動主檔'!$D:$D,B1296,'01_異動主檔'!$E:$E,"移入")</f>
        <v/>
      </c>
      <c r="F1296" s="4">
        <f>-SUMIFS('01_異動主檔'!$F:$F,'01_異動主檔'!$B:$B,121,'01_異動主檔'!$D:$D,B1296,'01_異動主檔'!$E:$E,"移出")</f>
        <v/>
      </c>
      <c r="G1296" s="4">
        <f>SUMIFS('01_異動主檔'!$F:$F,'01_異動主檔'!$B:$B,121,'01_異動主檔'!$D:$D,B1296,'01_異動主檔'!$E:$E,"新增")</f>
        <v/>
      </c>
      <c r="H1296" s="4">
        <f>-SUMIFS('01_異動主檔'!$F:$F,'01_異動主檔'!$B:$B,121,'01_異動主檔'!$D:$D,B1296,'01_異動主檔'!$E:$E,"減列")</f>
        <v/>
      </c>
      <c r="I1296" s="4">
        <f>-SUMIFS('01_異動主檔'!$F:$F,'01_異動主檔'!$B:$B,121,'01_異動主檔'!$D:$D,B1296,'01_異動主檔'!$E:$E,"精簡")</f>
        <v/>
      </c>
      <c r="J1296" s="10">
        <f>D1296+E1296+F1296+G1296+H1296+I1296</f>
        <v/>
      </c>
    </row>
    <row r="1297" ht="18" customHeight="1">
      <c r="A1297" s="4" t="inlineStr">
        <is>
          <t>F008</t>
        </is>
      </c>
      <c r="B1297" s="3" t="inlineStr">
        <is>
          <t>稽核組</t>
        </is>
      </c>
      <c r="C1297" s="4" t="n">
        <v>122</v>
      </c>
      <c r="D1297" s="10">
        <f>J1296</f>
        <v/>
      </c>
      <c r="E1297" s="4">
        <f>SUMIFS('01_異動主檔'!$F:$F,'01_異動主檔'!$B:$B,122,'01_異動主檔'!$D:$D,B1297,'01_異動主檔'!$E:$E,"移入")</f>
        <v/>
      </c>
      <c r="F1297" s="4">
        <f>-SUMIFS('01_異動主檔'!$F:$F,'01_異動主檔'!$B:$B,122,'01_異動主檔'!$D:$D,B1297,'01_異動主檔'!$E:$E,"移出")</f>
        <v/>
      </c>
      <c r="G1297" s="4">
        <f>SUMIFS('01_異動主檔'!$F:$F,'01_異動主檔'!$B:$B,122,'01_異動主檔'!$D:$D,B1297,'01_異動主檔'!$E:$E,"新增")</f>
        <v/>
      </c>
      <c r="H1297" s="4">
        <f>-SUMIFS('01_異動主檔'!$F:$F,'01_異動主檔'!$B:$B,122,'01_異動主檔'!$D:$D,B1297,'01_異動主檔'!$E:$E,"減列")</f>
        <v/>
      </c>
      <c r="I1297" s="4">
        <f>-SUMIFS('01_異動主檔'!$F:$F,'01_異動主檔'!$B:$B,122,'01_異動主檔'!$D:$D,B1297,'01_異動主檔'!$E:$E,"精簡")</f>
        <v/>
      </c>
      <c r="J1297" s="10">
        <f>D1297+E1297+F1297+G1297+H1297+I1297</f>
        <v/>
      </c>
    </row>
    <row r="1298" ht="18" customHeight="1">
      <c r="A1298" s="6" t="inlineStr">
        <is>
          <t>F008</t>
        </is>
      </c>
      <c r="B1298" s="5" t="inlineStr">
        <is>
          <t>稽核組</t>
        </is>
      </c>
      <c r="C1298" s="6" t="n">
        <v>123</v>
      </c>
      <c r="D1298" s="10">
        <f>J1297</f>
        <v/>
      </c>
      <c r="E1298" s="4">
        <f>SUMIFS('01_異動主檔'!$F:$F,'01_異動主檔'!$B:$B,123,'01_異動主檔'!$D:$D,B1298,'01_異動主檔'!$E:$E,"移入")</f>
        <v/>
      </c>
      <c r="F1298" s="4">
        <f>-SUMIFS('01_異動主檔'!$F:$F,'01_異動主檔'!$B:$B,123,'01_異動主檔'!$D:$D,B1298,'01_異動主檔'!$E:$E,"移出")</f>
        <v/>
      </c>
      <c r="G1298" s="4">
        <f>SUMIFS('01_異動主檔'!$F:$F,'01_異動主檔'!$B:$B,123,'01_異動主檔'!$D:$D,B1298,'01_異動主檔'!$E:$E,"新增")</f>
        <v/>
      </c>
      <c r="H1298" s="4">
        <f>-SUMIFS('01_異動主檔'!$F:$F,'01_異動主檔'!$B:$B,123,'01_異動主檔'!$D:$D,B1298,'01_異動主檔'!$E:$E,"減列")</f>
        <v/>
      </c>
      <c r="I1298" s="4">
        <f>-SUMIFS('01_異動主檔'!$F:$F,'01_異動主檔'!$B:$B,123,'01_異動主檔'!$D:$D,B1298,'01_異動主檔'!$E:$E,"精簡")</f>
        <v/>
      </c>
      <c r="J1298" s="10">
        <f>D1298+E1298+F1298+G1298+H1298+I1298</f>
        <v/>
      </c>
    </row>
    <row r="1299" ht="18" customHeight="1">
      <c r="A1299" s="4" t="inlineStr">
        <is>
          <t>F008</t>
        </is>
      </c>
      <c r="B1299" s="3" t="inlineStr">
        <is>
          <t>稽核組</t>
        </is>
      </c>
      <c r="C1299" s="4" t="n">
        <v>124</v>
      </c>
      <c r="D1299" s="10">
        <f>J1298</f>
        <v/>
      </c>
      <c r="E1299" s="4">
        <f>SUMIFS('01_異動主檔'!$F:$F,'01_異動主檔'!$B:$B,124,'01_異動主檔'!$D:$D,B1299,'01_異動主檔'!$E:$E,"移入")</f>
        <v/>
      </c>
      <c r="F1299" s="4">
        <f>-SUMIFS('01_異動主檔'!$F:$F,'01_異動主檔'!$B:$B,124,'01_異動主檔'!$D:$D,B1299,'01_異動主檔'!$E:$E,"移出")</f>
        <v/>
      </c>
      <c r="G1299" s="4">
        <f>SUMIFS('01_異動主檔'!$F:$F,'01_異動主檔'!$B:$B,124,'01_異動主檔'!$D:$D,B1299,'01_異動主檔'!$E:$E,"新增")</f>
        <v/>
      </c>
      <c r="H1299" s="4">
        <f>-SUMIFS('01_異動主檔'!$F:$F,'01_異動主檔'!$B:$B,124,'01_異動主檔'!$D:$D,B1299,'01_異動主檔'!$E:$E,"減列")</f>
        <v/>
      </c>
      <c r="I1299" s="4">
        <f>-SUMIFS('01_異動主檔'!$F:$F,'01_異動主檔'!$B:$B,124,'01_異動主檔'!$D:$D,B1299,'01_異動主檔'!$E:$E,"精簡")</f>
        <v/>
      </c>
      <c r="J1299" s="10">
        <f>D1299+E1299+F1299+G1299+H1299+I1299</f>
        <v/>
      </c>
    </row>
    <row r="1300" ht="18" customHeight="1">
      <c r="A1300" s="6" t="inlineStr">
        <is>
          <t>F008</t>
        </is>
      </c>
      <c r="B1300" s="5" t="inlineStr">
        <is>
          <t>稽核組</t>
        </is>
      </c>
      <c r="C1300" s="6" t="n">
        <v>125</v>
      </c>
      <c r="D1300" s="10">
        <f>J1299</f>
        <v/>
      </c>
      <c r="E1300" s="4">
        <f>SUMIFS('01_異動主檔'!$F:$F,'01_異動主檔'!$B:$B,125,'01_異動主檔'!$D:$D,B1300,'01_異動主檔'!$E:$E,"移入")</f>
        <v/>
      </c>
      <c r="F1300" s="4">
        <f>-SUMIFS('01_異動主檔'!$F:$F,'01_異動主檔'!$B:$B,125,'01_異動主檔'!$D:$D,B1300,'01_異動主檔'!$E:$E,"移出")</f>
        <v/>
      </c>
      <c r="G1300" s="4">
        <f>SUMIFS('01_異動主檔'!$F:$F,'01_異動主檔'!$B:$B,125,'01_異動主檔'!$D:$D,B1300,'01_異動主檔'!$E:$E,"新增")</f>
        <v/>
      </c>
      <c r="H1300" s="4">
        <f>-SUMIFS('01_異動主檔'!$F:$F,'01_異動主檔'!$B:$B,125,'01_異動主檔'!$D:$D,B1300,'01_異動主檔'!$E:$E,"減列")</f>
        <v/>
      </c>
      <c r="I1300" s="4">
        <f>-SUMIFS('01_異動主檔'!$F:$F,'01_異動主檔'!$B:$B,125,'01_異動主檔'!$D:$D,B1300,'01_異動主檔'!$E:$E,"精簡")</f>
        <v/>
      </c>
      <c r="J1300" s="10">
        <f>D1300+E1300+F1300+G1300+H1300+I1300</f>
        <v/>
      </c>
    </row>
    <row r="1301" ht="18" customHeight="1">
      <c r="A1301" s="4" t="inlineStr">
        <is>
          <t>G001</t>
        </is>
      </c>
      <c r="B1301" s="3" t="inlineStr">
        <is>
          <t>中部辦公室</t>
        </is>
      </c>
      <c r="C1301" s="4" t="n">
        <v>99</v>
      </c>
      <c r="D1301" s="10">
        <f>'02_年初員額設定'!C53</f>
        <v/>
      </c>
      <c r="E1301" s="4">
        <f>SUMIFS('01_異動主檔'!$F:$F,'01_異動主檔'!$B:$B,99,'01_異動主檔'!$D:$D,B1301,'01_異動主檔'!$E:$E,"移入")</f>
        <v/>
      </c>
      <c r="F1301" s="4">
        <f>-SUMIFS('01_異動主檔'!$F:$F,'01_異動主檔'!$B:$B,99,'01_異動主檔'!$D:$D,B1301,'01_異動主檔'!$E:$E,"移出")</f>
        <v/>
      </c>
      <c r="G1301" s="4">
        <f>SUMIFS('01_異動主檔'!$F:$F,'01_異動主檔'!$B:$B,99,'01_異動主檔'!$D:$D,B1301,'01_異動主檔'!$E:$E,"新增")</f>
        <v/>
      </c>
      <c r="H1301" s="4">
        <f>-SUMIFS('01_異動主檔'!$F:$F,'01_異動主檔'!$B:$B,99,'01_異動主檔'!$D:$D,B1301,'01_異動主檔'!$E:$E,"減列")</f>
        <v/>
      </c>
      <c r="I1301" s="4">
        <f>-SUMIFS('01_異動主檔'!$F:$F,'01_異動主檔'!$B:$B,99,'01_異動主檔'!$D:$D,B1301,'01_異動主檔'!$E:$E,"精簡")</f>
        <v/>
      </c>
      <c r="J1301" s="10">
        <f>D1301+E1301+F1301+G1301+H1301+I1301</f>
        <v/>
      </c>
    </row>
    <row r="1302" ht="18" customHeight="1">
      <c r="A1302" s="6" t="inlineStr">
        <is>
          <t>G001</t>
        </is>
      </c>
      <c r="B1302" s="5" t="inlineStr">
        <is>
          <t>中部辦公室</t>
        </is>
      </c>
      <c r="C1302" s="6" t="n">
        <v>100</v>
      </c>
      <c r="D1302" s="10">
        <f>J1301</f>
        <v/>
      </c>
      <c r="E1302" s="4">
        <f>SUMIFS('01_異動主檔'!$F:$F,'01_異動主檔'!$B:$B,100,'01_異動主檔'!$D:$D,B1302,'01_異動主檔'!$E:$E,"移入")</f>
        <v/>
      </c>
      <c r="F1302" s="4">
        <f>-SUMIFS('01_異動主檔'!$F:$F,'01_異動主檔'!$B:$B,100,'01_異動主檔'!$D:$D,B1302,'01_異動主檔'!$E:$E,"移出")</f>
        <v/>
      </c>
      <c r="G1302" s="4">
        <f>SUMIFS('01_異動主檔'!$F:$F,'01_異動主檔'!$B:$B,100,'01_異動主檔'!$D:$D,B1302,'01_異動主檔'!$E:$E,"新增")</f>
        <v/>
      </c>
      <c r="H1302" s="4">
        <f>-SUMIFS('01_異動主檔'!$F:$F,'01_異動主檔'!$B:$B,100,'01_異動主檔'!$D:$D,B1302,'01_異動主檔'!$E:$E,"減列")</f>
        <v/>
      </c>
      <c r="I1302" s="4">
        <f>-SUMIFS('01_異動主檔'!$F:$F,'01_異動主檔'!$B:$B,100,'01_異動主檔'!$D:$D,B1302,'01_異動主檔'!$E:$E,"精簡")</f>
        <v/>
      </c>
      <c r="J1302" s="10">
        <f>D1302+E1302+F1302+G1302+H1302+I1302</f>
        <v/>
      </c>
    </row>
    <row r="1303" ht="18" customHeight="1">
      <c r="A1303" s="4" t="inlineStr">
        <is>
          <t>G001</t>
        </is>
      </c>
      <c r="B1303" s="3" t="inlineStr">
        <is>
          <t>中部辦公室</t>
        </is>
      </c>
      <c r="C1303" s="4" t="n">
        <v>101</v>
      </c>
      <c r="D1303" s="10">
        <f>J1302</f>
        <v/>
      </c>
      <c r="E1303" s="4">
        <f>SUMIFS('01_異動主檔'!$F:$F,'01_異動主檔'!$B:$B,101,'01_異動主檔'!$D:$D,B1303,'01_異動主檔'!$E:$E,"移入")</f>
        <v/>
      </c>
      <c r="F1303" s="4">
        <f>-SUMIFS('01_異動主檔'!$F:$F,'01_異動主檔'!$B:$B,101,'01_異動主檔'!$D:$D,B1303,'01_異動主檔'!$E:$E,"移出")</f>
        <v/>
      </c>
      <c r="G1303" s="4">
        <f>SUMIFS('01_異動主檔'!$F:$F,'01_異動主檔'!$B:$B,101,'01_異動主檔'!$D:$D,B1303,'01_異動主檔'!$E:$E,"新增")</f>
        <v/>
      </c>
      <c r="H1303" s="4">
        <f>-SUMIFS('01_異動主檔'!$F:$F,'01_異動主檔'!$B:$B,101,'01_異動主檔'!$D:$D,B1303,'01_異動主檔'!$E:$E,"減列")</f>
        <v/>
      </c>
      <c r="I1303" s="4">
        <f>-SUMIFS('01_異動主檔'!$F:$F,'01_異動主檔'!$B:$B,101,'01_異動主檔'!$D:$D,B1303,'01_異動主檔'!$E:$E,"精簡")</f>
        <v/>
      </c>
      <c r="J1303" s="10">
        <f>D1303+E1303+F1303+G1303+H1303+I1303</f>
        <v/>
      </c>
    </row>
    <row r="1304" ht="18" customHeight="1">
      <c r="A1304" s="6" t="inlineStr">
        <is>
          <t>G001</t>
        </is>
      </c>
      <c r="B1304" s="5" t="inlineStr">
        <is>
          <t>中部辦公室</t>
        </is>
      </c>
      <c r="C1304" s="6" t="n">
        <v>102</v>
      </c>
      <c r="D1304" s="10">
        <f>J1303</f>
        <v/>
      </c>
      <c r="E1304" s="4">
        <f>SUMIFS('01_異動主檔'!$F:$F,'01_異動主檔'!$B:$B,102,'01_異動主檔'!$D:$D,B1304,'01_異動主檔'!$E:$E,"移入")</f>
        <v/>
      </c>
      <c r="F1304" s="4">
        <f>-SUMIFS('01_異動主檔'!$F:$F,'01_異動主檔'!$B:$B,102,'01_異動主檔'!$D:$D,B1304,'01_異動主檔'!$E:$E,"移出")</f>
        <v/>
      </c>
      <c r="G1304" s="4">
        <f>SUMIFS('01_異動主檔'!$F:$F,'01_異動主檔'!$B:$B,102,'01_異動主檔'!$D:$D,B1304,'01_異動主檔'!$E:$E,"新增")</f>
        <v/>
      </c>
      <c r="H1304" s="4">
        <f>-SUMIFS('01_異動主檔'!$F:$F,'01_異動主檔'!$B:$B,102,'01_異動主檔'!$D:$D,B1304,'01_異動主檔'!$E:$E,"減列")</f>
        <v/>
      </c>
      <c r="I1304" s="4">
        <f>-SUMIFS('01_異動主檔'!$F:$F,'01_異動主檔'!$B:$B,102,'01_異動主檔'!$D:$D,B1304,'01_異動主檔'!$E:$E,"精簡")</f>
        <v/>
      </c>
      <c r="J1304" s="10">
        <f>D1304+E1304+F1304+G1304+H1304+I1304</f>
        <v/>
      </c>
    </row>
    <row r="1305" ht="18" customHeight="1">
      <c r="A1305" s="4" t="inlineStr">
        <is>
          <t>G001</t>
        </is>
      </c>
      <c r="B1305" s="3" t="inlineStr">
        <is>
          <t>中部辦公室</t>
        </is>
      </c>
      <c r="C1305" s="4" t="n">
        <v>103</v>
      </c>
      <c r="D1305" s="10">
        <f>J1304</f>
        <v/>
      </c>
      <c r="E1305" s="4">
        <f>SUMIFS('01_異動主檔'!$F:$F,'01_異動主檔'!$B:$B,103,'01_異動主檔'!$D:$D,B1305,'01_異動主檔'!$E:$E,"移入")</f>
        <v/>
      </c>
      <c r="F1305" s="4">
        <f>-SUMIFS('01_異動主檔'!$F:$F,'01_異動主檔'!$B:$B,103,'01_異動主檔'!$D:$D,B1305,'01_異動主檔'!$E:$E,"移出")</f>
        <v/>
      </c>
      <c r="G1305" s="4">
        <f>SUMIFS('01_異動主檔'!$F:$F,'01_異動主檔'!$B:$B,103,'01_異動主檔'!$D:$D,B1305,'01_異動主檔'!$E:$E,"新增")</f>
        <v/>
      </c>
      <c r="H1305" s="4">
        <f>-SUMIFS('01_異動主檔'!$F:$F,'01_異動主檔'!$B:$B,103,'01_異動主檔'!$D:$D,B1305,'01_異動主檔'!$E:$E,"減列")</f>
        <v/>
      </c>
      <c r="I1305" s="4">
        <f>-SUMIFS('01_異動主檔'!$F:$F,'01_異動主檔'!$B:$B,103,'01_異動主檔'!$D:$D,B1305,'01_異動主檔'!$E:$E,"精簡")</f>
        <v/>
      </c>
      <c r="J1305" s="10">
        <f>D1305+E1305+F1305+G1305+H1305+I1305</f>
        <v/>
      </c>
    </row>
    <row r="1306" ht="18" customHeight="1">
      <c r="A1306" s="6" t="inlineStr">
        <is>
          <t>G001</t>
        </is>
      </c>
      <c r="B1306" s="5" t="inlineStr">
        <is>
          <t>中部辦公室</t>
        </is>
      </c>
      <c r="C1306" s="6" t="n">
        <v>104</v>
      </c>
      <c r="D1306" s="10">
        <f>J1305</f>
        <v/>
      </c>
      <c r="E1306" s="4">
        <f>SUMIFS('01_異動主檔'!$F:$F,'01_異動主檔'!$B:$B,104,'01_異動主檔'!$D:$D,B1306,'01_異動主檔'!$E:$E,"移入")</f>
        <v/>
      </c>
      <c r="F1306" s="4">
        <f>-SUMIFS('01_異動主檔'!$F:$F,'01_異動主檔'!$B:$B,104,'01_異動主檔'!$D:$D,B1306,'01_異動主檔'!$E:$E,"移出")</f>
        <v/>
      </c>
      <c r="G1306" s="4">
        <f>SUMIFS('01_異動主檔'!$F:$F,'01_異動主檔'!$B:$B,104,'01_異動主檔'!$D:$D,B1306,'01_異動主檔'!$E:$E,"新增")</f>
        <v/>
      </c>
      <c r="H1306" s="4">
        <f>-SUMIFS('01_異動主檔'!$F:$F,'01_異動主檔'!$B:$B,104,'01_異動主檔'!$D:$D,B1306,'01_異動主檔'!$E:$E,"減列")</f>
        <v/>
      </c>
      <c r="I1306" s="4">
        <f>-SUMIFS('01_異動主檔'!$F:$F,'01_異動主檔'!$B:$B,104,'01_異動主檔'!$D:$D,B1306,'01_異動主檔'!$E:$E,"精簡")</f>
        <v/>
      </c>
      <c r="J1306" s="10">
        <f>D1306+E1306+F1306+G1306+H1306+I1306</f>
        <v/>
      </c>
    </row>
    <row r="1307" ht="18" customHeight="1">
      <c r="A1307" s="4" t="inlineStr">
        <is>
          <t>G001</t>
        </is>
      </c>
      <c r="B1307" s="3" t="inlineStr">
        <is>
          <t>中部辦公室</t>
        </is>
      </c>
      <c r="C1307" s="4" t="n">
        <v>105</v>
      </c>
      <c r="D1307" s="10">
        <f>J1306</f>
        <v/>
      </c>
      <c r="E1307" s="4">
        <f>SUMIFS('01_異動主檔'!$F:$F,'01_異動主檔'!$B:$B,105,'01_異動主檔'!$D:$D,B1307,'01_異動主檔'!$E:$E,"移入")</f>
        <v/>
      </c>
      <c r="F1307" s="4">
        <f>-SUMIFS('01_異動主檔'!$F:$F,'01_異動主檔'!$B:$B,105,'01_異動主檔'!$D:$D,B1307,'01_異動主檔'!$E:$E,"移出")</f>
        <v/>
      </c>
      <c r="G1307" s="4">
        <f>SUMIFS('01_異動主檔'!$F:$F,'01_異動主檔'!$B:$B,105,'01_異動主檔'!$D:$D,B1307,'01_異動主檔'!$E:$E,"新增")</f>
        <v/>
      </c>
      <c r="H1307" s="4">
        <f>-SUMIFS('01_異動主檔'!$F:$F,'01_異動主檔'!$B:$B,105,'01_異動主檔'!$D:$D,B1307,'01_異動主檔'!$E:$E,"減列")</f>
        <v/>
      </c>
      <c r="I1307" s="4">
        <f>-SUMIFS('01_異動主檔'!$F:$F,'01_異動主檔'!$B:$B,105,'01_異動主檔'!$D:$D,B1307,'01_異動主檔'!$E:$E,"精簡")</f>
        <v/>
      </c>
      <c r="J1307" s="10">
        <f>D1307+E1307+F1307+G1307+H1307+I1307</f>
        <v/>
      </c>
    </row>
    <row r="1308" ht="18" customHeight="1">
      <c r="A1308" s="6" t="inlineStr">
        <is>
          <t>G001</t>
        </is>
      </c>
      <c r="B1308" s="5" t="inlineStr">
        <is>
          <t>中部辦公室</t>
        </is>
      </c>
      <c r="C1308" s="6" t="n">
        <v>106</v>
      </c>
      <c r="D1308" s="10">
        <f>J1307</f>
        <v/>
      </c>
      <c r="E1308" s="4">
        <f>SUMIFS('01_異動主檔'!$F:$F,'01_異動主檔'!$B:$B,106,'01_異動主檔'!$D:$D,B1308,'01_異動主檔'!$E:$E,"移入")</f>
        <v/>
      </c>
      <c r="F1308" s="4">
        <f>-SUMIFS('01_異動主檔'!$F:$F,'01_異動主檔'!$B:$B,106,'01_異動主檔'!$D:$D,B1308,'01_異動主檔'!$E:$E,"移出")</f>
        <v/>
      </c>
      <c r="G1308" s="4">
        <f>SUMIFS('01_異動主檔'!$F:$F,'01_異動主檔'!$B:$B,106,'01_異動主檔'!$D:$D,B1308,'01_異動主檔'!$E:$E,"新增")</f>
        <v/>
      </c>
      <c r="H1308" s="4">
        <f>-SUMIFS('01_異動主檔'!$F:$F,'01_異動主檔'!$B:$B,106,'01_異動主檔'!$D:$D,B1308,'01_異動主檔'!$E:$E,"減列")</f>
        <v/>
      </c>
      <c r="I1308" s="4">
        <f>-SUMIFS('01_異動主檔'!$F:$F,'01_異動主檔'!$B:$B,106,'01_異動主檔'!$D:$D,B1308,'01_異動主檔'!$E:$E,"精簡")</f>
        <v/>
      </c>
      <c r="J1308" s="10">
        <f>D1308+E1308+F1308+G1308+H1308+I1308</f>
        <v/>
      </c>
    </row>
    <row r="1309" ht="18" customHeight="1">
      <c r="A1309" s="4" t="inlineStr">
        <is>
          <t>G001</t>
        </is>
      </c>
      <c r="B1309" s="3" t="inlineStr">
        <is>
          <t>中部辦公室</t>
        </is>
      </c>
      <c r="C1309" s="4" t="n">
        <v>107</v>
      </c>
      <c r="D1309" s="10">
        <f>J1308</f>
        <v/>
      </c>
      <c r="E1309" s="4">
        <f>SUMIFS('01_異動主檔'!$F:$F,'01_異動主檔'!$B:$B,107,'01_異動主檔'!$D:$D,B1309,'01_異動主檔'!$E:$E,"移入")</f>
        <v/>
      </c>
      <c r="F1309" s="4">
        <f>-SUMIFS('01_異動主檔'!$F:$F,'01_異動主檔'!$B:$B,107,'01_異動主檔'!$D:$D,B1309,'01_異動主檔'!$E:$E,"移出")</f>
        <v/>
      </c>
      <c r="G1309" s="4">
        <f>SUMIFS('01_異動主檔'!$F:$F,'01_異動主檔'!$B:$B,107,'01_異動主檔'!$D:$D,B1309,'01_異動主檔'!$E:$E,"新增")</f>
        <v/>
      </c>
      <c r="H1309" s="4">
        <f>-SUMIFS('01_異動主檔'!$F:$F,'01_異動主檔'!$B:$B,107,'01_異動主檔'!$D:$D,B1309,'01_異動主檔'!$E:$E,"減列")</f>
        <v/>
      </c>
      <c r="I1309" s="4">
        <f>-SUMIFS('01_異動主檔'!$F:$F,'01_異動主檔'!$B:$B,107,'01_異動主檔'!$D:$D,B1309,'01_異動主檔'!$E:$E,"精簡")</f>
        <v/>
      </c>
      <c r="J1309" s="10">
        <f>D1309+E1309+F1309+G1309+H1309+I1309</f>
        <v/>
      </c>
    </row>
    <row r="1310" ht="18" customHeight="1">
      <c r="A1310" s="6" t="inlineStr">
        <is>
          <t>G001</t>
        </is>
      </c>
      <c r="B1310" s="5" t="inlineStr">
        <is>
          <t>中部辦公室</t>
        </is>
      </c>
      <c r="C1310" s="6" t="n">
        <v>108</v>
      </c>
      <c r="D1310" s="10">
        <f>J1309</f>
        <v/>
      </c>
      <c r="E1310" s="4">
        <f>SUMIFS('01_異動主檔'!$F:$F,'01_異動主檔'!$B:$B,108,'01_異動主檔'!$D:$D,B1310,'01_異動主檔'!$E:$E,"移入")</f>
        <v/>
      </c>
      <c r="F1310" s="4">
        <f>-SUMIFS('01_異動主檔'!$F:$F,'01_異動主檔'!$B:$B,108,'01_異動主檔'!$D:$D,B1310,'01_異動主檔'!$E:$E,"移出")</f>
        <v/>
      </c>
      <c r="G1310" s="4">
        <f>SUMIFS('01_異動主檔'!$F:$F,'01_異動主檔'!$B:$B,108,'01_異動主檔'!$D:$D,B1310,'01_異動主檔'!$E:$E,"新增")</f>
        <v/>
      </c>
      <c r="H1310" s="4">
        <f>-SUMIFS('01_異動主檔'!$F:$F,'01_異動主檔'!$B:$B,108,'01_異動主檔'!$D:$D,B1310,'01_異動主檔'!$E:$E,"減列")</f>
        <v/>
      </c>
      <c r="I1310" s="4">
        <f>-SUMIFS('01_異動主檔'!$F:$F,'01_異動主檔'!$B:$B,108,'01_異動主檔'!$D:$D,B1310,'01_異動主檔'!$E:$E,"精簡")</f>
        <v/>
      </c>
      <c r="J1310" s="10">
        <f>D1310+E1310+F1310+G1310+H1310+I1310</f>
        <v/>
      </c>
    </row>
    <row r="1311" ht="18" customHeight="1">
      <c r="A1311" s="4" t="inlineStr">
        <is>
          <t>G001</t>
        </is>
      </c>
      <c r="B1311" s="3" t="inlineStr">
        <is>
          <t>中部辦公室</t>
        </is>
      </c>
      <c r="C1311" s="4" t="n">
        <v>109</v>
      </c>
      <c r="D1311" s="10">
        <f>J1310</f>
        <v/>
      </c>
      <c r="E1311" s="4">
        <f>SUMIFS('01_異動主檔'!$F:$F,'01_異動主檔'!$B:$B,109,'01_異動主檔'!$D:$D,B1311,'01_異動主檔'!$E:$E,"移入")</f>
        <v/>
      </c>
      <c r="F1311" s="4">
        <f>-SUMIFS('01_異動主檔'!$F:$F,'01_異動主檔'!$B:$B,109,'01_異動主檔'!$D:$D,B1311,'01_異動主檔'!$E:$E,"移出")</f>
        <v/>
      </c>
      <c r="G1311" s="4">
        <f>SUMIFS('01_異動主檔'!$F:$F,'01_異動主檔'!$B:$B,109,'01_異動主檔'!$D:$D,B1311,'01_異動主檔'!$E:$E,"新增")</f>
        <v/>
      </c>
      <c r="H1311" s="4">
        <f>-SUMIFS('01_異動主檔'!$F:$F,'01_異動主檔'!$B:$B,109,'01_異動主檔'!$D:$D,B1311,'01_異動主檔'!$E:$E,"減列")</f>
        <v/>
      </c>
      <c r="I1311" s="4">
        <f>-SUMIFS('01_異動主檔'!$F:$F,'01_異動主檔'!$B:$B,109,'01_異動主檔'!$D:$D,B1311,'01_異動主檔'!$E:$E,"精簡")</f>
        <v/>
      </c>
      <c r="J1311" s="10">
        <f>D1311+E1311+F1311+G1311+H1311+I1311</f>
        <v/>
      </c>
    </row>
    <row r="1312" ht="18" customHeight="1">
      <c r="A1312" s="6" t="inlineStr">
        <is>
          <t>G001</t>
        </is>
      </c>
      <c r="B1312" s="5" t="inlineStr">
        <is>
          <t>中部辦公室</t>
        </is>
      </c>
      <c r="C1312" s="6" t="n">
        <v>110</v>
      </c>
      <c r="D1312" s="10">
        <f>J1311</f>
        <v/>
      </c>
      <c r="E1312" s="4">
        <f>SUMIFS('01_異動主檔'!$F:$F,'01_異動主檔'!$B:$B,110,'01_異動主檔'!$D:$D,B1312,'01_異動主檔'!$E:$E,"移入")</f>
        <v/>
      </c>
      <c r="F1312" s="4">
        <f>-SUMIFS('01_異動主檔'!$F:$F,'01_異動主檔'!$B:$B,110,'01_異動主檔'!$D:$D,B1312,'01_異動主檔'!$E:$E,"移出")</f>
        <v/>
      </c>
      <c r="G1312" s="4">
        <f>SUMIFS('01_異動主檔'!$F:$F,'01_異動主檔'!$B:$B,110,'01_異動主檔'!$D:$D,B1312,'01_異動主檔'!$E:$E,"新增")</f>
        <v/>
      </c>
      <c r="H1312" s="4">
        <f>-SUMIFS('01_異動主檔'!$F:$F,'01_異動主檔'!$B:$B,110,'01_異動主檔'!$D:$D,B1312,'01_異動主檔'!$E:$E,"減列")</f>
        <v/>
      </c>
      <c r="I1312" s="4">
        <f>-SUMIFS('01_異動主檔'!$F:$F,'01_異動主檔'!$B:$B,110,'01_異動主檔'!$D:$D,B1312,'01_異動主檔'!$E:$E,"精簡")</f>
        <v/>
      </c>
      <c r="J1312" s="10">
        <f>D1312+E1312+F1312+G1312+H1312+I1312</f>
        <v/>
      </c>
    </row>
    <row r="1313" ht="18" customHeight="1">
      <c r="A1313" s="4" t="inlineStr">
        <is>
          <t>G001</t>
        </is>
      </c>
      <c r="B1313" s="3" t="inlineStr">
        <is>
          <t>中部辦公室</t>
        </is>
      </c>
      <c r="C1313" s="4" t="n">
        <v>111</v>
      </c>
      <c r="D1313" s="10">
        <f>J1312</f>
        <v/>
      </c>
      <c r="E1313" s="4">
        <f>SUMIFS('01_異動主檔'!$F:$F,'01_異動主檔'!$B:$B,111,'01_異動主檔'!$D:$D,B1313,'01_異動主檔'!$E:$E,"移入")</f>
        <v/>
      </c>
      <c r="F1313" s="4">
        <f>-SUMIFS('01_異動主檔'!$F:$F,'01_異動主檔'!$B:$B,111,'01_異動主檔'!$D:$D,B1313,'01_異動主檔'!$E:$E,"移出")</f>
        <v/>
      </c>
      <c r="G1313" s="4">
        <f>SUMIFS('01_異動主檔'!$F:$F,'01_異動主檔'!$B:$B,111,'01_異動主檔'!$D:$D,B1313,'01_異動主檔'!$E:$E,"新增")</f>
        <v/>
      </c>
      <c r="H1313" s="4">
        <f>-SUMIFS('01_異動主檔'!$F:$F,'01_異動主檔'!$B:$B,111,'01_異動主檔'!$D:$D,B1313,'01_異動主檔'!$E:$E,"減列")</f>
        <v/>
      </c>
      <c r="I1313" s="4">
        <f>-SUMIFS('01_異動主檔'!$F:$F,'01_異動主檔'!$B:$B,111,'01_異動主檔'!$D:$D,B1313,'01_異動主檔'!$E:$E,"精簡")</f>
        <v/>
      </c>
      <c r="J1313" s="10">
        <f>D1313+E1313+F1313+G1313+H1313+I1313</f>
        <v/>
      </c>
    </row>
    <row r="1314" ht="18" customHeight="1">
      <c r="A1314" s="6" t="inlineStr">
        <is>
          <t>G001</t>
        </is>
      </c>
      <c r="B1314" s="5" t="inlineStr">
        <is>
          <t>中部辦公室</t>
        </is>
      </c>
      <c r="C1314" s="6" t="n">
        <v>112</v>
      </c>
      <c r="D1314" s="10">
        <f>J1313</f>
        <v/>
      </c>
      <c r="E1314" s="4">
        <f>SUMIFS('01_異動主檔'!$F:$F,'01_異動主檔'!$B:$B,112,'01_異動主檔'!$D:$D,B1314,'01_異動主檔'!$E:$E,"移入")</f>
        <v/>
      </c>
      <c r="F1314" s="4">
        <f>-SUMIFS('01_異動主檔'!$F:$F,'01_異動主檔'!$B:$B,112,'01_異動主檔'!$D:$D,B1314,'01_異動主檔'!$E:$E,"移出")</f>
        <v/>
      </c>
      <c r="G1314" s="4">
        <f>SUMIFS('01_異動主檔'!$F:$F,'01_異動主檔'!$B:$B,112,'01_異動主檔'!$D:$D,B1314,'01_異動主檔'!$E:$E,"新增")</f>
        <v/>
      </c>
      <c r="H1314" s="4">
        <f>-SUMIFS('01_異動主檔'!$F:$F,'01_異動主檔'!$B:$B,112,'01_異動主檔'!$D:$D,B1314,'01_異動主檔'!$E:$E,"減列")</f>
        <v/>
      </c>
      <c r="I1314" s="4">
        <f>-SUMIFS('01_異動主檔'!$F:$F,'01_異動主檔'!$B:$B,112,'01_異動主檔'!$D:$D,B1314,'01_異動主檔'!$E:$E,"精簡")</f>
        <v/>
      </c>
      <c r="J1314" s="10">
        <f>D1314+E1314+F1314+G1314+H1314+I1314</f>
        <v/>
      </c>
    </row>
    <row r="1315" ht="18" customHeight="1">
      <c r="A1315" s="4" t="inlineStr">
        <is>
          <t>G001</t>
        </is>
      </c>
      <c r="B1315" s="3" t="inlineStr">
        <is>
          <t>中部辦公室</t>
        </is>
      </c>
      <c r="C1315" s="4" t="n">
        <v>113</v>
      </c>
      <c r="D1315" s="10">
        <f>J1314</f>
        <v/>
      </c>
      <c r="E1315" s="4">
        <f>SUMIFS('01_異動主檔'!$F:$F,'01_異動主檔'!$B:$B,113,'01_異動主檔'!$D:$D,B1315,'01_異動主檔'!$E:$E,"移入")</f>
        <v/>
      </c>
      <c r="F1315" s="4">
        <f>-SUMIFS('01_異動主檔'!$F:$F,'01_異動主檔'!$B:$B,113,'01_異動主檔'!$D:$D,B1315,'01_異動主檔'!$E:$E,"移出")</f>
        <v/>
      </c>
      <c r="G1315" s="4">
        <f>SUMIFS('01_異動主檔'!$F:$F,'01_異動主檔'!$B:$B,113,'01_異動主檔'!$D:$D,B1315,'01_異動主檔'!$E:$E,"新增")</f>
        <v/>
      </c>
      <c r="H1315" s="4">
        <f>-SUMIFS('01_異動主檔'!$F:$F,'01_異動主檔'!$B:$B,113,'01_異動主檔'!$D:$D,B1315,'01_異動主檔'!$E:$E,"減列")</f>
        <v/>
      </c>
      <c r="I1315" s="4">
        <f>-SUMIFS('01_異動主檔'!$F:$F,'01_異動主檔'!$B:$B,113,'01_異動主檔'!$D:$D,B1315,'01_異動主檔'!$E:$E,"精簡")</f>
        <v/>
      </c>
      <c r="J1315" s="10">
        <f>D1315+E1315+F1315+G1315+H1315+I1315</f>
        <v/>
      </c>
    </row>
    <row r="1316" ht="18" customHeight="1">
      <c r="A1316" s="6" t="inlineStr">
        <is>
          <t>G001</t>
        </is>
      </c>
      <c r="B1316" s="5" t="inlineStr">
        <is>
          <t>中部辦公室</t>
        </is>
      </c>
      <c r="C1316" s="6" t="n">
        <v>114</v>
      </c>
      <c r="D1316" s="10">
        <f>J1315</f>
        <v/>
      </c>
      <c r="E1316" s="4">
        <f>SUMIFS('01_異動主檔'!$F:$F,'01_異動主檔'!$B:$B,114,'01_異動主檔'!$D:$D,B1316,'01_異動主檔'!$E:$E,"移入")</f>
        <v/>
      </c>
      <c r="F1316" s="4">
        <f>-SUMIFS('01_異動主檔'!$F:$F,'01_異動主檔'!$B:$B,114,'01_異動主檔'!$D:$D,B1316,'01_異動主檔'!$E:$E,"移出")</f>
        <v/>
      </c>
      <c r="G1316" s="4">
        <f>SUMIFS('01_異動主檔'!$F:$F,'01_異動主檔'!$B:$B,114,'01_異動主檔'!$D:$D,B1316,'01_異動主檔'!$E:$E,"新增")</f>
        <v/>
      </c>
      <c r="H1316" s="4">
        <f>-SUMIFS('01_異動主檔'!$F:$F,'01_異動主檔'!$B:$B,114,'01_異動主檔'!$D:$D,B1316,'01_異動主檔'!$E:$E,"減列")</f>
        <v/>
      </c>
      <c r="I1316" s="4">
        <f>-SUMIFS('01_異動主檔'!$F:$F,'01_異動主檔'!$B:$B,114,'01_異動主檔'!$D:$D,B1316,'01_異動主檔'!$E:$E,"精簡")</f>
        <v/>
      </c>
      <c r="J1316" s="10">
        <f>D1316+E1316+F1316+G1316+H1316+I1316</f>
        <v/>
      </c>
    </row>
    <row r="1317" ht="18" customHeight="1">
      <c r="A1317" s="4" t="inlineStr">
        <is>
          <t>G001</t>
        </is>
      </c>
      <c r="B1317" s="3" t="inlineStr">
        <is>
          <t>中部辦公室</t>
        </is>
      </c>
      <c r="C1317" s="4" t="n">
        <v>115</v>
      </c>
      <c r="D1317" s="10">
        <f>J1316</f>
        <v/>
      </c>
      <c r="E1317" s="4">
        <f>SUMIFS('01_異動主檔'!$F:$F,'01_異動主檔'!$B:$B,115,'01_異動主檔'!$D:$D,B1317,'01_異動主檔'!$E:$E,"移入")</f>
        <v/>
      </c>
      <c r="F1317" s="4">
        <f>-SUMIFS('01_異動主檔'!$F:$F,'01_異動主檔'!$B:$B,115,'01_異動主檔'!$D:$D,B1317,'01_異動主檔'!$E:$E,"移出")</f>
        <v/>
      </c>
      <c r="G1317" s="4">
        <f>SUMIFS('01_異動主檔'!$F:$F,'01_異動主檔'!$B:$B,115,'01_異動主檔'!$D:$D,B1317,'01_異動主檔'!$E:$E,"新增")</f>
        <v/>
      </c>
      <c r="H1317" s="4">
        <f>-SUMIFS('01_異動主檔'!$F:$F,'01_異動主檔'!$B:$B,115,'01_異動主檔'!$D:$D,B1317,'01_異動主檔'!$E:$E,"減列")</f>
        <v/>
      </c>
      <c r="I1317" s="4">
        <f>-SUMIFS('01_異動主檔'!$F:$F,'01_異動主檔'!$B:$B,115,'01_異動主檔'!$D:$D,B1317,'01_異動主檔'!$E:$E,"精簡")</f>
        <v/>
      </c>
      <c r="J1317" s="10">
        <f>D1317+E1317+F1317+G1317+H1317+I1317</f>
        <v/>
      </c>
    </row>
    <row r="1318" ht="18" customHeight="1">
      <c r="A1318" s="6" t="inlineStr">
        <is>
          <t>G001</t>
        </is>
      </c>
      <c r="B1318" s="5" t="inlineStr">
        <is>
          <t>中部辦公室</t>
        </is>
      </c>
      <c r="C1318" s="6" t="n">
        <v>116</v>
      </c>
      <c r="D1318" s="10">
        <f>J1317</f>
        <v/>
      </c>
      <c r="E1318" s="4">
        <f>SUMIFS('01_異動主檔'!$F:$F,'01_異動主檔'!$B:$B,116,'01_異動主檔'!$D:$D,B1318,'01_異動主檔'!$E:$E,"移入")</f>
        <v/>
      </c>
      <c r="F1318" s="4">
        <f>-SUMIFS('01_異動主檔'!$F:$F,'01_異動主檔'!$B:$B,116,'01_異動主檔'!$D:$D,B1318,'01_異動主檔'!$E:$E,"移出")</f>
        <v/>
      </c>
      <c r="G1318" s="4">
        <f>SUMIFS('01_異動主檔'!$F:$F,'01_異動主檔'!$B:$B,116,'01_異動主檔'!$D:$D,B1318,'01_異動主檔'!$E:$E,"新增")</f>
        <v/>
      </c>
      <c r="H1318" s="4">
        <f>-SUMIFS('01_異動主檔'!$F:$F,'01_異動主檔'!$B:$B,116,'01_異動主檔'!$D:$D,B1318,'01_異動主檔'!$E:$E,"減列")</f>
        <v/>
      </c>
      <c r="I1318" s="4">
        <f>-SUMIFS('01_異動主檔'!$F:$F,'01_異動主檔'!$B:$B,116,'01_異動主檔'!$D:$D,B1318,'01_異動主檔'!$E:$E,"精簡")</f>
        <v/>
      </c>
      <c r="J1318" s="10">
        <f>D1318+E1318+F1318+G1318+H1318+I1318</f>
        <v/>
      </c>
    </row>
    <row r="1319" ht="18" customHeight="1">
      <c r="A1319" s="4" t="inlineStr">
        <is>
          <t>G001</t>
        </is>
      </c>
      <c r="B1319" s="3" t="inlineStr">
        <is>
          <t>中部辦公室</t>
        </is>
      </c>
      <c r="C1319" s="4" t="n">
        <v>117</v>
      </c>
      <c r="D1319" s="10">
        <f>J1318</f>
        <v/>
      </c>
      <c r="E1319" s="4">
        <f>SUMIFS('01_異動主檔'!$F:$F,'01_異動主檔'!$B:$B,117,'01_異動主檔'!$D:$D,B1319,'01_異動主檔'!$E:$E,"移入")</f>
        <v/>
      </c>
      <c r="F1319" s="4">
        <f>-SUMIFS('01_異動主檔'!$F:$F,'01_異動主檔'!$B:$B,117,'01_異動主檔'!$D:$D,B1319,'01_異動主檔'!$E:$E,"移出")</f>
        <v/>
      </c>
      <c r="G1319" s="4">
        <f>SUMIFS('01_異動主檔'!$F:$F,'01_異動主檔'!$B:$B,117,'01_異動主檔'!$D:$D,B1319,'01_異動主檔'!$E:$E,"新增")</f>
        <v/>
      </c>
      <c r="H1319" s="4">
        <f>-SUMIFS('01_異動主檔'!$F:$F,'01_異動主檔'!$B:$B,117,'01_異動主檔'!$D:$D,B1319,'01_異動主檔'!$E:$E,"減列")</f>
        <v/>
      </c>
      <c r="I1319" s="4">
        <f>-SUMIFS('01_異動主檔'!$F:$F,'01_異動主檔'!$B:$B,117,'01_異動主檔'!$D:$D,B1319,'01_異動主檔'!$E:$E,"精簡")</f>
        <v/>
      </c>
      <c r="J1319" s="10">
        <f>D1319+E1319+F1319+G1319+H1319+I1319</f>
        <v/>
      </c>
    </row>
    <row r="1320" ht="18" customHeight="1">
      <c r="A1320" s="6" t="inlineStr">
        <is>
          <t>G001</t>
        </is>
      </c>
      <c r="B1320" s="5" t="inlineStr">
        <is>
          <t>中部辦公室</t>
        </is>
      </c>
      <c r="C1320" s="6" t="n">
        <v>118</v>
      </c>
      <c r="D1320" s="10">
        <f>J1319</f>
        <v/>
      </c>
      <c r="E1320" s="4">
        <f>SUMIFS('01_異動主檔'!$F:$F,'01_異動主檔'!$B:$B,118,'01_異動主檔'!$D:$D,B1320,'01_異動主檔'!$E:$E,"移入")</f>
        <v/>
      </c>
      <c r="F1320" s="4">
        <f>-SUMIFS('01_異動主檔'!$F:$F,'01_異動主檔'!$B:$B,118,'01_異動主檔'!$D:$D,B1320,'01_異動主檔'!$E:$E,"移出")</f>
        <v/>
      </c>
      <c r="G1320" s="4">
        <f>SUMIFS('01_異動主檔'!$F:$F,'01_異動主檔'!$B:$B,118,'01_異動主檔'!$D:$D,B1320,'01_異動主檔'!$E:$E,"新增")</f>
        <v/>
      </c>
      <c r="H1320" s="4">
        <f>-SUMIFS('01_異動主檔'!$F:$F,'01_異動主檔'!$B:$B,118,'01_異動主檔'!$D:$D,B1320,'01_異動主檔'!$E:$E,"減列")</f>
        <v/>
      </c>
      <c r="I1320" s="4">
        <f>-SUMIFS('01_異動主檔'!$F:$F,'01_異動主檔'!$B:$B,118,'01_異動主檔'!$D:$D,B1320,'01_異動主檔'!$E:$E,"精簡")</f>
        <v/>
      </c>
      <c r="J1320" s="10">
        <f>D1320+E1320+F1320+G1320+H1320+I1320</f>
        <v/>
      </c>
    </row>
    <row r="1321" ht="18" customHeight="1">
      <c r="A1321" s="4" t="inlineStr">
        <is>
          <t>G001</t>
        </is>
      </c>
      <c r="B1321" s="3" t="inlineStr">
        <is>
          <t>中部辦公室</t>
        </is>
      </c>
      <c r="C1321" s="4" t="n">
        <v>119</v>
      </c>
      <c r="D1321" s="10">
        <f>J1320</f>
        <v/>
      </c>
      <c r="E1321" s="4">
        <f>SUMIFS('01_異動主檔'!$F:$F,'01_異動主檔'!$B:$B,119,'01_異動主檔'!$D:$D,B1321,'01_異動主檔'!$E:$E,"移入")</f>
        <v/>
      </c>
      <c r="F1321" s="4">
        <f>-SUMIFS('01_異動主檔'!$F:$F,'01_異動主檔'!$B:$B,119,'01_異動主檔'!$D:$D,B1321,'01_異動主檔'!$E:$E,"移出")</f>
        <v/>
      </c>
      <c r="G1321" s="4">
        <f>SUMIFS('01_異動主檔'!$F:$F,'01_異動主檔'!$B:$B,119,'01_異動主檔'!$D:$D,B1321,'01_異動主檔'!$E:$E,"新增")</f>
        <v/>
      </c>
      <c r="H1321" s="4">
        <f>-SUMIFS('01_異動主檔'!$F:$F,'01_異動主檔'!$B:$B,119,'01_異動主檔'!$D:$D,B1321,'01_異動主檔'!$E:$E,"減列")</f>
        <v/>
      </c>
      <c r="I1321" s="4">
        <f>-SUMIFS('01_異動主檔'!$F:$F,'01_異動主檔'!$B:$B,119,'01_異動主檔'!$D:$D,B1321,'01_異動主檔'!$E:$E,"精簡")</f>
        <v/>
      </c>
      <c r="J1321" s="10">
        <f>D1321+E1321+F1321+G1321+H1321+I1321</f>
        <v/>
      </c>
    </row>
    <row r="1322" ht="18" customHeight="1">
      <c r="A1322" s="6" t="inlineStr">
        <is>
          <t>G001</t>
        </is>
      </c>
      <c r="B1322" s="5" t="inlineStr">
        <is>
          <t>中部辦公室</t>
        </is>
      </c>
      <c r="C1322" s="6" t="n">
        <v>120</v>
      </c>
      <c r="D1322" s="10">
        <f>J1321</f>
        <v/>
      </c>
      <c r="E1322" s="4">
        <f>SUMIFS('01_異動主檔'!$F:$F,'01_異動主檔'!$B:$B,120,'01_異動主檔'!$D:$D,B1322,'01_異動主檔'!$E:$E,"移入")</f>
        <v/>
      </c>
      <c r="F1322" s="4">
        <f>-SUMIFS('01_異動主檔'!$F:$F,'01_異動主檔'!$B:$B,120,'01_異動主檔'!$D:$D,B1322,'01_異動主檔'!$E:$E,"移出")</f>
        <v/>
      </c>
      <c r="G1322" s="4">
        <f>SUMIFS('01_異動主檔'!$F:$F,'01_異動主檔'!$B:$B,120,'01_異動主檔'!$D:$D,B1322,'01_異動主檔'!$E:$E,"新增")</f>
        <v/>
      </c>
      <c r="H1322" s="4">
        <f>-SUMIFS('01_異動主檔'!$F:$F,'01_異動主檔'!$B:$B,120,'01_異動主檔'!$D:$D,B1322,'01_異動主檔'!$E:$E,"減列")</f>
        <v/>
      </c>
      <c r="I1322" s="4">
        <f>-SUMIFS('01_異動主檔'!$F:$F,'01_異動主檔'!$B:$B,120,'01_異動主檔'!$D:$D,B1322,'01_異動主檔'!$E:$E,"精簡")</f>
        <v/>
      </c>
      <c r="J1322" s="10">
        <f>D1322+E1322+F1322+G1322+H1322+I1322</f>
        <v/>
      </c>
    </row>
    <row r="1323" ht="18" customHeight="1">
      <c r="A1323" s="4" t="inlineStr">
        <is>
          <t>G001</t>
        </is>
      </c>
      <c r="B1323" s="3" t="inlineStr">
        <is>
          <t>中部辦公室</t>
        </is>
      </c>
      <c r="C1323" s="4" t="n">
        <v>121</v>
      </c>
      <c r="D1323" s="10">
        <f>J1322</f>
        <v/>
      </c>
      <c r="E1323" s="4">
        <f>SUMIFS('01_異動主檔'!$F:$F,'01_異動主檔'!$B:$B,121,'01_異動主檔'!$D:$D,B1323,'01_異動主檔'!$E:$E,"移入")</f>
        <v/>
      </c>
      <c r="F1323" s="4">
        <f>-SUMIFS('01_異動主檔'!$F:$F,'01_異動主檔'!$B:$B,121,'01_異動主檔'!$D:$D,B1323,'01_異動主檔'!$E:$E,"移出")</f>
        <v/>
      </c>
      <c r="G1323" s="4">
        <f>SUMIFS('01_異動主檔'!$F:$F,'01_異動主檔'!$B:$B,121,'01_異動主檔'!$D:$D,B1323,'01_異動主檔'!$E:$E,"新增")</f>
        <v/>
      </c>
      <c r="H1323" s="4">
        <f>-SUMIFS('01_異動主檔'!$F:$F,'01_異動主檔'!$B:$B,121,'01_異動主檔'!$D:$D,B1323,'01_異動主檔'!$E:$E,"減列")</f>
        <v/>
      </c>
      <c r="I1323" s="4">
        <f>-SUMIFS('01_異動主檔'!$F:$F,'01_異動主檔'!$B:$B,121,'01_異動主檔'!$D:$D,B1323,'01_異動主檔'!$E:$E,"精簡")</f>
        <v/>
      </c>
      <c r="J1323" s="10">
        <f>D1323+E1323+F1323+G1323+H1323+I1323</f>
        <v/>
      </c>
    </row>
    <row r="1324" ht="18" customHeight="1">
      <c r="A1324" s="6" t="inlineStr">
        <is>
          <t>G001</t>
        </is>
      </c>
      <c r="B1324" s="5" t="inlineStr">
        <is>
          <t>中部辦公室</t>
        </is>
      </c>
      <c r="C1324" s="6" t="n">
        <v>122</v>
      </c>
      <c r="D1324" s="10">
        <f>J1323</f>
        <v/>
      </c>
      <c r="E1324" s="4">
        <f>SUMIFS('01_異動主檔'!$F:$F,'01_異動主檔'!$B:$B,122,'01_異動主檔'!$D:$D,B1324,'01_異動主檔'!$E:$E,"移入")</f>
        <v/>
      </c>
      <c r="F1324" s="4">
        <f>-SUMIFS('01_異動主檔'!$F:$F,'01_異動主檔'!$B:$B,122,'01_異動主檔'!$D:$D,B1324,'01_異動主檔'!$E:$E,"移出")</f>
        <v/>
      </c>
      <c r="G1324" s="4">
        <f>SUMIFS('01_異動主檔'!$F:$F,'01_異動主檔'!$B:$B,122,'01_異動主檔'!$D:$D,B1324,'01_異動主檔'!$E:$E,"新增")</f>
        <v/>
      </c>
      <c r="H1324" s="4">
        <f>-SUMIFS('01_異動主檔'!$F:$F,'01_異動主檔'!$B:$B,122,'01_異動主檔'!$D:$D,B1324,'01_異動主檔'!$E:$E,"減列")</f>
        <v/>
      </c>
      <c r="I1324" s="4">
        <f>-SUMIFS('01_異動主檔'!$F:$F,'01_異動主檔'!$B:$B,122,'01_異動主檔'!$D:$D,B1324,'01_異動主檔'!$E:$E,"精簡")</f>
        <v/>
      </c>
      <c r="J1324" s="10">
        <f>D1324+E1324+F1324+G1324+H1324+I1324</f>
        <v/>
      </c>
    </row>
    <row r="1325" ht="18" customHeight="1">
      <c r="A1325" s="4" t="inlineStr">
        <is>
          <t>G001</t>
        </is>
      </c>
      <c r="B1325" s="3" t="inlineStr">
        <is>
          <t>中部辦公室</t>
        </is>
      </c>
      <c r="C1325" s="4" t="n">
        <v>123</v>
      </c>
      <c r="D1325" s="10">
        <f>J1324</f>
        <v/>
      </c>
      <c r="E1325" s="4">
        <f>SUMIFS('01_異動主檔'!$F:$F,'01_異動主檔'!$B:$B,123,'01_異動主檔'!$D:$D,B1325,'01_異動主檔'!$E:$E,"移入")</f>
        <v/>
      </c>
      <c r="F1325" s="4">
        <f>-SUMIFS('01_異動主檔'!$F:$F,'01_異動主檔'!$B:$B,123,'01_異動主檔'!$D:$D,B1325,'01_異動主檔'!$E:$E,"移出")</f>
        <v/>
      </c>
      <c r="G1325" s="4">
        <f>SUMIFS('01_異動主檔'!$F:$F,'01_異動主檔'!$B:$B,123,'01_異動主檔'!$D:$D,B1325,'01_異動主檔'!$E:$E,"新增")</f>
        <v/>
      </c>
      <c r="H1325" s="4">
        <f>-SUMIFS('01_異動主檔'!$F:$F,'01_異動主檔'!$B:$B,123,'01_異動主檔'!$D:$D,B1325,'01_異動主檔'!$E:$E,"減列")</f>
        <v/>
      </c>
      <c r="I1325" s="4">
        <f>-SUMIFS('01_異動主檔'!$F:$F,'01_異動主檔'!$B:$B,123,'01_異動主檔'!$D:$D,B1325,'01_異動主檔'!$E:$E,"精簡")</f>
        <v/>
      </c>
      <c r="J1325" s="10">
        <f>D1325+E1325+F1325+G1325+H1325+I1325</f>
        <v/>
      </c>
    </row>
    <row r="1326" ht="18" customHeight="1">
      <c r="A1326" s="6" t="inlineStr">
        <is>
          <t>G001</t>
        </is>
      </c>
      <c r="B1326" s="5" t="inlineStr">
        <is>
          <t>中部辦公室</t>
        </is>
      </c>
      <c r="C1326" s="6" t="n">
        <v>124</v>
      </c>
      <c r="D1326" s="10">
        <f>J1325</f>
        <v/>
      </c>
      <c r="E1326" s="4">
        <f>SUMIFS('01_異動主檔'!$F:$F,'01_異動主檔'!$B:$B,124,'01_異動主檔'!$D:$D,B1326,'01_異動主檔'!$E:$E,"移入")</f>
        <v/>
      </c>
      <c r="F1326" s="4">
        <f>-SUMIFS('01_異動主檔'!$F:$F,'01_異動主檔'!$B:$B,124,'01_異動主檔'!$D:$D,B1326,'01_異動主檔'!$E:$E,"移出")</f>
        <v/>
      </c>
      <c r="G1326" s="4">
        <f>SUMIFS('01_異動主檔'!$F:$F,'01_異動主檔'!$B:$B,124,'01_異動主檔'!$D:$D,B1326,'01_異動主檔'!$E:$E,"新增")</f>
        <v/>
      </c>
      <c r="H1326" s="4">
        <f>-SUMIFS('01_異動主檔'!$F:$F,'01_異動主檔'!$B:$B,124,'01_異動主檔'!$D:$D,B1326,'01_異動主檔'!$E:$E,"減列")</f>
        <v/>
      </c>
      <c r="I1326" s="4">
        <f>-SUMIFS('01_異動主檔'!$F:$F,'01_異動主檔'!$B:$B,124,'01_異動主檔'!$D:$D,B1326,'01_異動主檔'!$E:$E,"精簡")</f>
        <v/>
      </c>
      <c r="J1326" s="10">
        <f>D1326+E1326+F1326+G1326+H1326+I1326</f>
        <v/>
      </c>
    </row>
    <row r="1327" ht="18" customHeight="1">
      <c r="A1327" s="4" t="inlineStr">
        <is>
          <t>G001</t>
        </is>
      </c>
      <c r="B1327" s="3" t="inlineStr">
        <is>
          <t>中部辦公室</t>
        </is>
      </c>
      <c r="C1327" s="4" t="n">
        <v>125</v>
      </c>
      <c r="D1327" s="10">
        <f>J1326</f>
        <v/>
      </c>
      <c r="E1327" s="4">
        <f>SUMIFS('01_異動主檔'!$F:$F,'01_異動主檔'!$B:$B,125,'01_異動主檔'!$D:$D,B1327,'01_異動主檔'!$E:$E,"移入")</f>
        <v/>
      </c>
      <c r="F1327" s="4">
        <f>-SUMIFS('01_異動主檔'!$F:$F,'01_異動主檔'!$B:$B,125,'01_異動主檔'!$D:$D,B1327,'01_異動主檔'!$E:$E,"移出")</f>
        <v/>
      </c>
      <c r="G1327" s="4">
        <f>SUMIFS('01_異動主檔'!$F:$F,'01_異動主檔'!$B:$B,125,'01_異動主檔'!$D:$D,B1327,'01_異動主檔'!$E:$E,"新增")</f>
        <v/>
      </c>
      <c r="H1327" s="4">
        <f>-SUMIFS('01_異動主檔'!$F:$F,'01_異動主檔'!$B:$B,125,'01_異動主檔'!$D:$D,B1327,'01_異動主檔'!$E:$E,"減列")</f>
        <v/>
      </c>
      <c r="I1327" s="4">
        <f>-SUMIFS('01_異動主檔'!$F:$F,'01_異動主檔'!$B:$B,125,'01_異動主檔'!$D:$D,B1327,'01_異動主檔'!$E:$E,"精簡")</f>
        <v/>
      </c>
      <c r="J1327" s="10">
        <f>D1327+E1327+F1327+G1327+H1327+I1327</f>
        <v/>
      </c>
    </row>
    <row r="1328" ht="18" customHeight="1">
      <c r="A1328" s="6" t="inlineStr">
        <is>
          <t>G002</t>
        </is>
      </c>
      <c r="B1328" s="5" t="inlineStr">
        <is>
          <t>南部辦公室</t>
        </is>
      </c>
      <c r="C1328" s="6" t="n">
        <v>99</v>
      </c>
      <c r="D1328" s="10">
        <f>'02_年初員額設定'!C54</f>
        <v/>
      </c>
      <c r="E1328" s="4">
        <f>SUMIFS('01_異動主檔'!$F:$F,'01_異動主檔'!$B:$B,99,'01_異動主檔'!$D:$D,B1328,'01_異動主檔'!$E:$E,"移入")</f>
        <v/>
      </c>
      <c r="F1328" s="4">
        <f>-SUMIFS('01_異動主檔'!$F:$F,'01_異動主檔'!$B:$B,99,'01_異動主檔'!$D:$D,B1328,'01_異動主檔'!$E:$E,"移出")</f>
        <v/>
      </c>
      <c r="G1328" s="4">
        <f>SUMIFS('01_異動主檔'!$F:$F,'01_異動主檔'!$B:$B,99,'01_異動主檔'!$D:$D,B1328,'01_異動主檔'!$E:$E,"新增")</f>
        <v/>
      </c>
      <c r="H1328" s="4">
        <f>-SUMIFS('01_異動主檔'!$F:$F,'01_異動主檔'!$B:$B,99,'01_異動主檔'!$D:$D,B1328,'01_異動主檔'!$E:$E,"減列")</f>
        <v/>
      </c>
      <c r="I1328" s="4">
        <f>-SUMIFS('01_異動主檔'!$F:$F,'01_異動主檔'!$B:$B,99,'01_異動主檔'!$D:$D,B1328,'01_異動主檔'!$E:$E,"精簡")</f>
        <v/>
      </c>
      <c r="J1328" s="10">
        <f>D1328+E1328+F1328+G1328+H1328+I1328</f>
        <v/>
      </c>
    </row>
    <row r="1329" ht="18" customHeight="1">
      <c r="A1329" s="4" t="inlineStr">
        <is>
          <t>G002</t>
        </is>
      </c>
      <c r="B1329" s="3" t="inlineStr">
        <is>
          <t>南部辦公室</t>
        </is>
      </c>
      <c r="C1329" s="4" t="n">
        <v>100</v>
      </c>
      <c r="D1329" s="10">
        <f>J1328</f>
        <v/>
      </c>
      <c r="E1329" s="4">
        <f>SUMIFS('01_異動主檔'!$F:$F,'01_異動主檔'!$B:$B,100,'01_異動主檔'!$D:$D,B1329,'01_異動主檔'!$E:$E,"移入")</f>
        <v/>
      </c>
      <c r="F1329" s="4">
        <f>-SUMIFS('01_異動主檔'!$F:$F,'01_異動主檔'!$B:$B,100,'01_異動主檔'!$D:$D,B1329,'01_異動主檔'!$E:$E,"移出")</f>
        <v/>
      </c>
      <c r="G1329" s="4">
        <f>SUMIFS('01_異動主檔'!$F:$F,'01_異動主檔'!$B:$B,100,'01_異動主檔'!$D:$D,B1329,'01_異動主檔'!$E:$E,"新增")</f>
        <v/>
      </c>
      <c r="H1329" s="4">
        <f>-SUMIFS('01_異動主檔'!$F:$F,'01_異動主檔'!$B:$B,100,'01_異動主檔'!$D:$D,B1329,'01_異動主檔'!$E:$E,"減列")</f>
        <v/>
      </c>
      <c r="I1329" s="4">
        <f>-SUMIFS('01_異動主檔'!$F:$F,'01_異動主檔'!$B:$B,100,'01_異動主檔'!$D:$D,B1329,'01_異動主檔'!$E:$E,"精簡")</f>
        <v/>
      </c>
      <c r="J1329" s="10">
        <f>D1329+E1329+F1329+G1329+H1329+I1329</f>
        <v/>
      </c>
    </row>
    <row r="1330" ht="18" customHeight="1">
      <c r="A1330" s="6" t="inlineStr">
        <is>
          <t>G002</t>
        </is>
      </c>
      <c r="B1330" s="5" t="inlineStr">
        <is>
          <t>南部辦公室</t>
        </is>
      </c>
      <c r="C1330" s="6" t="n">
        <v>101</v>
      </c>
      <c r="D1330" s="10">
        <f>J1329</f>
        <v/>
      </c>
      <c r="E1330" s="4">
        <f>SUMIFS('01_異動主檔'!$F:$F,'01_異動主檔'!$B:$B,101,'01_異動主檔'!$D:$D,B1330,'01_異動主檔'!$E:$E,"移入")</f>
        <v/>
      </c>
      <c r="F1330" s="4">
        <f>-SUMIFS('01_異動主檔'!$F:$F,'01_異動主檔'!$B:$B,101,'01_異動主檔'!$D:$D,B1330,'01_異動主檔'!$E:$E,"移出")</f>
        <v/>
      </c>
      <c r="G1330" s="4">
        <f>SUMIFS('01_異動主檔'!$F:$F,'01_異動主檔'!$B:$B,101,'01_異動主檔'!$D:$D,B1330,'01_異動主檔'!$E:$E,"新增")</f>
        <v/>
      </c>
      <c r="H1330" s="4">
        <f>-SUMIFS('01_異動主檔'!$F:$F,'01_異動主檔'!$B:$B,101,'01_異動主檔'!$D:$D,B1330,'01_異動主檔'!$E:$E,"減列")</f>
        <v/>
      </c>
      <c r="I1330" s="4">
        <f>-SUMIFS('01_異動主檔'!$F:$F,'01_異動主檔'!$B:$B,101,'01_異動主檔'!$D:$D,B1330,'01_異動主檔'!$E:$E,"精簡")</f>
        <v/>
      </c>
      <c r="J1330" s="10">
        <f>D1330+E1330+F1330+G1330+H1330+I1330</f>
        <v/>
      </c>
    </row>
    <row r="1331" ht="18" customHeight="1">
      <c r="A1331" s="4" t="inlineStr">
        <is>
          <t>G002</t>
        </is>
      </c>
      <c r="B1331" s="3" t="inlineStr">
        <is>
          <t>南部辦公室</t>
        </is>
      </c>
      <c r="C1331" s="4" t="n">
        <v>102</v>
      </c>
      <c r="D1331" s="10">
        <f>J1330</f>
        <v/>
      </c>
      <c r="E1331" s="4">
        <f>SUMIFS('01_異動主檔'!$F:$F,'01_異動主檔'!$B:$B,102,'01_異動主檔'!$D:$D,B1331,'01_異動主檔'!$E:$E,"移入")</f>
        <v/>
      </c>
      <c r="F1331" s="4">
        <f>-SUMIFS('01_異動主檔'!$F:$F,'01_異動主檔'!$B:$B,102,'01_異動主檔'!$D:$D,B1331,'01_異動主檔'!$E:$E,"移出")</f>
        <v/>
      </c>
      <c r="G1331" s="4">
        <f>SUMIFS('01_異動主檔'!$F:$F,'01_異動主檔'!$B:$B,102,'01_異動主檔'!$D:$D,B1331,'01_異動主檔'!$E:$E,"新增")</f>
        <v/>
      </c>
      <c r="H1331" s="4">
        <f>-SUMIFS('01_異動主檔'!$F:$F,'01_異動主檔'!$B:$B,102,'01_異動主檔'!$D:$D,B1331,'01_異動主檔'!$E:$E,"減列")</f>
        <v/>
      </c>
      <c r="I1331" s="4">
        <f>-SUMIFS('01_異動主檔'!$F:$F,'01_異動主檔'!$B:$B,102,'01_異動主檔'!$D:$D,B1331,'01_異動主檔'!$E:$E,"精簡")</f>
        <v/>
      </c>
      <c r="J1331" s="10">
        <f>D1331+E1331+F1331+G1331+H1331+I1331</f>
        <v/>
      </c>
    </row>
    <row r="1332" ht="18" customHeight="1">
      <c r="A1332" s="6" t="inlineStr">
        <is>
          <t>G002</t>
        </is>
      </c>
      <c r="B1332" s="5" t="inlineStr">
        <is>
          <t>南部辦公室</t>
        </is>
      </c>
      <c r="C1332" s="6" t="n">
        <v>103</v>
      </c>
      <c r="D1332" s="10">
        <f>J1331</f>
        <v/>
      </c>
      <c r="E1332" s="4">
        <f>SUMIFS('01_異動主檔'!$F:$F,'01_異動主檔'!$B:$B,103,'01_異動主檔'!$D:$D,B1332,'01_異動主檔'!$E:$E,"移入")</f>
        <v/>
      </c>
      <c r="F1332" s="4">
        <f>-SUMIFS('01_異動主檔'!$F:$F,'01_異動主檔'!$B:$B,103,'01_異動主檔'!$D:$D,B1332,'01_異動主檔'!$E:$E,"移出")</f>
        <v/>
      </c>
      <c r="G1332" s="4">
        <f>SUMIFS('01_異動主檔'!$F:$F,'01_異動主檔'!$B:$B,103,'01_異動主檔'!$D:$D,B1332,'01_異動主檔'!$E:$E,"新增")</f>
        <v/>
      </c>
      <c r="H1332" s="4">
        <f>-SUMIFS('01_異動主檔'!$F:$F,'01_異動主檔'!$B:$B,103,'01_異動主檔'!$D:$D,B1332,'01_異動主檔'!$E:$E,"減列")</f>
        <v/>
      </c>
      <c r="I1332" s="4">
        <f>-SUMIFS('01_異動主檔'!$F:$F,'01_異動主檔'!$B:$B,103,'01_異動主檔'!$D:$D,B1332,'01_異動主檔'!$E:$E,"精簡")</f>
        <v/>
      </c>
      <c r="J1332" s="10">
        <f>D1332+E1332+F1332+G1332+H1332+I1332</f>
        <v/>
      </c>
    </row>
    <row r="1333" ht="18" customHeight="1">
      <c r="A1333" s="4" t="inlineStr">
        <is>
          <t>G002</t>
        </is>
      </c>
      <c r="B1333" s="3" t="inlineStr">
        <is>
          <t>南部辦公室</t>
        </is>
      </c>
      <c r="C1333" s="4" t="n">
        <v>104</v>
      </c>
      <c r="D1333" s="10">
        <f>J1332</f>
        <v/>
      </c>
      <c r="E1333" s="4">
        <f>SUMIFS('01_異動主檔'!$F:$F,'01_異動主檔'!$B:$B,104,'01_異動主檔'!$D:$D,B1333,'01_異動主檔'!$E:$E,"移入")</f>
        <v/>
      </c>
      <c r="F1333" s="4">
        <f>-SUMIFS('01_異動主檔'!$F:$F,'01_異動主檔'!$B:$B,104,'01_異動主檔'!$D:$D,B1333,'01_異動主檔'!$E:$E,"移出")</f>
        <v/>
      </c>
      <c r="G1333" s="4">
        <f>SUMIFS('01_異動主檔'!$F:$F,'01_異動主檔'!$B:$B,104,'01_異動主檔'!$D:$D,B1333,'01_異動主檔'!$E:$E,"新增")</f>
        <v/>
      </c>
      <c r="H1333" s="4">
        <f>-SUMIFS('01_異動主檔'!$F:$F,'01_異動主檔'!$B:$B,104,'01_異動主檔'!$D:$D,B1333,'01_異動主檔'!$E:$E,"減列")</f>
        <v/>
      </c>
      <c r="I1333" s="4">
        <f>-SUMIFS('01_異動主檔'!$F:$F,'01_異動主檔'!$B:$B,104,'01_異動主檔'!$D:$D,B1333,'01_異動主檔'!$E:$E,"精簡")</f>
        <v/>
      </c>
      <c r="J1333" s="10">
        <f>D1333+E1333+F1333+G1333+H1333+I1333</f>
        <v/>
      </c>
    </row>
    <row r="1334" ht="18" customHeight="1">
      <c r="A1334" s="6" t="inlineStr">
        <is>
          <t>G002</t>
        </is>
      </c>
      <c r="B1334" s="5" t="inlineStr">
        <is>
          <t>南部辦公室</t>
        </is>
      </c>
      <c r="C1334" s="6" t="n">
        <v>105</v>
      </c>
      <c r="D1334" s="10">
        <f>J1333</f>
        <v/>
      </c>
      <c r="E1334" s="4">
        <f>SUMIFS('01_異動主檔'!$F:$F,'01_異動主檔'!$B:$B,105,'01_異動主檔'!$D:$D,B1334,'01_異動主檔'!$E:$E,"移入")</f>
        <v/>
      </c>
      <c r="F1334" s="4">
        <f>-SUMIFS('01_異動主檔'!$F:$F,'01_異動主檔'!$B:$B,105,'01_異動主檔'!$D:$D,B1334,'01_異動主檔'!$E:$E,"移出")</f>
        <v/>
      </c>
      <c r="G1334" s="4">
        <f>SUMIFS('01_異動主檔'!$F:$F,'01_異動主檔'!$B:$B,105,'01_異動主檔'!$D:$D,B1334,'01_異動主檔'!$E:$E,"新增")</f>
        <v/>
      </c>
      <c r="H1334" s="4">
        <f>-SUMIFS('01_異動主檔'!$F:$F,'01_異動主檔'!$B:$B,105,'01_異動主檔'!$D:$D,B1334,'01_異動主檔'!$E:$E,"減列")</f>
        <v/>
      </c>
      <c r="I1334" s="4">
        <f>-SUMIFS('01_異動主檔'!$F:$F,'01_異動主檔'!$B:$B,105,'01_異動主檔'!$D:$D,B1334,'01_異動主檔'!$E:$E,"精簡")</f>
        <v/>
      </c>
      <c r="J1334" s="10">
        <f>D1334+E1334+F1334+G1334+H1334+I1334</f>
        <v/>
      </c>
    </row>
    <row r="1335" ht="18" customHeight="1">
      <c r="A1335" s="4" t="inlineStr">
        <is>
          <t>G002</t>
        </is>
      </c>
      <c r="B1335" s="3" t="inlineStr">
        <is>
          <t>南部辦公室</t>
        </is>
      </c>
      <c r="C1335" s="4" t="n">
        <v>106</v>
      </c>
      <c r="D1335" s="10">
        <f>J1334</f>
        <v/>
      </c>
      <c r="E1335" s="4">
        <f>SUMIFS('01_異動主檔'!$F:$F,'01_異動主檔'!$B:$B,106,'01_異動主檔'!$D:$D,B1335,'01_異動主檔'!$E:$E,"移入")</f>
        <v/>
      </c>
      <c r="F1335" s="4">
        <f>-SUMIFS('01_異動主檔'!$F:$F,'01_異動主檔'!$B:$B,106,'01_異動主檔'!$D:$D,B1335,'01_異動主檔'!$E:$E,"移出")</f>
        <v/>
      </c>
      <c r="G1335" s="4">
        <f>SUMIFS('01_異動主檔'!$F:$F,'01_異動主檔'!$B:$B,106,'01_異動主檔'!$D:$D,B1335,'01_異動主檔'!$E:$E,"新增")</f>
        <v/>
      </c>
      <c r="H1335" s="4">
        <f>-SUMIFS('01_異動主檔'!$F:$F,'01_異動主檔'!$B:$B,106,'01_異動主檔'!$D:$D,B1335,'01_異動主檔'!$E:$E,"減列")</f>
        <v/>
      </c>
      <c r="I1335" s="4">
        <f>-SUMIFS('01_異動主檔'!$F:$F,'01_異動主檔'!$B:$B,106,'01_異動主檔'!$D:$D,B1335,'01_異動主檔'!$E:$E,"精簡")</f>
        <v/>
      </c>
      <c r="J1335" s="10">
        <f>D1335+E1335+F1335+G1335+H1335+I1335</f>
        <v/>
      </c>
    </row>
    <row r="1336" ht="18" customHeight="1">
      <c r="A1336" s="6" t="inlineStr">
        <is>
          <t>G002</t>
        </is>
      </c>
      <c r="B1336" s="5" t="inlineStr">
        <is>
          <t>南部辦公室</t>
        </is>
      </c>
      <c r="C1336" s="6" t="n">
        <v>107</v>
      </c>
      <c r="D1336" s="10">
        <f>J1335</f>
        <v/>
      </c>
      <c r="E1336" s="4">
        <f>SUMIFS('01_異動主檔'!$F:$F,'01_異動主檔'!$B:$B,107,'01_異動主檔'!$D:$D,B1336,'01_異動主檔'!$E:$E,"移入")</f>
        <v/>
      </c>
      <c r="F1336" s="4">
        <f>-SUMIFS('01_異動主檔'!$F:$F,'01_異動主檔'!$B:$B,107,'01_異動主檔'!$D:$D,B1336,'01_異動主檔'!$E:$E,"移出")</f>
        <v/>
      </c>
      <c r="G1336" s="4">
        <f>SUMIFS('01_異動主檔'!$F:$F,'01_異動主檔'!$B:$B,107,'01_異動主檔'!$D:$D,B1336,'01_異動主檔'!$E:$E,"新增")</f>
        <v/>
      </c>
      <c r="H1336" s="4">
        <f>-SUMIFS('01_異動主檔'!$F:$F,'01_異動主檔'!$B:$B,107,'01_異動主檔'!$D:$D,B1336,'01_異動主檔'!$E:$E,"減列")</f>
        <v/>
      </c>
      <c r="I1336" s="4">
        <f>-SUMIFS('01_異動主檔'!$F:$F,'01_異動主檔'!$B:$B,107,'01_異動主檔'!$D:$D,B1336,'01_異動主檔'!$E:$E,"精簡")</f>
        <v/>
      </c>
      <c r="J1336" s="10">
        <f>D1336+E1336+F1336+G1336+H1336+I1336</f>
        <v/>
      </c>
    </row>
    <row r="1337" ht="18" customHeight="1">
      <c r="A1337" s="4" t="inlineStr">
        <is>
          <t>G002</t>
        </is>
      </c>
      <c r="B1337" s="3" t="inlineStr">
        <is>
          <t>南部辦公室</t>
        </is>
      </c>
      <c r="C1337" s="4" t="n">
        <v>108</v>
      </c>
      <c r="D1337" s="10">
        <f>J1336</f>
        <v/>
      </c>
      <c r="E1337" s="4">
        <f>SUMIFS('01_異動主檔'!$F:$F,'01_異動主檔'!$B:$B,108,'01_異動主檔'!$D:$D,B1337,'01_異動主檔'!$E:$E,"移入")</f>
        <v/>
      </c>
      <c r="F1337" s="4">
        <f>-SUMIFS('01_異動主檔'!$F:$F,'01_異動主檔'!$B:$B,108,'01_異動主檔'!$D:$D,B1337,'01_異動主檔'!$E:$E,"移出")</f>
        <v/>
      </c>
      <c r="G1337" s="4">
        <f>SUMIFS('01_異動主檔'!$F:$F,'01_異動主檔'!$B:$B,108,'01_異動主檔'!$D:$D,B1337,'01_異動主檔'!$E:$E,"新增")</f>
        <v/>
      </c>
      <c r="H1337" s="4">
        <f>-SUMIFS('01_異動主檔'!$F:$F,'01_異動主檔'!$B:$B,108,'01_異動主檔'!$D:$D,B1337,'01_異動主檔'!$E:$E,"減列")</f>
        <v/>
      </c>
      <c r="I1337" s="4">
        <f>-SUMIFS('01_異動主檔'!$F:$F,'01_異動主檔'!$B:$B,108,'01_異動主檔'!$D:$D,B1337,'01_異動主檔'!$E:$E,"精簡")</f>
        <v/>
      </c>
      <c r="J1337" s="10">
        <f>D1337+E1337+F1337+G1337+H1337+I1337</f>
        <v/>
      </c>
    </row>
    <row r="1338" ht="18" customHeight="1">
      <c r="A1338" s="6" t="inlineStr">
        <is>
          <t>G002</t>
        </is>
      </c>
      <c r="B1338" s="5" t="inlineStr">
        <is>
          <t>南部辦公室</t>
        </is>
      </c>
      <c r="C1338" s="6" t="n">
        <v>109</v>
      </c>
      <c r="D1338" s="10">
        <f>J1337</f>
        <v/>
      </c>
      <c r="E1338" s="4">
        <f>SUMIFS('01_異動主檔'!$F:$F,'01_異動主檔'!$B:$B,109,'01_異動主檔'!$D:$D,B1338,'01_異動主檔'!$E:$E,"移入")</f>
        <v/>
      </c>
      <c r="F1338" s="4">
        <f>-SUMIFS('01_異動主檔'!$F:$F,'01_異動主檔'!$B:$B,109,'01_異動主檔'!$D:$D,B1338,'01_異動主檔'!$E:$E,"移出")</f>
        <v/>
      </c>
      <c r="G1338" s="4">
        <f>SUMIFS('01_異動主檔'!$F:$F,'01_異動主檔'!$B:$B,109,'01_異動主檔'!$D:$D,B1338,'01_異動主檔'!$E:$E,"新增")</f>
        <v/>
      </c>
      <c r="H1338" s="4">
        <f>-SUMIFS('01_異動主檔'!$F:$F,'01_異動主檔'!$B:$B,109,'01_異動主檔'!$D:$D,B1338,'01_異動主檔'!$E:$E,"減列")</f>
        <v/>
      </c>
      <c r="I1338" s="4">
        <f>-SUMIFS('01_異動主檔'!$F:$F,'01_異動主檔'!$B:$B,109,'01_異動主檔'!$D:$D,B1338,'01_異動主檔'!$E:$E,"精簡")</f>
        <v/>
      </c>
      <c r="J1338" s="10">
        <f>D1338+E1338+F1338+G1338+H1338+I1338</f>
        <v/>
      </c>
    </row>
    <row r="1339" ht="18" customHeight="1">
      <c r="A1339" s="4" t="inlineStr">
        <is>
          <t>G002</t>
        </is>
      </c>
      <c r="B1339" s="3" t="inlineStr">
        <is>
          <t>南部辦公室</t>
        </is>
      </c>
      <c r="C1339" s="4" t="n">
        <v>110</v>
      </c>
      <c r="D1339" s="10">
        <f>J1338</f>
        <v/>
      </c>
      <c r="E1339" s="4">
        <f>SUMIFS('01_異動主檔'!$F:$F,'01_異動主檔'!$B:$B,110,'01_異動主檔'!$D:$D,B1339,'01_異動主檔'!$E:$E,"移入")</f>
        <v/>
      </c>
      <c r="F1339" s="4">
        <f>-SUMIFS('01_異動主檔'!$F:$F,'01_異動主檔'!$B:$B,110,'01_異動主檔'!$D:$D,B1339,'01_異動主檔'!$E:$E,"移出")</f>
        <v/>
      </c>
      <c r="G1339" s="4">
        <f>SUMIFS('01_異動主檔'!$F:$F,'01_異動主檔'!$B:$B,110,'01_異動主檔'!$D:$D,B1339,'01_異動主檔'!$E:$E,"新增")</f>
        <v/>
      </c>
      <c r="H1339" s="4">
        <f>-SUMIFS('01_異動主檔'!$F:$F,'01_異動主檔'!$B:$B,110,'01_異動主檔'!$D:$D,B1339,'01_異動主檔'!$E:$E,"減列")</f>
        <v/>
      </c>
      <c r="I1339" s="4">
        <f>-SUMIFS('01_異動主檔'!$F:$F,'01_異動主檔'!$B:$B,110,'01_異動主檔'!$D:$D,B1339,'01_異動主檔'!$E:$E,"精簡")</f>
        <v/>
      </c>
      <c r="J1339" s="10">
        <f>D1339+E1339+F1339+G1339+H1339+I1339</f>
        <v/>
      </c>
    </row>
    <row r="1340" ht="18" customHeight="1">
      <c r="A1340" s="6" t="inlineStr">
        <is>
          <t>G002</t>
        </is>
      </c>
      <c r="B1340" s="5" t="inlineStr">
        <is>
          <t>南部辦公室</t>
        </is>
      </c>
      <c r="C1340" s="6" t="n">
        <v>111</v>
      </c>
      <c r="D1340" s="10">
        <f>J1339</f>
        <v/>
      </c>
      <c r="E1340" s="4">
        <f>SUMIFS('01_異動主檔'!$F:$F,'01_異動主檔'!$B:$B,111,'01_異動主檔'!$D:$D,B1340,'01_異動主檔'!$E:$E,"移入")</f>
        <v/>
      </c>
      <c r="F1340" s="4">
        <f>-SUMIFS('01_異動主檔'!$F:$F,'01_異動主檔'!$B:$B,111,'01_異動主檔'!$D:$D,B1340,'01_異動主檔'!$E:$E,"移出")</f>
        <v/>
      </c>
      <c r="G1340" s="4">
        <f>SUMIFS('01_異動主檔'!$F:$F,'01_異動主檔'!$B:$B,111,'01_異動主檔'!$D:$D,B1340,'01_異動主檔'!$E:$E,"新增")</f>
        <v/>
      </c>
      <c r="H1340" s="4">
        <f>-SUMIFS('01_異動主檔'!$F:$F,'01_異動主檔'!$B:$B,111,'01_異動主檔'!$D:$D,B1340,'01_異動主檔'!$E:$E,"減列")</f>
        <v/>
      </c>
      <c r="I1340" s="4">
        <f>-SUMIFS('01_異動主檔'!$F:$F,'01_異動主檔'!$B:$B,111,'01_異動主檔'!$D:$D,B1340,'01_異動主檔'!$E:$E,"精簡")</f>
        <v/>
      </c>
      <c r="J1340" s="10">
        <f>D1340+E1340+F1340+G1340+H1340+I1340</f>
        <v/>
      </c>
    </row>
    <row r="1341" ht="18" customHeight="1">
      <c r="A1341" s="4" t="inlineStr">
        <is>
          <t>G002</t>
        </is>
      </c>
      <c r="B1341" s="3" t="inlineStr">
        <is>
          <t>南部辦公室</t>
        </is>
      </c>
      <c r="C1341" s="4" t="n">
        <v>112</v>
      </c>
      <c r="D1341" s="10">
        <f>J1340</f>
        <v/>
      </c>
      <c r="E1341" s="4">
        <f>SUMIFS('01_異動主檔'!$F:$F,'01_異動主檔'!$B:$B,112,'01_異動主檔'!$D:$D,B1341,'01_異動主檔'!$E:$E,"移入")</f>
        <v/>
      </c>
      <c r="F1341" s="4">
        <f>-SUMIFS('01_異動主檔'!$F:$F,'01_異動主檔'!$B:$B,112,'01_異動主檔'!$D:$D,B1341,'01_異動主檔'!$E:$E,"移出")</f>
        <v/>
      </c>
      <c r="G1341" s="4">
        <f>SUMIFS('01_異動主檔'!$F:$F,'01_異動主檔'!$B:$B,112,'01_異動主檔'!$D:$D,B1341,'01_異動主檔'!$E:$E,"新增")</f>
        <v/>
      </c>
      <c r="H1341" s="4">
        <f>-SUMIFS('01_異動主檔'!$F:$F,'01_異動主檔'!$B:$B,112,'01_異動主檔'!$D:$D,B1341,'01_異動主檔'!$E:$E,"減列")</f>
        <v/>
      </c>
      <c r="I1341" s="4">
        <f>-SUMIFS('01_異動主檔'!$F:$F,'01_異動主檔'!$B:$B,112,'01_異動主檔'!$D:$D,B1341,'01_異動主檔'!$E:$E,"精簡")</f>
        <v/>
      </c>
      <c r="J1341" s="10">
        <f>D1341+E1341+F1341+G1341+H1341+I1341</f>
        <v/>
      </c>
    </row>
    <row r="1342" ht="18" customHeight="1">
      <c r="A1342" s="6" t="inlineStr">
        <is>
          <t>G002</t>
        </is>
      </c>
      <c r="B1342" s="5" t="inlineStr">
        <is>
          <t>南部辦公室</t>
        </is>
      </c>
      <c r="C1342" s="6" t="n">
        <v>113</v>
      </c>
      <c r="D1342" s="10">
        <f>J1341</f>
        <v/>
      </c>
      <c r="E1342" s="4">
        <f>SUMIFS('01_異動主檔'!$F:$F,'01_異動主檔'!$B:$B,113,'01_異動主檔'!$D:$D,B1342,'01_異動主檔'!$E:$E,"移入")</f>
        <v/>
      </c>
      <c r="F1342" s="4">
        <f>-SUMIFS('01_異動主檔'!$F:$F,'01_異動主檔'!$B:$B,113,'01_異動主檔'!$D:$D,B1342,'01_異動主檔'!$E:$E,"移出")</f>
        <v/>
      </c>
      <c r="G1342" s="4">
        <f>SUMIFS('01_異動主檔'!$F:$F,'01_異動主檔'!$B:$B,113,'01_異動主檔'!$D:$D,B1342,'01_異動主檔'!$E:$E,"新增")</f>
        <v/>
      </c>
      <c r="H1342" s="4">
        <f>-SUMIFS('01_異動主檔'!$F:$F,'01_異動主檔'!$B:$B,113,'01_異動主檔'!$D:$D,B1342,'01_異動主檔'!$E:$E,"減列")</f>
        <v/>
      </c>
      <c r="I1342" s="4">
        <f>-SUMIFS('01_異動主檔'!$F:$F,'01_異動主檔'!$B:$B,113,'01_異動主檔'!$D:$D,B1342,'01_異動主檔'!$E:$E,"精簡")</f>
        <v/>
      </c>
      <c r="J1342" s="10">
        <f>D1342+E1342+F1342+G1342+H1342+I1342</f>
        <v/>
      </c>
    </row>
    <row r="1343" ht="18" customHeight="1">
      <c r="A1343" s="4" t="inlineStr">
        <is>
          <t>G002</t>
        </is>
      </c>
      <c r="B1343" s="3" t="inlineStr">
        <is>
          <t>南部辦公室</t>
        </is>
      </c>
      <c r="C1343" s="4" t="n">
        <v>114</v>
      </c>
      <c r="D1343" s="10">
        <f>J1342</f>
        <v/>
      </c>
      <c r="E1343" s="4">
        <f>SUMIFS('01_異動主檔'!$F:$F,'01_異動主檔'!$B:$B,114,'01_異動主檔'!$D:$D,B1343,'01_異動主檔'!$E:$E,"移入")</f>
        <v/>
      </c>
      <c r="F1343" s="4">
        <f>-SUMIFS('01_異動主檔'!$F:$F,'01_異動主檔'!$B:$B,114,'01_異動主檔'!$D:$D,B1343,'01_異動主檔'!$E:$E,"移出")</f>
        <v/>
      </c>
      <c r="G1343" s="4">
        <f>SUMIFS('01_異動主檔'!$F:$F,'01_異動主檔'!$B:$B,114,'01_異動主檔'!$D:$D,B1343,'01_異動主檔'!$E:$E,"新增")</f>
        <v/>
      </c>
      <c r="H1343" s="4">
        <f>-SUMIFS('01_異動主檔'!$F:$F,'01_異動主檔'!$B:$B,114,'01_異動主檔'!$D:$D,B1343,'01_異動主檔'!$E:$E,"減列")</f>
        <v/>
      </c>
      <c r="I1343" s="4">
        <f>-SUMIFS('01_異動主檔'!$F:$F,'01_異動主檔'!$B:$B,114,'01_異動主檔'!$D:$D,B1343,'01_異動主檔'!$E:$E,"精簡")</f>
        <v/>
      </c>
      <c r="J1343" s="10">
        <f>D1343+E1343+F1343+G1343+H1343+I1343</f>
        <v/>
      </c>
    </row>
    <row r="1344" ht="18" customHeight="1">
      <c r="A1344" s="6" t="inlineStr">
        <is>
          <t>G002</t>
        </is>
      </c>
      <c r="B1344" s="5" t="inlineStr">
        <is>
          <t>南部辦公室</t>
        </is>
      </c>
      <c r="C1344" s="6" t="n">
        <v>115</v>
      </c>
      <c r="D1344" s="10">
        <f>J1343</f>
        <v/>
      </c>
      <c r="E1344" s="4">
        <f>SUMIFS('01_異動主檔'!$F:$F,'01_異動主檔'!$B:$B,115,'01_異動主檔'!$D:$D,B1344,'01_異動主檔'!$E:$E,"移入")</f>
        <v/>
      </c>
      <c r="F1344" s="4">
        <f>-SUMIFS('01_異動主檔'!$F:$F,'01_異動主檔'!$B:$B,115,'01_異動主檔'!$D:$D,B1344,'01_異動主檔'!$E:$E,"移出")</f>
        <v/>
      </c>
      <c r="G1344" s="4">
        <f>SUMIFS('01_異動主檔'!$F:$F,'01_異動主檔'!$B:$B,115,'01_異動主檔'!$D:$D,B1344,'01_異動主檔'!$E:$E,"新增")</f>
        <v/>
      </c>
      <c r="H1344" s="4">
        <f>-SUMIFS('01_異動主檔'!$F:$F,'01_異動主檔'!$B:$B,115,'01_異動主檔'!$D:$D,B1344,'01_異動主檔'!$E:$E,"減列")</f>
        <v/>
      </c>
      <c r="I1344" s="4">
        <f>-SUMIFS('01_異動主檔'!$F:$F,'01_異動主檔'!$B:$B,115,'01_異動主檔'!$D:$D,B1344,'01_異動主檔'!$E:$E,"精簡")</f>
        <v/>
      </c>
      <c r="J1344" s="10">
        <f>D1344+E1344+F1344+G1344+H1344+I1344</f>
        <v/>
      </c>
    </row>
    <row r="1345" ht="18" customHeight="1">
      <c r="A1345" s="4" t="inlineStr">
        <is>
          <t>G002</t>
        </is>
      </c>
      <c r="B1345" s="3" t="inlineStr">
        <is>
          <t>南部辦公室</t>
        </is>
      </c>
      <c r="C1345" s="4" t="n">
        <v>116</v>
      </c>
      <c r="D1345" s="10">
        <f>J1344</f>
        <v/>
      </c>
      <c r="E1345" s="4">
        <f>SUMIFS('01_異動主檔'!$F:$F,'01_異動主檔'!$B:$B,116,'01_異動主檔'!$D:$D,B1345,'01_異動主檔'!$E:$E,"移入")</f>
        <v/>
      </c>
      <c r="F1345" s="4">
        <f>-SUMIFS('01_異動主檔'!$F:$F,'01_異動主檔'!$B:$B,116,'01_異動主檔'!$D:$D,B1345,'01_異動主檔'!$E:$E,"移出")</f>
        <v/>
      </c>
      <c r="G1345" s="4">
        <f>SUMIFS('01_異動主檔'!$F:$F,'01_異動主檔'!$B:$B,116,'01_異動主檔'!$D:$D,B1345,'01_異動主檔'!$E:$E,"新增")</f>
        <v/>
      </c>
      <c r="H1345" s="4">
        <f>-SUMIFS('01_異動主檔'!$F:$F,'01_異動主檔'!$B:$B,116,'01_異動主檔'!$D:$D,B1345,'01_異動主檔'!$E:$E,"減列")</f>
        <v/>
      </c>
      <c r="I1345" s="4">
        <f>-SUMIFS('01_異動主檔'!$F:$F,'01_異動主檔'!$B:$B,116,'01_異動主檔'!$D:$D,B1345,'01_異動主檔'!$E:$E,"精簡")</f>
        <v/>
      </c>
      <c r="J1345" s="10">
        <f>D1345+E1345+F1345+G1345+H1345+I1345</f>
        <v/>
      </c>
    </row>
    <row r="1346" ht="18" customHeight="1">
      <c r="A1346" s="6" t="inlineStr">
        <is>
          <t>G002</t>
        </is>
      </c>
      <c r="B1346" s="5" t="inlineStr">
        <is>
          <t>南部辦公室</t>
        </is>
      </c>
      <c r="C1346" s="6" t="n">
        <v>117</v>
      </c>
      <c r="D1346" s="10">
        <f>J1345</f>
        <v/>
      </c>
      <c r="E1346" s="4">
        <f>SUMIFS('01_異動主檔'!$F:$F,'01_異動主檔'!$B:$B,117,'01_異動主檔'!$D:$D,B1346,'01_異動主檔'!$E:$E,"移入")</f>
        <v/>
      </c>
      <c r="F1346" s="4">
        <f>-SUMIFS('01_異動主檔'!$F:$F,'01_異動主檔'!$B:$B,117,'01_異動主檔'!$D:$D,B1346,'01_異動主檔'!$E:$E,"移出")</f>
        <v/>
      </c>
      <c r="G1346" s="4">
        <f>SUMIFS('01_異動主檔'!$F:$F,'01_異動主檔'!$B:$B,117,'01_異動主檔'!$D:$D,B1346,'01_異動主檔'!$E:$E,"新增")</f>
        <v/>
      </c>
      <c r="H1346" s="4">
        <f>-SUMIFS('01_異動主檔'!$F:$F,'01_異動主檔'!$B:$B,117,'01_異動主檔'!$D:$D,B1346,'01_異動主檔'!$E:$E,"減列")</f>
        <v/>
      </c>
      <c r="I1346" s="4">
        <f>-SUMIFS('01_異動主檔'!$F:$F,'01_異動主檔'!$B:$B,117,'01_異動主檔'!$D:$D,B1346,'01_異動主檔'!$E:$E,"精簡")</f>
        <v/>
      </c>
      <c r="J1346" s="10">
        <f>D1346+E1346+F1346+G1346+H1346+I1346</f>
        <v/>
      </c>
    </row>
    <row r="1347" ht="18" customHeight="1">
      <c r="A1347" s="4" t="inlineStr">
        <is>
          <t>G002</t>
        </is>
      </c>
      <c r="B1347" s="3" t="inlineStr">
        <is>
          <t>南部辦公室</t>
        </is>
      </c>
      <c r="C1347" s="4" t="n">
        <v>118</v>
      </c>
      <c r="D1347" s="10">
        <f>J1346</f>
        <v/>
      </c>
      <c r="E1347" s="4">
        <f>SUMIFS('01_異動主檔'!$F:$F,'01_異動主檔'!$B:$B,118,'01_異動主檔'!$D:$D,B1347,'01_異動主檔'!$E:$E,"移入")</f>
        <v/>
      </c>
      <c r="F1347" s="4">
        <f>-SUMIFS('01_異動主檔'!$F:$F,'01_異動主檔'!$B:$B,118,'01_異動主檔'!$D:$D,B1347,'01_異動主檔'!$E:$E,"移出")</f>
        <v/>
      </c>
      <c r="G1347" s="4">
        <f>SUMIFS('01_異動主檔'!$F:$F,'01_異動主檔'!$B:$B,118,'01_異動主檔'!$D:$D,B1347,'01_異動主檔'!$E:$E,"新增")</f>
        <v/>
      </c>
      <c r="H1347" s="4">
        <f>-SUMIFS('01_異動主檔'!$F:$F,'01_異動主檔'!$B:$B,118,'01_異動主檔'!$D:$D,B1347,'01_異動主檔'!$E:$E,"減列")</f>
        <v/>
      </c>
      <c r="I1347" s="4">
        <f>-SUMIFS('01_異動主檔'!$F:$F,'01_異動主檔'!$B:$B,118,'01_異動主檔'!$D:$D,B1347,'01_異動主檔'!$E:$E,"精簡")</f>
        <v/>
      </c>
      <c r="J1347" s="10">
        <f>D1347+E1347+F1347+G1347+H1347+I1347</f>
        <v/>
      </c>
    </row>
    <row r="1348" ht="18" customHeight="1">
      <c r="A1348" s="6" t="inlineStr">
        <is>
          <t>G002</t>
        </is>
      </c>
      <c r="B1348" s="5" t="inlineStr">
        <is>
          <t>南部辦公室</t>
        </is>
      </c>
      <c r="C1348" s="6" t="n">
        <v>119</v>
      </c>
      <c r="D1348" s="10">
        <f>J1347</f>
        <v/>
      </c>
      <c r="E1348" s="4">
        <f>SUMIFS('01_異動主檔'!$F:$F,'01_異動主檔'!$B:$B,119,'01_異動主檔'!$D:$D,B1348,'01_異動主檔'!$E:$E,"移入")</f>
        <v/>
      </c>
      <c r="F1348" s="4">
        <f>-SUMIFS('01_異動主檔'!$F:$F,'01_異動主檔'!$B:$B,119,'01_異動主檔'!$D:$D,B1348,'01_異動主檔'!$E:$E,"移出")</f>
        <v/>
      </c>
      <c r="G1348" s="4">
        <f>SUMIFS('01_異動主檔'!$F:$F,'01_異動主檔'!$B:$B,119,'01_異動主檔'!$D:$D,B1348,'01_異動主檔'!$E:$E,"新增")</f>
        <v/>
      </c>
      <c r="H1348" s="4">
        <f>-SUMIFS('01_異動主檔'!$F:$F,'01_異動主檔'!$B:$B,119,'01_異動主檔'!$D:$D,B1348,'01_異動主檔'!$E:$E,"減列")</f>
        <v/>
      </c>
      <c r="I1348" s="4">
        <f>-SUMIFS('01_異動主檔'!$F:$F,'01_異動主檔'!$B:$B,119,'01_異動主檔'!$D:$D,B1348,'01_異動主檔'!$E:$E,"精簡")</f>
        <v/>
      </c>
      <c r="J1348" s="10">
        <f>D1348+E1348+F1348+G1348+H1348+I1348</f>
        <v/>
      </c>
    </row>
    <row r="1349" ht="18" customHeight="1">
      <c r="A1349" s="4" t="inlineStr">
        <is>
          <t>G002</t>
        </is>
      </c>
      <c r="B1349" s="3" t="inlineStr">
        <is>
          <t>南部辦公室</t>
        </is>
      </c>
      <c r="C1349" s="4" t="n">
        <v>120</v>
      </c>
      <c r="D1349" s="10">
        <f>J1348</f>
        <v/>
      </c>
      <c r="E1349" s="4">
        <f>SUMIFS('01_異動主檔'!$F:$F,'01_異動主檔'!$B:$B,120,'01_異動主檔'!$D:$D,B1349,'01_異動主檔'!$E:$E,"移入")</f>
        <v/>
      </c>
      <c r="F1349" s="4">
        <f>-SUMIFS('01_異動主檔'!$F:$F,'01_異動主檔'!$B:$B,120,'01_異動主檔'!$D:$D,B1349,'01_異動主檔'!$E:$E,"移出")</f>
        <v/>
      </c>
      <c r="G1349" s="4">
        <f>SUMIFS('01_異動主檔'!$F:$F,'01_異動主檔'!$B:$B,120,'01_異動主檔'!$D:$D,B1349,'01_異動主檔'!$E:$E,"新增")</f>
        <v/>
      </c>
      <c r="H1349" s="4">
        <f>-SUMIFS('01_異動主檔'!$F:$F,'01_異動主檔'!$B:$B,120,'01_異動主檔'!$D:$D,B1349,'01_異動主檔'!$E:$E,"減列")</f>
        <v/>
      </c>
      <c r="I1349" s="4">
        <f>-SUMIFS('01_異動主檔'!$F:$F,'01_異動主檔'!$B:$B,120,'01_異動主檔'!$D:$D,B1349,'01_異動主檔'!$E:$E,"精簡")</f>
        <v/>
      </c>
      <c r="J1349" s="10">
        <f>D1349+E1349+F1349+G1349+H1349+I1349</f>
        <v/>
      </c>
    </row>
    <row r="1350" ht="18" customHeight="1">
      <c r="A1350" s="6" t="inlineStr">
        <is>
          <t>G002</t>
        </is>
      </c>
      <c r="B1350" s="5" t="inlineStr">
        <is>
          <t>南部辦公室</t>
        </is>
      </c>
      <c r="C1350" s="6" t="n">
        <v>121</v>
      </c>
      <c r="D1350" s="10">
        <f>J1349</f>
        <v/>
      </c>
      <c r="E1350" s="4">
        <f>SUMIFS('01_異動主檔'!$F:$F,'01_異動主檔'!$B:$B,121,'01_異動主檔'!$D:$D,B1350,'01_異動主檔'!$E:$E,"移入")</f>
        <v/>
      </c>
      <c r="F1350" s="4">
        <f>-SUMIFS('01_異動主檔'!$F:$F,'01_異動主檔'!$B:$B,121,'01_異動主檔'!$D:$D,B1350,'01_異動主檔'!$E:$E,"移出")</f>
        <v/>
      </c>
      <c r="G1350" s="4">
        <f>SUMIFS('01_異動主檔'!$F:$F,'01_異動主檔'!$B:$B,121,'01_異動主檔'!$D:$D,B1350,'01_異動主檔'!$E:$E,"新增")</f>
        <v/>
      </c>
      <c r="H1350" s="4">
        <f>-SUMIFS('01_異動主檔'!$F:$F,'01_異動主檔'!$B:$B,121,'01_異動主檔'!$D:$D,B1350,'01_異動主檔'!$E:$E,"減列")</f>
        <v/>
      </c>
      <c r="I1350" s="4">
        <f>-SUMIFS('01_異動主檔'!$F:$F,'01_異動主檔'!$B:$B,121,'01_異動主檔'!$D:$D,B1350,'01_異動主檔'!$E:$E,"精簡")</f>
        <v/>
      </c>
      <c r="J1350" s="10">
        <f>D1350+E1350+F1350+G1350+H1350+I1350</f>
        <v/>
      </c>
    </row>
    <row r="1351" ht="18" customHeight="1">
      <c r="A1351" s="4" t="inlineStr">
        <is>
          <t>G002</t>
        </is>
      </c>
      <c r="B1351" s="3" t="inlineStr">
        <is>
          <t>南部辦公室</t>
        </is>
      </c>
      <c r="C1351" s="4" t="n">
        <v>122</v>
      </c>
      <c r="D1351" s="10">
        <f>J1350</f>
        <v/>
      </c>
      <c r="E1351" s="4">
        <f>SUMIFS('01_異動主檔'!$F:$F,'01_異動主檔'!$B:$B,122,'01_異動主檔'!$D:$D,B1351,'01_異動主檔'!$E:$E,"移入")</f>
        <v/>
      </c>
      <c r="F1351" s="4">
        <f>-SUMIFS('01_異動主檔'!$F:$F,'01_異動主檔'!$B:$B,122,'01_異動主檔'!$D:$D,B1351,'01_異動主檔'!$E:$E,"移出")</f>
        <v/>
      </c>
      <c r="G1351" s="4">
        <f>SUMIFS('01_異動主檔'!$F:$F,'01_異動主檔'!$B:$B,122,'01_異動主檔'!$D:$D,B1351,'01_異動主檔'!$E:$E,"新增")</f>
        <v/>
      </c>
      <c r="H1351" s="4">
        <f>-SUMIFS('01_異動主檔'!$F:$F,'01_異動主檔'!$B:$B,122,'01_異動主檔'!$D:$D,B1351,'01_異動主檔'!$E:$E,"減列")</f>
        <v/>
      </c>
      <c r="I1351" s="4">
        <f>-SUMIFS('01_異動主檔'!$F:$F,'01_異動主檔'!$B:$B,122,'01_異動主檔'!$D:$D,B1351,'01_異動主檔'!$E:$E,"精簡")</f>
        <v/>
      </c>
      <c r="J1351" s="10">
        <f>D1351+E1351+F1351+G1351+H1351+I1351</f>
        <v/>
      </c>
    </row>
    <row r="1352" ht="18" customHeight="1">
      <c r="A1352" s="6" t="inlineStr">
        <is>
          <t>G002</t>
        </is>
      </c>
      <c r="B1352" s="5" t="inlineStr">
        <is>
          <t>南部辦公室</t>
        </is>
      </c>
      <c r="C1352" s="6" t="n">
        <v>123</v>
      </c>
      <c r="D1352" s="10">
        <f>J1351</f>
        <v/>
      </c>
      <c r="E1352" s="4">
        <f>SUMIFS('01_異動主檔'!$F:$F,'01_異動主檔'!$B:$B,123,'01_異動主檔'!$D:$D,B1352,'01_異動主檔'!$E:$E,"移入")</f>
        <v/>
      </c>
      <c r="F1352" s="4">
        <f>-SUMIFS('01_異動主檔'!$F:$F,'01_異動主檔'!$B:$B,123,'01_異動主檔'!$D:$D,B1352,'01_異動主檔'!$E:$E,"移出")</f>
        <v/>
      </c>
      <c r="G1352" s="4">
        <f>SUMIFS('01_異動主檔'!$F:$F,'01_異動主檔'!$B:$B,123,'01_異動主檔'!$D:$D,B1352,'01_異動主檔'!$E:$E,"新增")</f>
        <v/>
      </c>
      <c r="H1352" s="4">
        <f>-SUMIFS('01_異動主檔'!$F:$F,'01_異動主檔'!$B:$B,123,'01_異動主檔'!$D:$D,B1352,'01_異動主檔'!$E:$E,"減列")</f>
        <v/>
      </c>
      <c r="I1352" s="4">
        <f>-SUMIFS('01_異動主檔'!$F:$F,'01_異動主檔'!$B:$B,123,'01_異動主檔'!$D:$D,B1352,'01_異動主檔'!$E:$E,"精簡")</f>
        <v/>
      </c>
      <c r="J1352" s="10">
        <f>D1352+E1352+F1352+G1352+H1352+I1352</f>
        <v/>
      </c>
    </row>
    <row r="1353" ht="18" customHeight="1">
      <c r="A1353" s="4" t="inlineStr">
        <is>
          <t>G002</t>
        </is>
      </c>
      <c r="B1353" s="3" t="inlineStr">
        <is>
          <t>南部辦公室</t>
        </is>
      </c>
      <c r="C1353" s="4" t="n">
        <v>124</v>
      </c>
      <c r="D1353" s="10">
        <f>J1352</f>
        <v/>
      </c>
      <c r="E1353" s="4">
        <f>SUMIFS('01_異動主檔'!$F:$F,'01_異動主檔'!$B:$B,124,'01_異動主檔'!$D:$D,B1353,'01_異動主檔'!$E:$E,"移入")</f>
        <v/>
      </c>
      <c r="F1353" s="4">
        <f>-SUMIFS('01_異動主檔'!$F:$F,'01_異動主檔'!$B:$B,124,'01_異動主檔'!$D:$D,B1353,'01_異動主檔'!$E:$E,"移出")</f>
        <v/>
      </c>
      <c r="G1353" s="4">
        <f>SUMIFS('01_異動主檔'!$F:$F,'01_異動主檔'!$B:$B,124,'01_異動主檔'!$D:$D,B1353,'01_異動主檔'!$E:$E,"新增")</f>
        <v/>
      </c>
      <c r="H1353" s="4">
        <f>-SUMIFS('01_異動主檔'!$F:$F,'01_異動主檔'!$B:$B,124,'01_異動主檔'!$D:$D,B1353,'01_異動主檔'!$E:$E,"減列")</f>
        <v/>
      </c>
      <c r="I1353" s="4">
        <f>-SUMIFS('01_異動主檔'!$F:$F,'01_異動主檔'!$B:$B,124,'01_異動主檔'!$D:$D,B1353,'01_異動主檔'!$E:$E,"精簡")</f>
        <v/>
      </c>
      <c r="J1353" s="10">
        <f>D1353+E1353+F1353+G1353+H1353+I1353</f>
        <v/>
      </c>
    </row>
    <row r="1354" ht="18" customHeight="1">
      <c r="A1354" s="6" t="inlineStr">
        <is>
          <t>G002</t>
        </is>
      </c>
      <c r="B1354" s="5" t="inlineStr">
        <is>
          <t>南部辦公室</t>
        </is>
      </c>
      <c r="C1354" s="6" t="n">
        <v>125</v>
      </c>
      <c r="D1354" s="10">
        <f>J1353</f>
        <v/>
      </c>
      <c r="E1354" s="4">
        <f>SUMIFS('01_異動主檔'!$F:$F,'01_異動主檔'!$B:$B,125,'01_異動主檔'!$D:$D,B1354,'01_異動主檔'!$E:$E,"移入")</f>
        <v/>
      </c>
      <c r="F1354" s="4">
        <f>-SUMIFS('01_異動主檔'!$F:$F,'01_異動主檔'!$B:$B,125,'01_異動主檔'!$D:$D,B1354,'01_異動主檔'!$E:$E,"移出")</f>
        <v/>
      </c>
      <c r="G1354" s="4">
        <f>SUMIFS('01_異動主檔'!$F:$F,'01_異動主檔'!$B:$B,125,'01_異動主檔'!$D:$D,B1354,'01_異動主檔'!$E:$E,"新增")</f>
        <v/>
      </c>
      <c r="H1354" s="4">
        <f>-SUMIFS('01_異動主檔'!$F:$F,'01_異動主檔'!$B:$B,125,'01_異動主檔'!$D:$D,B1354,'01_異動主檔'!$E:$E,"減列")</f>
        <v/>
      </c>
      <c r="I1354" s="4">
        <f>-SUMIFS('01_異動主檔'!$F:$F,'01_異動主檔'!$B:$B,125,'01_異動主檔'!$D:$D,B1354,'01_異動主檔'!$E:$E,"精簡")</f>
        <v/>
      </c>
      <c r="J1354" s="10">
        <f>D1354+E1354+F1354+G1354+H1354+I1354</f>
        <v/>
      </c>
    </row>
    <row r="1355" ht="18" customHeight="1">
      <c r="A1355" s="4" t="inlineStr">
        <is>
          <t>G003</t>
        </is>
      </c>
      <c r="B1355" s="3" t="inlineStr">
        <is>
          <t>東部辦公室</t>
        </is>
      </c>
      <c r="C1355" s="4" t="n">
        <v>99</v>
      </c>
      <c r="D1355" s="10">
        <f>'02_年初員額設定'!C55</f>
        <v/>
      </c>
      <c r="E1355" s="4">
        <f>SUMIFS('01_異動主檔'!$F:$F,'01_異動主檔'!$B:$B,99,'01_異動主檔'!$D:$D,B1355,'01_異動主檔'!$E:$E,"移入")</f>
        <v/>
      </c>
      <c r="F1355" s="4">
        <f>-SUMIFS('01_異動主檔'!$F:$F,'01_異動主檔'!$B:$B,99,'01_異動主檔'!$D:$D,B1355,'01_異動主檔'!$E:$E,"移出")</f>
        <v/>
      </c>
      <c r="G1355" s="4">
        <f>SUMIFS('01_異動主檔'!$F:$F,'01_異動主檔'!$B:$B,99,'01_異動主檔'!$D:$D,B1355,'01_異動主檔'!$E:$E,"新增")</f>
        <v/>
      </c>
      <c r="H1355" s="4">
        <f>-SUMIFS('01_異動主檔'!$F:$F,'01_異動主檔'!$B:$B,99,'01_異動主檔'!$D:$D,B1355,'01_異動主檔'!$E:$E,"減列")</f>
        <v/>
      </c>
      <c r="I1355" s="4">
        <f>-SUMIFS('01_異動主檔'!$F:$F,'01_異動主檔'!$B:$B,99,'01_異動主檔'!$D:$D,B1355,'01_異動主檔'!$E:$E,"精簡")</f>
        <v/>
      </c>
      <c r="J1355" s="10">
        <f>D1355+E1355+F1355+G1355+H1355+I1355</f>
        <v/>
      </c>
    </row>
    <row r="1356" ht="18" customHeight="1">
      <c r="A1356" s="6" t="inlineStr">
        <is>
          <t>G003</t>
        </is>
      </c>
      <c r="B1356" s="5" t="inlineStr">
        <is>
          <t>東部辦公室</t>
        </is>
      </c>
      <c r="C1356" s="6" t="n">
        <v>100</v>
      </c>
      <c r="D1356" s="10">
        <f>J1355</f>
        <v/>
      </c>
      <c r="E1356" s="4">
        <f>SUMIFS('01_異動主檔'!$F:$F,'01_異動主檔'!$B:$B,100,'01_異動主檔'!$D:$D,B1356,'01_異動主檔'!$E:$E,"移入")</f>
        <v/>
      </c>
      <c r="F1356" s="4">
        <f>-SUMIFS('01_異動主檔'!$F:$F,'01_異動主檔'!$B:$B,100,'01_異動主檔'!$D:$D,B1356,'01_異動主檔'!$E:$E,"移出")</f>
        <v/>
      </c>
      <c r="G1356" s="4">
        <f>SUMIFS('01_異動主檔'!$F:$F,'01_異動主檔'!$B:$B,100,'01_異動主檔'!$D:$D,B1356,'01_異動主檔'!$E:$E,"新增")</f>
        <v/>
      </c>
      <c r="H1356" s="4">
        <f>-SUMIFS('01_異動主檔'!$F:$F,'01_異動主檔'!$B:$B,100,'01_異動主檔'!$D:$D,B1356,'01_異動主檔'!$E:$E,"減列")</f>
        <v/>
      </c>
      <c r="I1356" s="4">
        <f>-SUMIFS('01_異動主檔'!$F:$F,'01_異動主檔'!$B:$B,100,'01_異動主檔'!$D:$D,B1356,'01_異動主檔'!$E:$E,"精簡")</f>
        <v/>
      </c>
      <c r="J1356" s="10">
        <f>D1356+E1356+F1356+G1356+H1356+I1356</f>
        <v/>
      </c>
    </row>
    <row r="1357" ht="18" customHeight="1">
      <c r="A1357" s="4" t="inlineStr">
        <is>
          <t>G003</t>
        </is>
      </c>
      <c r="B1357" s="3" t="inlineStr">
        <is>
          <t>東部辦公室</t>
        </is>
      </c>
      <c r="C1357" s="4" t="n">
        <v>101</v>
      </c>
      <c r="D1357" s="10">
        <f>J1356</f>
        <v/>
      </c>
      <c r="E1357" s="4">
        <f>SUMIFS('01_異動主檔'!$F:$F,'01_異動主檔'!$B:$B,101,'01_異動主檔'!$D:$D,B1357,'01_異動主檔'!$E:$E,"移入")</f>
        <v/>
      </c>
      <c r="F1357" s="4">
        <f>-SUMIFS('01_異動主檔'!$F:$F,'01_異動主檔'!$B:$B,101,'01_異動主檔'!$D:$D,B1357,'01_異動主檔'!$E:$E,"移出")</f>
        <v/>
      </c>
      <c r="G1357" s="4">
        <f>SUMIFS('01_異動主檔'!$F:$F,'01_異動主檔'!$B:$B,101,'01_異動主檔'!$D:$D,B1357,'01_異動主檔'!$E:$E,"新增")</f>
        <v/>
      </c>
      <c r="H1357" s="4">
        <f>-SUMIFS('01_異動主檔'!$F:$F,'01_異動主檔'!$B:$B,101,'01_異動主檔'!$D:$D,B1357,'01_異動主檔'!$E:$E,"減列")</f>
        <v/>
      </c>
      <c r="I1357" s="4">
        <f>-SUMIFS('01_異動主檔'!$F:$F,'01_異動主檔'!$B:$B,101,'01_異動主檔'!$D:$D,B1357,'01_異動主檔'!$E:$E,"精簡")</f>
        <v/>
      </c>
      <c r="J1357" s="10">
        <f>D1357+E1357+F1357+G1357+H1357+I1357</f>
        <v/>
      </c>
    </row>
    <row r="1358" ht="18" customHeight="1">
      <c r="A1358" s="6" t="inlineStr">
        <is>
          <t>G003</t>
        </is>
      </c>
      <c r="B1358" s="5" t="inlineStr">
        <is>
          <t>東部辦公室</t>
        </is>
      </c>
      <c r="C1358" s="6" t="n">
        <v>102</v>
      </c>
      <c r="D1358" s="10">
        <f>J1357</f>
        <v/>
      </c>
      <c r="E1358" s="4">
        <f>SUMIFS('01_異動主檔'!$F:$F,'01_異動主檔'!$B:$B,102,'01_異動主檔'!$D:$D,B1358,'01_異動主檔'!$E:$E,"移入")</f>
        <v/>
      </c>
      <c r="F1358" s="4">
        <f>-SUMIFS('01_異動主檔'!$F:$F,'01_異動主檔'!$B:$B,102,'01_異動主檔'!$D:$D,B1358,'01_異動主檔'!$E:$E,"移出")</f>
        <v/>
      </c>
      <c r="G1358" s="4">
        <f>SUMIFS('01_異動主檔'!$F:$F,'01_異動主檔'!$B:$B,102,'01_異動主檔'!$D:$D,B1358,'01_異動主檔'!$E:$E,"新增")</f>
        <v/>
      </c>
      <c r="H1358" s="4">
        <f>-SUMIFS('01_異動主檔'!$F:$F,'01_異動主檔'!$B:$B,102,'01_異動主檔'!$D:$D,B1358,'01_異動主檔'!$E:$E,"減列")</f>
        <v/>
      </c>
      <c r="I1358" s="4">
        <f>-SUMIFS('01_異動主檔'!$F:$F,'01_異動主檔'!$B:$B,102,'01_異動主檔'!$D:$D,B1358,'01_異動主檔'!$E:$E,"精簡")</f>
        <v/>
      </c>
      <c r="J1358" s="10">
        <f>D1358+E1358+F1358+G1358+H1358+I1358</f>
        <v/>
      </c>
    </row>
    <row r="1359" ht="18" customHeight="1">
      <c r="A1359" s="4" t="inlineStr">
        <is>
          <t>G003</t>
        </is>
      </c>
      <c r="B1359" s="3" t="inlineStr">
        <is>
          <t>東部辦公室</t>
        </is>
      </c>
      <c r="C1359" s="4" t="n">
        <v>103</v>
      </c>
      <c r="D1359" s="10">
        <f>J1358</f>
        <v/>
      </c>
      <c r="E1359" s="4">
        <f>SUMIFS('01_異動主檔'!$F:$F,'01_異動主檔'!$B:$B,103,'01_異動主檔'!$D:$D,B1359,'01_異動主檔'!$E:$E,"移入")</f>
        <v/>
      </c>
      <c r="F1359" s="4">
        <f>-SUMIFS('01_異動主檔'!$F:$F,'01_異動主檔'!$B:$B,103,'01_異動主檔'!$D:$D,B1359,'01_異動主檔'!$E:$E,"移出")</f>
        <v/>
      </c>
      <c r="G1359" s="4">
        <f>SUMIFS('01_異動主檔'!$F:$F,'01_異動主檔'!$B:$B,103,'01_異動主檔'!$D:$D,B1359,'01_異動主檔'!$E:$E,"新增")</f>
        <v/>
      </c>
      <c r="H1359" s="4">
        <f>-SUMIFS('01_異動主檔'!$F:$F,'01_異動主檔'!$B:$B,103,'01_異動主檔'!$D:$D,B1359,'01_異動主檔'!$E:$E,"減列")</f>
        <v/>
      </c>
      <c r="I1359" s="4">
        <f>-SUMIFS('01_異動主檔'!$F:$F,'01_異動主檔'!$B:$B,103,'01_異動主檔'!$D:$D,B1359,'01_異動主檔'!$E:$E,"精簡")</f>
        <v/>
      </c>
      <c r="J1359" s="10">
        <f>D1359+E1359+F1359+G1359+H1359+I1359</f>
        <v/>
      </c>
    </row>
    <row r="1360" ht="18" customHeight="1">
      <c r="A1360" s="6" t="inlineStr">
        <is>
          <t>G003</t>
        </is>
      </c>
      <c r="B1360" s="5" t="inlineStr">
        <is>
          <t>東部辦公室</t>
        </is>
      </c>
      <c r="C1360" s="6" t="n">
        <v>104</v>
      </c>
      <c r="D1360" s="10">
        <f>J1359</f>
        <v/>
      </c>
      <c r="E1360" s="4">
        <f>SUMIFS('01_異動主檔'!$F:$F,'01_異動主檔'!$B:$B,104,'01_異動主檔'!$D:$D,B1360,'01_異動主檔'!$E:$E,"移入")</f>
        <v/>
      </c>
      <c r="F1360" s="4">
        <f>-SUMIFS('01_異動主檔'!$F:$F,'01_異動主檔'!$B:$B,104,'01_異動主檔'!$D:$D,B1360,'01_異動主檔'!$E:$E,"移出")</f>
        <v/>
      </c>
      <c r="G1360" s="4">
        <f>SUMIFS('01_異動主檔'!$F:$F,'01_異動主檔'!$B:$B,104,'01_異動主檔'!$D:$D,B1360,'01_異動主檔'!$E:$E,"新增")</f>
        <v/>
      </c>
      <c r="H1360" s="4">
        <f>-SUMIFS('01_異動主檔'!$F:$F,'01_異動主檔'!$B:$B,104,'01_異動主檔'!$D:$D,B1360,'01_異動主檔'!$E:$E,"減列")</f>
        <v/>
      </c>
      <c r="I1360" s="4">
        <f>-SUMIFS('01_異動主檔'!$F:$F,'01_異動主檔'!$B:$B,104,'01_異動主檔'!$D:$D,B1360,'01_異動主檔'!$E:$E,"精簡")</f>
        <v/>
      </c>
      <c r="J1360" s="10">
        <f>D1360+E1360+F1360+G1360+H1360+I1360</f>
        <v/>
      </c>
    </row>
    <row r="1361" ht="18" customHeight="1">
      <c r="A1361" s="4" t="inlineStr">
        <is>
          <t>G003</t>
        </is>
      </c>
      <c r="B1361" s="3" t="inlineStr">
        <is>
          <t>東部辦公室</t>
        </is>
      </c>
      <c r="C1361" s="4" t="n">
        <v>105</v>
      </c>
      <c r="D1361" s="10">
        <f>J1360</f>
        <v/>
      </c>
      <c r="E1361" s="4">
        <f>SUMIFS('01_異動主檔'!$F:$F,'01_異動主檔'!$B:$B,105,'01_異動主檔'!$D:$D,B1361,'01_異動主檔'!$E:$E,"移入")</f>
        <v/>
      </c>
      <c r="F1361" s="4">
        <f>-SUMIFS('01_異動主檔'!$F:$F,'01_異動主檔'!$B:$B,105,'01_異動主檔'!$D:$D,B1361,'01_異動主檔'!$E:$E,"移出")</f>
        <v/>
      </c>
      <c r="G1361" s="4">
        <f>SUMIFS('01_異動主檔'!$F:$F,'01_異動主檔'!$B:$B,105,'01_異動主檔'!$D:$D,B1361,'01_異動主檔'!$E:$E,"新增")</f>
        <v/>
      </c>
      <c r="H1361" s="4">
        <f>-SUMIFS('01_異動主檔'!$F:$F,'01_異動主檔'!$B:$B,105,'01_異動主檔'!$D:$D,B1361,'01_異動主檔'!$E:$E,"減列")</f>
        <v/>
      </c>
      <c r="I1361" s="4">
        <f>-SUMIFS('01_異動主檔'!$F:$F,'01_異動主檔'!$B:$B,105,'01_異動主檔'!$D:$D,B1361,'01_異動主檔'!$E:$E,"精簡")</f>
        <v/>
      </c>
      <c r="J1361" s="10">
        <f>D1361+E1361+F1361+G1361+H1361+I1361</f>
        <v/>
      </c>
    </row>
    <row r="1362" ht="18" customHeight="1">
      <c r="A1362" s="6" t="inlineStr">
        <is>
          <t>G003</t>
        </is>
      </c>
      <c r="B1362" s="5" t="inlineStr">
        <is>
          <t>東部辦公室</t>
        </is>
      </c>
      <c r="C1362" s="6" t="n">
        <v>106</v>
      </c>
      <c r="D1362" s="10">
        <f>J1361</f>
        <v/>
      </c>
      <c r="E1362" s="4">
        <f>SUMIFS('01_異動主檔'!$F:$F,'01_異動主檔'!$B:$B,106,'01_異動主檔'!$D:$D,B1362,'01_異動主檔'!$E:$E,"移入")</f>
        <v/>
      </c>
      <c r="F1362" s="4">
        <f>-SUMIFS('01_異動主檔'!$F:$F,'01_異動主檔'!$B:$B,106,'01_異動主檔'!$D:$D,B1362,'01_異動主檔'!$E:$E,"移出")</f>
        <v/>
      </c>
      <c r="G1362" s="4">
        <f>SUMIFS('01_異動主檔'!$F:$F,'01_異動主檔'!$B:$B,106,'01_異動主檔'!$D:$D,B1362,'01_異動主檔'!$E:$E,"新增")</f>
        <v/>
      </c>
      <c r="H1362" s="4">
        <f>-SUMIFS('01_異動主檔'!$F:$F,'01_異動主檔'!$B:$B,106,'01_異動主檔'!$D:$D,B1362,'01_異動主檔'!$E:$E,"減列")</f>
        <v/>
      </c>
      <c r="I1362" s="4">
        <f>-SUMIFS('01_異動主檔'!$F:$F,'01_異動主檔'!$B:$B,106,'01_異動主檔'!$D:$D,B1362,'01_異動主檔'!$E:$E,"精簡")</f>
        <v/>
      </c>
      <c r="J1362" s="10">
        <f>D1362+E1362+F1362+G1362+H1362+I1362</f>
        <v/>
      </c>
    </row>
    <row r="1363" ht="18" customHeight="1">
      <c r="A1363" s="4" t="inlineStr">
        <is>
          <t>G003</t>
        </is>
      </c>
      <c r="B1363" s="3" t="inlineStr">
        <is>
          <t>東部辦公室</t>
        </is>
      </c>
      <c r="C1363" s="4" t="n">
        <v>107</v>
      </c>
      <c r="D1363" s="10">
        <f>J1362</f>
        <v/>
      </c>
      <c r="E1363" s="4">
        <f>SUMIFS('01_異動主檔'!$F:$F,'01_異動主檔'!$B:$B,107,'01_異動主檔'!$D:$D,B1363,'01_異動主檔'!$E:$E,"移入")</f>
        <v/>
      </c>
      <c r="F1363" s="4">
        <f>-SUMIFS('01_異動主檔'!$F:$F,'01_異動主檔'!$B:$B,107,'01_異動主檔'!$D:$D,B1363,'01_異動主檔'!$E:$E,"移出")</f>
        <v/>
      </c>
      <c r="G1363" s="4">
        <f>SUMIFS('01_異動主檔'!$F:$F,'01_異動主檔'!$B:$B,107,'01_異動主檔'!$D:$D,B1363,'01_異動主檔'!$E:$E,"新增")</f>
        <v/>
      </c>
      <c r="H1363" s="4">
        <f>-SUMIFS('01_異動主檔'!$F:$F,'01_異動主檔'!$B:$B,107,'01_異動主檔'!$D:$D,B1363,'01_異動主檔'!$E:$E,"減列")</f>
        <v/>
      </c>
      <c r="I1363" s="4">
        <f>-SUMIFS('01_異動主檔'!$F:$F,'01_異動主檔'!$B:$B,107,'01_異動主檔'!$D:$D,B1363,'01_異動主檔'!$E:$E,"精簡")</f>
        <v/>
      </c>
      <c r="J1363" s="10">
        <f>D1363+E1363+F1363+G1363+H1363+I1363</f>
        <v/>
      </c>
    </row>
    <row r="1364" ht="18" customHeight="1">
      <c r="A1364" s="6" t="inlineStr">
        <is>
          <t>G003</t>
        </is>
      </c>
      <c r="B1364" s="5" t="inlineStr">
        <is>
          <t>東部辦公室</t>
        </is>
      </c>
      <c r="C1364" s="6" t="n">
        <v>108</v>
      </c>
      <c r="D1364" s="10">
        <f>J1363</f>
        <v/>
      </c>
      <c r="E1364" s="4">
        <f>SUMIFS('01_異動主檔'!$F:$F,'01_異動主檔'!$B:$B,108,'01_異動主檔'!$D:$D,B1364,'01_異動主檔'!$E:$E,"移入")</f>
        <v/>
      </c>
      <c r="F1364" s="4">
        <f>-SUMIFS('01_異動主檔'!$F:$F,'01_異動主檔'!$B:$B,108,'01_異動主檔'!$D:$D,B1364,'01_異動主檔'!$E:$E,"移出")</f>
        <v/>
      </c>
      <c r="G1364" s="4">
        <f>SUMIFS('01_異動主檔'!$F:$F,'01_異動主檔'!$B:$B,108,'01_異動主檔'!$D:$D,B1364,'01_異動主檔'!$E:$E,"新增")</f>
        <v/>
      </c>
      <c r="H1364" s="4">
        <f>-SUMIFS('01_異動主檔'!$F:$F,'01_異動主檔'!$B:$B,108,'01_異動主檔'!$D:$D,B1364,'01_異動主檔'!$E:$E,"減列")</f>
        <v/>
      </c>
      <c r="I1364" s="4">
        <f>-SUMIFS('01_異動主檔'!$F:$F,'01_異動主檔'!$B:$B,108,'01_異動主檔'!$D:$D,B1364,'01_異動主檔'!$E:$E,"精簡")</f>
        <v/>
      </c>
      <c r="J1364" s="10">
        <f>D1364+E1364+F1364+G1364+H1364+I1364</f>
        <v/>
      </c>
    </row>
    <row r="1365" ht="18" customHeight="1">
      <c r="A1365" s="4" t="inlineStr">
        <is>
          <t>G003</t>
        </is>
      </c>
      <c r="B1365" s="3" t="inlineStr">
        <is>
          <t>東部辦公室</t>
        </is>
      </c>
      <c r="C1365" s="4" t="n">
        <v>109</v>
      </c>
      <c r="D1365" s="10">
        <f>J1364</f>
        <v/>
      </c>
      <c r="E1365" s="4">
        <f>SUMIFS('01_異動主檔'!$F:$F,'01_異動主檔'!$B:$B,109,'01_異動主檔'!$D:$D,B1365,'01_異動主檔'!$E:$E,"移入")</f>
        <v/>
      </c>
      <c r="F1365" s="4">
        <f>-SUMIFS('01_異動主檔'!$F:$F,'01_異動主檔'!$B:$B,109,'01_異動主檔'!$D:$D,B1365,'01_異動主檔'!$E:$E,"移出")</f>
        <v/>
      </c>
      <c r="G1365" s="4">
        <f>SUMIFS('01_異動主檔'!$F:$F,'01_異動主檔'!$B:$B,109,'01_異動主檔'!$D:$D,B1365,'01_異動主檔'!$E:$E,"新增")</f>
        <v/>
      </c>
      <c r="H1365" s="4">
        <f>-SUMIFS('01_異動主檔'!$F:$F,'01_異動主檔'!$B:$B,109,'01_異動主檔'!$D:$D,B1365,'01_異動主檔'!$E:$E,"減列")</f>
        <v/>
      </c>
      <c r="I1365" s="4">
        <f>-SUMIFS('01_異動主檔'!$F:$F,'01_異動主檔'!$B:$B,109,'01_異動主檔'!$D:$D,B1365,'01_異動主檔'!$E:$E,"精簡")</f>
        <v/>
      </c>
      <c r="J1365" s="10">
        <f>D1365+E1365+F1365+G1365+H1365+I1365</f>
        <v/>
      </c>
    </row>
    <row r="1366" ht="18" customHeight="1">
      <c r="A1366" s="6" t="inlineStr">
        <is>
          <t>G003</t>
        </is>
      </c>
      <c r="B1366" s="5" t="inlineStr">
        <is>
          <t>東部辦公室</t>
        </is>
      </c>
      <c r="C1366" s="6" t="n">
        <v>110</v>
      </c>
      <c r="D1366" s="10">
        <f>J1365</f>
        <v/>
      </c>
      <c r="E1366" s="4">
        <f>SUMIFS('01_異動主檔'!$F:$F,'01_異動主檔'!$B:$B,110,'01_異動主檔'!$D:$D,B1366,'01_異動主檔'!$E:$E,"移入")</f>
        <v/>
      </c>
      <c r="F1366" s="4">
        <f>-SUMIFS('01_異動主檔'!$F:$F,'01_異動主檔'!$B:$B,110,'01_異動主檔'!$D:$D,B1366,'01_異動主檔'!$E:$E,"移出")</f>
        <v/>
      </c>
      <c r="G1366" s="4">
        <f>SUMIFS('01_異動主檔'!$F:$F,'01_異動主檔'!$B:$B,110,'01_異動主檔'!$D:$D,B1366,'01_異動主檔'!$E:$E,"新增")</f>
        <v/>
      </c>
      <c r="H1366" s="4">
        <f>-SUMIFS('01_異動主檔'!$F:$F,'01_異動主檔'!$B:$B,110,'01_異動主檔'!$D:$D,B1366,'01_異動主檔'!$E:$E,"減列")</f>
        <v/>
      </c>
      <c r="I1366" s="4">
        <f>-SUMIFS('01_異動主檔'!$F:$F,'01_異動主檔'!$B:$B,110,'01_異動主檔'!$D:$D,B1366,'01_異動主檔'!$E:$E,"精簡")</f>
        <v/>
      </c>
      <c r="J1366" s="10">
        <f>D1366+E1366+F1366+G1366+H1366+I1366</f>
        <v/>
      </c>
    </row>
    <row r="1367" ht="18" customHeight="1">
      <c r="A1367" s="4" t="inlineStr">
        <is>
          <t>G003</t>
        </is>
      </c>
      <c r="B1367" s="3" t="inlineStr">
        <is>
          <t>東部辦公室</t>
        </is>
      </c>
      <c r="C1367" s="4" t="n">
        <v>111</v>
      </c>
      <c r="D1367" s="10">
        <f>J1366</f>
        <v/>
      </c>
      <c r="E1367" s="4">
        <f>SUMIFS('01_異動主檔'!$F:$F,'01_異動主檔'!$B:$B,111,'01_異動主檔'!$D:$D,B1367,'01_異動主檔'!$E:$E,"移入")</f>
        <v/>
      </c>
      <c r="F1367" s="4">
        <f>-SUMIFS('01_異動主檔'!$F:$F,'01_異動主檔'!$B:$B,111,'01_異動主檔'!$D:$D,B1367,'01_異動主檔'!$E:$E,"移出")</f>
        <v/>
      </c>
      <c r="G1367" s="4">
        <f>SUMIFS('01_異動主檔'!$F:$F,'01_異動主檔'!$B:$B,111,'01_異動主檔'!$D:$D,B1367,'01_異動主檔'!$E:$E,"新增")</f>
        <v/>
      </c>
      <c r="H1367" s="4">
        <f>-SUMIFS('01_異動主檔'!$F:$F,'01_異動主檔'!$B:$B,111,'01_異動主檔'!$D:$D,B1367,'01_異動主檔'!$E:$E,"減列")</f>
        <v/>
      </c>
      <c r="I1367" s="4">
        <f>-SUMIFS('01_異動主檔'!$F:$F,'01_異動主檔'!$B:$B,111,'01_異動主檔'!$D:$D,B1367,'01_異動主檔'!$E:$E,"精簡")</f>
        <v/>
      </c>
      <c r="J1367" s="10">
        <f>D1367+E1367+F1367+G1367+H1367+I1367</f>
        <v/>
      </c>
    </row>
    <row r="1368" ht="18" customHeight="1">
      <c r="A1368" s="6" t="inlineStr">
        <is>
          <t>G003</t>
        </is>
      </c>
      <c r="B1368" s="5" t="inlineStr">
        <is>
          <t>東部辦公室</t>
        </is>
      </c>
      <c r="C1368" s="6" t="n">
        <v>112</v>
      </c>
      <c r="D1368" s="10">
        <f>J1367</f>
        <v/>
      </c>
      <c r="E1368" s="4">
        <f>SUMIFS('01_異動主檔'!$F:$F,'01_異動主檔'!$B:$B,112,'01_異動主檔'!$D:$D,B1368,'01_異動主檔'!$E:$E,"移入")</f>
        <v/>
      </c>
      <c r="F1368" s="4">
        <f>-SUMIFS('01_異動主檔'!$F:$F,'01_異動主檔'!$B:$B,112,'01_異動主檔'!$D:$D,B1368,'01_異動主檔'!$E:$E,"移出")</f>
        <v/>
      </c>
      <c r="G1368" s="4">
        <f>SUMIFS('01_異動主檔'!$F:$F,'01_異動主檔'!$B:$B,112,'01_異動主檔'!$D:$D,B1368,'01_異動主檔'!$E:$E,"新增")</f>
        <v/>
      </c>
      <c r="H1368" s="4">
        <f>-SUMIFS('01_異動主檔'!$F:$F,'01_異動主檔'!$B:$B,112,'01_異動主檔'!$D:$D,B1368,'01_異動主檔'!$E:$E,"減列")</f>
        <v/>
      </c>
      <c r="I1368" s="4">
        <f>-SUMIFS('01_異動主檔'!$F:$F,'01_異動主檔'!$B:$B,112,'01_異動主檔'!$D:$D,B1368,'01_異動主檔'!$E:$E,"精簡")</f>
        <v/>
      </c>
      <c r="J1368" s="10">
        <f>D1368+E1368+F1368+G1368+H1368+I1368</f>
        <v/>
      </c>
    </row>
    <row r="1369" ht="18" customHeight="1">
      <c r="A1369" s="4" t="inlineStr">
        <is>
          <t>G003</t>
        </is>
      </c>
      <c r="B1369" s="3" t="inlineStr">
        <is>
          <t>東部辦公室</t>
        </is>
      </c>
      <c r="C1369" s="4" t="n">
        <v>113</v>
      </c>
      <c r="D1369" s="10">
        <f>J1368</f>
        <v/>
      </c>
      <c r="E1369" s="4">
        <f>SUMIFS('01_異動主檔'!$F:$F,'01_異動主檔'!$B:$B,113,'01_異動主檔'!$D:$D,B1369,'01_異動主檔'!$E:$E,"移入")</f>
        <v/>
      </c>
      <c r="F1369" s="4">
        <f>-SUMIFS('01_異動主檔'!$F:$F,'01_異動主檔'!$B:$B,113,'01_異動主檔'!$D:$D,B1369,'01_異動主檔'!$E:$E,"移出")</f>
        <v/>
      </c>
      <c r="G1369" s="4">
        <f>SUMIFS('01_異動主檔'!$F:$F,'01_異動主檔'!$B:$B,113,'01_異動主檔'!$D:$D,B1369,'01_異動主檔'!$E:$E,"新增")</f>
        <v/>
      </c>
      <c r="H1369" s="4">
        <f>-SUMIFS('01_異動主檔'!$F:$F,'01_異動主檔'!$B:$B,113,'01_異動主檔'!$D:$D,B1369,'01_異動主檔'!$E:$E,"減列")</f>
        <v/>
      </c>
      <c r="I1369" s="4">
        <f>-SUMIFS('01_異動主檔'!$F:$F,'01_異動主檔'!$B:$B,113,'01_異動主檔'!$D:$D,B1369,'01_異動主檔'!$E:$E,"精簡")</f>
        <v/>
      </c>
      <c r="J1369" s="10">
        <f>D1369+E1369+F1369+G1369+H1369+I1369</f>
        <v/>
      </c>
    </row>
    <row r="1370" ht="18" customHeight="1">
      <c r="A1370" s="6" t="inlineStr">
        <is>
          <t>G003</t>
        </is>
      </c>
      <c r="B1370" s="5" t="inlineStr">
        <is>
          <t>東部辦公室</t>
        </is>
      </c>
      <c r="C1370" s="6" t="n">
        <v>114</v>
      </c>
      <c r="D1370" s="10">
        <f>J1369</f>
        <v/>
      </c>
      <c r="E1370" s="4">
        <f>SUMIFS('01_異動主檔'!$F:$F,'01_異動主檔'!$B:$B,114,'01_異動主檔'!$D:$D,B1370,'01_異動主檔'!$E:$E,"移入")</f>
        <v/>
      </c>
      <c r="F1370" s="4">
        <f>-SUMIFS('01_異動主檔'!$F:$F,'01_異動主檔'!$B:$B,114,'01_異動主檔'!$D:$D,B1370,'01_異動主檔'!$E:$E,"移出")</f>
        <v/>
      </c>
      <c r="G1370" s="4">
        <f>SUMIFS('01_異動主檔'!$F:$F,'01_異動主檔'!$B:$B,114,'01_異動主檔'!$D:$D,B1370,'01_異動主檔'!$E:$E,"新增")</f>
        <v/>
      </c>
      <c r="H1370" s="4">
        <f>-SUMIFS('01_異動主檔'!$F:$F,'01_異動主檔'!$B:$B,114,'01_異動主檔'!$D:$D,B1370,'01_異動主檔'!$E:$E,"減列")</f>
        <v/>
      </c>
      <c r="I1370" s="4">
        <f>-SUMIFS('01_異動主檔'!$F:$F,'01_異動主檔'!$B:$B,114,'01_異動主檔'!$D:$D,B1370,'01_異動主檔'!$E:$E,"精簡")</f>
        <v/>
      </c>
      <c r="J1370" s="10">
        <f>D1370+E1370+F1370+G1370+H1370+I1370</f>
        <v/>
      </c>
    </row>
    <row r="1371" ht="18" customHeight="1">
      <c r="A1371" s="4" t="inlineStr">
        <is>
          <t>G003</t>
        </is>
      </c>
      <c r="B1371" s="3" t="inlineStr">
        <is>
          <t>東部辦公室</t>
        </is>
      </c>
      <c r="C1371" s="4" t="n">
        <v>115</v>
      </c>
      <c r="D1371" s="10">
        <f>J1370</f>
        <v/>
      </c>
      <c r="E1371" s="4">
        <f>SUMIFS('01_異動主檔'!$F:$F,'01_異動主檔'!$B:$B,115,'01_異動主檔'!$D:$D,B1371,'01_異動主檔'!$E:$E,"移入")</f>
        <v/>
      </c>
      <c r="F1371" s="4">
        <f>-SUMIFS('01_異動主檔'!$F:$F,'01_異動主檔'!$B:$B,115,'01_異動主檔'!$D:$D,B1371,'01_異動主檔'!$E:$E,"移出")</f>
        <v/>
      </c>
      <c r="G1371" s="4">
        <f>SUMIFS('01_異動主檔'!$F:$F,'01_異動主檔'!$B:$B,115,'01_異動主檔'!$D:$D,B1371,'01_異動主檔'!$E:$E,"新增")</f>
        <v/>
      </c>
      <c r="H1371" s="4">
        <f>-SUMIFS('01_異動主檔'!$F:$F,'01_異動主檔'!$B:$B,115,'01_異動主檔'!$D:$D,B1371,'01_異動主檔'!$E:$E,"減列")</f>
        <v/>
      </c>
      <c r="I1371" s="4">
        <f>-SUMIFS('01_異動主檔'!$F:$F,'01_異動主檔'!$B:$B,115,'01_異動主檔'!$D:$D,B1371,'01_異動主檔'!$E:$E,"精簡")</f>
        <v/>
      </c>
      <c r="J1371" s="10">
        <f>D1371+E1371+F1371+G1371+H1371+I1371</f>
        <v/>
      </c>
    </row>
    <row r="1372" ht="18" customHeight="1">
      <c r="A1372" s="6" t="inlineStr">
        <is>
          <t>G003</t>
        </is>
      </c>
      <c r="B1372" s="5" t="inlineStr">
        <is>
          <t>東部辦公室</t>
        </is>
      </c>
      <c r="C1372" s="6" t="n">
        <v>116</v>
      </c>
      <c r="D1372" s="10">
        <f>J1371</f>
        <v/>
      </c>
      <c r="E1372" s="4">
        <f>SUMIFS('01_異動主檔'!$F:$F,'01_異動主檔'!$B:$B,116,'01_異動主檔'!$D:$D,B1372,'01_異動主檔'!$E:$E,"移入")</f>
        <v/>
      </c>
      <c r="F1372" s="4">
        <f>-SUMIFS('01_異動主檔'!$F:$F,'01_異動主檔'!$B:$B,116,'01_異動主檔'!$D:$D,B1372,'01_異動主檔'!$E:$E,"移出")</f>
        <v/>
      </c>
      <c r="G1372" s="4">
        <f>SUMIFS('01_異動主檔'!$F:$F,'01_異動主檔'!$B:$B,116,'01_異動主檔'!$D:$D,B1372,'01_異動主檔'!$E:$E,"新增")</f>
        <v/>
      </c>
      <c r="H1372" s="4">
        <f>-SUMIFS('01_異動主檔'!$F:$F,'01_異動主檔'!$B:$B,116,'01_異動主檔'!$D:$D,B1372,'01_異動主檔'!$E:$E,"減列")</f>
        <v/>
      </c>
      <c r="I1372" s="4">
        <f>-SUMIFS('01_異動主檔'!$F:$F,'01_異動主檔'!$B:$B,116,'01_異動主檔'!$D:$D,B1372,'01_異動主檔'!$E:$E,"精簡")</f>
        <v/>
      </c>
      <c r="J1372" s="10">
        <f>D1372+E1372+F1372+G1372+H1372+I1372</f>
        <v/>
      </c>
    </row>
    <row r="1373" ht="18" customHeight="1">
      <c r="A1373" s="4" t="inlineStr">
        <is>
          <t>G003</t>
        </is>
      </c>
      <c r="B1373" s="3" t="inlineStr">
        <is>
          <t>東部辦公室</t>
        </is>
      </c>
      <c r="C1373" s="4" t="n">
        <v>117</v>
      </c>
      <c r="D1373" s="10">
        <f>J1372</f>
        <v/>
      </c>
      <c r="E1373" s="4">
        <f>SUMIFS('01_異動主檔'!$F:$F,'01_異動主檔'!$B:$B,117,'01_異動主檔'!$D:$D,B1373,'01_異動主檔'!$E:$E,"移入")</f>
        <v/>
      </c>
      <c r="F1373" s="4">
        <f>-SUMIFS('01_異動主檔'!$F:$F,'01_異動主檔'!$B:$B,117,'01_異動主檔'!$D:$D,B1373,'01_異動主檔'!$E:$E,"移出")</f>
        <v/>
      </c>
      <c r="G1373" s="4">
        <f>SUMIFS('01_異動主檔'!$F:$F,'01_異動主檔'!$B:$B,117,'01_異動主檔'!$D:$D,B1373,'01_異動主檔'!$E:$E,"新增")</f>
        <v/>
      </c>
      <c r="H1373" s="4">
        <f>-SUMIFS('01_異動主檔'!$F:$F,'01_異動主檔'!$B:$B,117,'01_異動主檔'!$D:$D,B1373,'01_異動主檔'!$E:$E,"減列")</f>
        <v/>
      </c>
      <c r="I1373" s="4">
        <f>-SUMIFS('01_異動主檔'!$F:$F,'01_異動主檔'!$B:$B,117,'01_異動主檔'!$D:$D,B1373,'01_異動主檔'!$E:$E,"精簡")</f>
        <v/>
      </c>
      <c r="J1373" s="10">
        <f>D1373+E1373+F1373+G1373+H1373+I1373</f>
        <v/>
      </c>
    </row>
    <row r="1374" ht="18" customHeight="1">
      <c r="A1374" s="6" t="inlineStr">
        <is>
          <t>G003</t>
        </is>
      </c>
      <c r="B1374" s="5" t="inlineStr">
        <is>
          <t>東部辦公室</t>
        </is>
      </c>
      <c r="C1374" s="6" t="n">
        <v>118</v>
      </c>
      <c r="D1374" s="10">
        <f>J1373</f>
        <v/>
      </c>
      <c r="E1374" s="4">
        <f>SUMIFS('01_異動主檔'!$F:$F,'01_異動主檔'!$B:$B,118,'01_異動主檔'!$D:$D,B1374,'01_異動主檔'!$E:$E,"移入")</f>
        <v/>
      </c>
      <c r="F1374" s="4">
        <f>-SUMIFS('01_異動主檔'!$F:$F,'01_異動主檔'!$B:$B,118,'01_異動主檔'!$D:$D,B1374,'01_異動主檔'!$E:$E,"移出")</f>
        <v/>
      </c>
      <c r="G1374" s="4">
        <f>SUMIFS('01_異動主檔'!$F:$F,'01_異動主檔'!$B:$B,118,'01_異動主檔'!$D:$D,B1374,'01_異動主檔'!$E:$E,"新增")</f>
        <v/>
      </c>
      <c r="H1374" s="4">
        <f>-SUMIFS('01_異動主檔'!$F:$F,'01_異動主檔'!$B:$B,118,'01_異動主檔'!$D:$D,B1374,'01_異動主檔'!$E:$E,"減列")</f>
        <v/>
      </c>
      <c r="I1374" s="4">
        <f>-SUMIFS('01_異動主檔'!$F:$F,'01_異動主檔'!$B:$B,118,'01_異動主檔'!$D:$D,B1374,'01_異動主檔'!$E:$E,"精簡")</f>
        <v/>
      </c>
      <c r="J1374" s="10">
        <f>D1374+E1374+F1374+G1374+H1374+I1374</f>
        <v/>
      </c>
    </row>
    <row r="1375" ht="18" customHeight="1">
      <c r="A1375" s="4" t="inlineStr">
        <is>
          <t>G003</t>
        </is>
      </c>
      <c r="B1375" s="3" t="inlineStr">
        <is>
          <t>東部辦公室</t>
        </is>
      </c>
      <c r="C1375" s="4" t="n">
        <v>119</v>
      </c>
      <c r="D1375" s="10">
        <f>J1374</f>
        <v/>
      </c>
      <c r="E1375" s="4">
        <f>SUMIFS('01_異動主檔'!$F:$F,'01_異動主檔'!$B:$B,119,'01_異動主檔'!$D:$D,B1375,'01_異動主檔'!$E:$E,"移入")</f>
        <v/>
      </c>
      <c r="F1375" s="4">
        <f>-SUMIFS('01_異動主檔'!$F:$F,'01_異動主檔'!$B:$B,119,'01_異動主檔'!$D:$D,B1375,'01_異動主檔'!$E:$E,"移出")</f>
        <v/>
      </c>
      <c r="G1375" s="4">
        <f>SUMIFS('01_異動主檔'!$F:$F,'01_異動主檔'!$B:$B,119,'01_異動主檔'!$D:$D,B1375,'01_異動主檔'!$E:$E,"新增")</f>
        <v/>
      </c>
      <c r="H1375" s="4">
        <f>-SUMIFS('01_異動主檔'!$F:$F,'01_異動主檔'!$B:$B,119,'01_異動主檔'!$D:$D,B1375,'01_異動主檔'!$E:$E,"減列")</f>
        <v/>
      </c>
      <c r="I1375" s="4">
        <f>-SUMIFS('01_異動主檔'!$F:$F,'01_異動主檔'!$B:$B,119,'01_異動主檔'!$D:$D,B1375,'01_異動主檔'!$E:$E,"精簡")</f>
        <v/>
      </c>
      <c r="J1375" s="10">
        <f>D1375+E1375+F1375+G1375+H1375+I1375</f>
        <v/>
      </c>
    </row>
    <row r="1376" ht="18" customHeight="1">
      <c r="A1376" s="6" t="inlineStr">
        <is>
          <t>G003</t>
        </is>
      </c>
      <c r="B1376" s="5" t="inlineStr">
        <is>
          <t>東部辦公室</t>
        </is>
      </c>
      <c r="C1376" s="6" t="n">
        <v>120</v>
      </c>
      <c r="D1376" s="10">
        <f>J1375</f>
        <v/>
      </c>
      <c r="E1376" s="4">
        <f>SUMIFS('01_異動主檔'!$F:$F,'01_異動主檔'!$B:$B,120,'01_異動主檔'!$D:$D,B1376,'01_異動主檔'!$E:$E,"移入")</f>
        <v/>
      </c>
      <c r="F1376" s="4">
        <f>-SUMIFS('01_異動主檔'!$F:$F,'01_異動主檔'!$B:$B,120,'01_異動主檔'!$D:$D,B1376,'01_異動主檔'!$E:$E,"移出")</f>
        <v/>
      </c>
      <c r="G1376" s="4">
        <f>SUMIFS('01_異動主檔'!$F:$F,'01_異動主檔'!$B:$B,120,'01_異動主檔'!$D:$D,B1376,'01_異動主檔'!$E:$E,"新增")</f>
        <v/>
      </c>
      <c r="H1376" s="4">
        <f>-SUMIFS('01_異動主檔'!$F:$F,'01_異動主檔'!$B:$B,120,'01_異動主檔'!$D:$D,B1376,'01_異動主檔'!$E:$E,"減列")</f>
        <v/>
      </c>
      <c r="I1376" s="4">
        <f>-SUMIFS('01_異動主檔'!$F:$F,'01_異動主檔'!$B:$B,120,'01_異動主檔'!$D:$D,B1376,'01_異動主檔'!$E:$E,"精簡")</f>
        <v/>
      </c>
      <c r="J1376" s="10">
        <f>D1376+E1376+F1376+G1376+H1376+I1376</f>
        <v/>
      </c>
    </row>
    <row r="1377" ht="18" customHeight="1">
      <c r="A1377" s="4" t="inlineStr">
        <is>
          <t>G003</t>
        </is>
      </c>
      <c r="B1377" s="3" t="inlineStr">
        <is>
          <t>東部辦公室</t>
        </is>
      </c>
      <c r="C1377" s="4" t="n">
        <v>121</v>
      </c>
      <c r="D1377" s="10">
        <f>J1376</f>
        <v/>
      </c>
      <c r="E1377" s="4">
        <f>SUMIFS('01_異動主檔'!$F:$F,'01_異動主檔'!$B:$B,121,'01_異動主檔'!$D:$D,B1377,'01_異動主檔'!$E:$E,"移入")</f>
        <v/>
      </c>
      <c r="F1377" s="4">
        <f>-SUMIFS('01_異動主檔'!$F:$F,'01_異動主檔'!$B:$B,121,'01_異動主檔'!$D:$D,B1377,'01_異動主檔'!$E:$E,"移出")</f>
        <v/>
      </c>
      <c r="G1377" s="4">
        <f>SUMIFS('01_異動主檔'!$F:$F,'01_異動主檔'!$B:$B,121,'01_異動主檔'!$D:$D,B1377,'01_異動主檔'!$E:$E,"新增")</f>
        <v/>
      </c>
      <c r="H1377" s="4">
        <f>-SUMIFS('01_異動主檔'!$F:$F,'01_異動主檔'!$B:$B,121,'01_異動主檔'!$D:$D,B1377,'01_異動主檔'!$E:$E,"減列")</f>
        <v/>
      </c>
      <c r="I1377" s="4">
        <f>-SUMIFS('01_異動主檔'!$F:$F,'01_異動主檔'!$B:$B,121,'01_異動主檔'!$D:$D,B1377,'01_異動主檔'!$E:$E,"精簡")</f>
        <v/>
      </c>
      <c r="J1377" s="10">
        <f>D1377+E1377+F1377+G1377+H1377+I1377</f>
        <v/>
      </c>
    </row>
    <row r="1378" ht="18" customHeight="1">
      <c r="A1378" s="6" t="inlineStr">
        <is>
          <t>G003</t>
        </is>
      </c>
      <c r="B1378" s="5" t="inlineStr">
        <is>
          <t>東部辦公室</t>
        </is>
      </c>
      <c r="C1378" s="6" t="n">
        <v>122</v>
      </c>
      <c r="D1378" s="10">
        <f>J1377</f>
        <v/>
      </c>
      <c r="E1378" s="4">
        <f>SUMIFS('01_異動主檔'!$F:$F,'01_異動主檔'!$B:$B,122,'01_異動主檔'!$D:$D,B1378,'01_異動主檔'!$E:$E,"移入")</f>
        <v/>
      </c>
      <c r="F1378" s="4">
        <f>-SUMIFS('01_異動主檔'!$F:$F,'01_異動主檔'!$B:$B,122,'01_異動主檔'!$D:$D,B1378,'01_異動主檔'!$E:$E,"移出")</f>
        <v/>
      </c>
      <c r="G1378" s="4">
        <f>SUMIFS('01_異動主檔'!$F:$F,'01_異動主檔'!$B:$B,122,'01_異動主檔'!$D:$D,B1378,'01_異動主檔'!$E:$E,"新增")</f>
        <v/>
      </c>
      <c r="H1378" s="4">
        <f>-SUMIFS('01_異動主檔'!$F:$F,'01_異動主檔'!$B:$B,122,'01_異動主檔'!$D:$D,B1378,'01_異動主檔'!$E:$E,"減列")</f>
        <v/>
      </c>
      <c r="I1378" s="4">
        <f>-SUMIFS('01_異動主檔'!$F:$F,'01_異動主檔'!$B:$B,122,'01_異動主檔'!$D:$D,B1378,'01_異動主檔'!$E:$E,"精簡")</f>
        <v/>
      </c>
      <c r="J1378" s="10">
        <f>D1378+E1378+F1378+G1378+H1378+I1378</f>
        <v/>
      </c>
    </row>
    <row r="1379" ht="18" customHeight="1">
      <c r="A1379" s="4" t="inlineStr">
        <is>
          <t>G003</t>
        </is>
      </c>
      <c r="B1379" s="3" t="inlineStr">
        <is>
          <t>東部辦公室</t>
        </is>
      </c>
      <c r="C1379" s="4" t="n">
        <v>123</v>
      </c>
      <c r="D1379" s="10">
        <f>J1378</f>
        <v/>
      </c>
      <c r="E1379" s="4">
        <f>SUMIFS('01_異動主檔'!$F:$F,'01_異動主檔'!$B:$B,123,'01_異動主檔'!$D:$D,B1379,'01_異動主檔'!$E:$E,"移入")</f>
        <v/>
      </c>
      <c r="F1379" s="4">
        <f>-SUMIFS('01_異動主檔'!$F:$F,'01_異動主檔'!$B:$B,123,'01_異動主檔'!$D:$D,B1379,'01_異動主檔'!$E:$E,"移出")</f>
        <v/>
      </c>
      <c r="G1379" s="4">
        <f>SUMIFS('01_異動主檔'!$F:$F,'01_異動主檔'!$B:$B,123,'01_異動主檔'!$D:$D,B1379,'01_異動主檔'!$E:$E,"新增")</f>
        <v/>
      </c>
      <c r="H1379" s="4">
        <f>-SUMIFS('01_異動主檔'!$F:$F,'01_異動主檔'!$B:$B,123,'01_異動主檔'!$D:$D,B1379,'01_異動主檔'!$E:$E,"減列")</f>
        <v/>
      </c>
      <c r="I1379" s="4">
        <f>-SUMIFS('01_異動主檔'!$F:$F,'01_異動主檔'!$B:$B,123,'01_異動主檔'!$D:$D,B1379,'01_異動主檔'!$E:$E,"精簡")</f>
        <v/>
      </c>
      <c r="J1379" s="10">
        <f>D1379+E1379+F1379+G1379+H1379+I1379</f>
        <v/>
      </c>
    </row>
    <row r="1380" ht="18" customHeight="1">
      <c r="A1380" s="6" t="inlineStr">
        <is>
          <t>G003</t>
        </is>
      </c>
      <c r="B1380" s="5" t="inlineStr">
        <is>
          <t>東部辦公室</t>
        </is>
      </c>
      <c r="C1380" s="6" t="n">
        <v>124</v>
      </c>
      <c r="D1380" s="10">
        <f>J1379</f>
        <v/>
      </c>
      <c r="E1380" s="4">
        <f>SUMIFS('01_異動主檔'!$F:$F,'01_異動主檔'!$B:$B,124,'01_異動主檔'!$D:$D,B1380,'01_異動主檔'!$E:$E,"移入")</f>
        <v/>
      </c>
      <c r="F1380" s="4">
        <f>-SUMIFS('01_異動主檔'!$F:$F,'01_異動主檔'!$B:$B,124,'01_異動主檔'!$D:$D,B1380,'01_異動主檔'!$E:$E,"移出")</f>
        <v/>
      </c>
      <c r="G1380" s="4">
        <f>SUMIFS('01_異動主檔'!$F:$F,'01_異動主檔'!$B:$B,124,'01_異動主檔'!$D:$D,B1380,'01_異動主檔'!$E:$E,"新增")</f>
        <v/>
      </c>
      <c r="H1380" s="4">
        <f>-SUMIFS('01_異動主檔'!$F:$F,'01_異動主檔'!$B:$B,124,'01_異動主檔'!$D:$D,B1380,'01_異動主檔'!$E:$E,"減列")</f>
        <v/>
      </c>
      <c r="I1380" s="4">
        <f>-SUMIFS('01_異動主檔'!$F:$F,'01_異動主檔'!$B:$B,124,'01_異動主檔'!$D:$D,B1380,'01_異動主檔'!$E:$E,"精簡")</f>
        <v/>
      </c>
      <c r="J1380" s="10">
        <f>D1380+E1380+F1380+G1380+H1380+I1380</f>
        <v/>
      </c>
    </row>
    <row r="1381" ht="18" customHeight="1">
      <c r="A1381" s="4" t="inlineStr">
        <is>
          <t>G003</t>
        </is>
      </c>
      <c r="B1381" s="3" t="inlineStr">
        <is>
          <t>東部辦公室</t>
        </is>
      </c>
      <c r="C1381" s="4" t="n">
        <v>125</v>
      </c>
      <c r="D1381" s="10">
        <f>J1380</f>
        <v/>
      </c>
      <c r="E1381" s="4">
        <f>SUMIFS('01_異動主檔'!$F:$F,'01_異動主檔'!$B:$B,125,'01_異動主檔'!$D:$D,B1381,'01_異動主檔'!$E:$E,"移入")</f>
        <v/>
      </c>
      <c r="F1381" s="4">
        <f>-SUMIFS('01_異動主檔'!$F:$F,'01_異動主檔'!$B:$B,125,'01_異動主檔'!$D:$D,B1381,'01_異動主檔'!$E:$E,"移出")</f>
        <v/>
      </c>
      <c r="G1381" s="4">
        <f>SUMIFS('01_異動主檔'!$F:$F,'01_異動主檔'!$B:$B,125,'01_異動主檔'!$D:$D,B1381,'01_異動主檔'!$E:$E,"新增")</f>
        <v/>
      </c>
      <c r="H1381" s="4">
        <f>-SUMIFS('01_異動主檔'!$F:$F,'01_異動主檔'!$B:$B,125,'01_異動主檔'!$D:$D,B1381,'01_異動主檔'!$E:$E,"減列")</f>
        <v/>
      </c>
      <c r="I1381" s="4">
        <f>-SUMIFS('01_異動主檔'!$F:$F,'01_異動主檔'!$B:$B,125,'01_異動主檔'!$D:$D,B1381,'01_異動主檔'!$E:$E,"精簡")</f>
        <v/>
      </c>
      <c r="J1381" s="10">
        <f>D1381+E1381+F1381+G1381+H1381+I1381</f>
        <v/>
      </c>
    </row>
    <row r="1382" ht="18" customHeight="1">
      <c r="A1382" s="6" t="inlineStr">
        <is>
          <t>G004</t>
        </is>
      </c>
      <c r="B1382" s="5" t="inlineStr">
        <is>
          <t>北部辦公室</t>
        </is>
      </c>
      <c r="C1382" s="6" t="n">
        <v>99</v>
      </c>
      <c r="D1382" s="10">
        <f>'02_年初員額設定'!C56</f>
        <v/>
      </c>
      <c r="E1382" s="4">
        <f>SUMIFS('01_異動主檔'!$F:$F,'01_異動主檔'!$B:$B,99,'01_異動主檔'!$D:$D,B1382,'01_異動主檔'!$E:$E,"移入")</f>
        <v/>
      </c>
      <c r="F1382" s="4">
        <f>-SUMIFS('01_異動主檔'!$F:$F,'01_異動主檔'!$B:$B,99,'01_異動主檔'!$D:$D,B1382,'01_異動主檔'!$E:$E,"移出")</f>
        <v/>
      </c>
      <c r="G1382" s="4">
        <f>SUMIFS('01_異動主檔'!$F:$F,'01_異動主檔'!$B:$B,99,'01_異動主檔'!$D:$D,B1382,'01_異動主檔'!$E:$E,"新增")</f>
        <v/>
      </c>
      <c r="H1382" s="4">
        <f>-SUMIFS('01_異動主檔'!$F:$F,'01_異動主檔'!$B:$B,99,'01_異動主檔'!$D:$D,B1382,'01_異動主檔'!$E:$E,"減列")</f>
        <v/>
      </c>
      <c r="I1382" s="4">
        <f>-SUMIFS('01_異動主檔'!$F:$F,'01_異動主檔'!$B:$B,99,'01_異動主檔'!$D:$D,B1382,'01_異動主檔'!$E:$E,"精簡")</f>
        <v/>
      </c>
      <c r="J1382" s="10">
        <f>D1382+E1382+F1382+G1382+H1382+I1382</f>
        <v/>
      </c>
    </row>
    <row r="1383" ht="18" customHeight="1">
      <c r="A1383" s="4" t="inlineStr">
        <is>
          <t>G004</t>
        </is>
      </c>
      <c r="B1383" s="3" t="inlineStr">
        <is>
          <t>北部辦公室</t>
        </is>
      </c>
      <c r="C1383" s="4" t="n">
        <v>100</v>
      </c>
      <c r="D1383" s="10">
        <f>J1382</f>
        <v/>
      </c>
      <c r="E1383" s="4">
        <f>SUMIFS('01_異動主檔'!$F:$F,'01_異動主檔'!$B:$B,100,'01_異動主檔'!$D:$D,B1383,'01_異動主檔'!$E:$E,"移入")</f>
        <v/>
      </c>
      <c r="F1383" s="4">
        <f>-SUMIFS('01_異動主檔'!$F:$F,'01_異動主檔'!$B:$B,100,'01_異動主檔'!$D:$D,B1383,'01_異動主檔'!$E:$E,"移出")</f>
        <v/>
      </c>
      <c r="G1383" s="4">
        <f>SUMIFS('01_異動主檔'!$F:$F,'01_異動主檔'!$B:$B,100,'01_異動主檔'!$D:$D,B1383,'01_異動主檔'!$E:$E,"新增")</f>
        <v/>
      </c>
      <c r="H1383" s="4">
        <f>-SUMIFS('01_異動主檔'!$F:$F,'01_異動主檔'!$B:$B,100,'01_異動主檔'!$D:$D,B1383,'01_異動主檔'!$E:$E,"減列")</f>
        <v/>
      </c>
      <c r="I1383" s="4">
        <f>-SUMIFS('01_異動主檔'!$F:$F,'01_異動主檔'!$B:$B,100,'01_異動主檔'!$D:$D,B1383,'01_異動主檔'!$E:$E,"精簡")</f>
        <v/>
      </c>
      <c r="J1383" s="10">
        <f>D1383+E1383+F1383+G1383+H1383+I1383</f>
        <v/>
      </c>
    </row>
    <row r="1384" ht="18" customHeight="1">
      <c r="A1384" s="6" t="inlineStr">
        <is>
          <t>G004</t>
        </is>
      </c>
      <c r="B1384" s="5" t="inlineStr">
        <is>
          <t>北部辦公室</t>
        </is>
      </c>
      <c r="C1384" s="6" t="n">
        <v>101</v>
      </c>
      <c r="D1384" s="10">
        <f>J1383</f>
        <v/>
      </c>
      <c r="E1384" s="4">
        <f>SUMIFS('01_異動主檔'!$F:$F,'01_異動主檔'!$B:$B,101,'01_異動主檔'!$D:$D,B1384,'01_異動主檔'!$E:$E,"移入")</f>
        <v/>
      </c>
      <c r="F1384" s="4">
        <f>-SUMIFS('01_異動主檔'!$F:$F,'01_異動主檔'!$B:$B,101,'01_異動主檔'!$D:$D,B1384,'01_異動主檔'!$E:$E,"移出")</f>
        <v/>
      </c>
      <c r="G1384" s="4">
        <f>SUMIFS('01_異動主檔'!$F:$F,'01_異動主檔'!$B:$B,101,'01_異動主檔'!$D:$D,B1384,'01_異動主檔'!$E:$E,"新增")</f>
        <v/>
      </c>
      <c r="H1384" s="4">
        <f>-SUMIFS('01_異動主檔'!$F:$F,'01_異動主檔'!$B:$B,101,'01_異動主檔'!$D:$D,B1384,'01_異動主檔'!$E:$E,"減列")</f>
        <v/>
      </c>
      <c r="I1384" s="4">
        <f>-SUMIFS('01_異動主檔'!$F:$F,'01_異動主檔'!$B:$B,101,'01_異動主檔'!$D:$D,B1384,'01_異動主檔'!$E:$E,"精簡")</f>
        <v/>
      </c>
      <c r="J1384" s="10">
        <f>D1384+E1384+F1384+G1384+H1384+I1384</f>
        <v/>
      </c>
    </row>
    <row r="1385" ht="18" customHeight="1">
      <c r="A1385" s="4" t="inlineStr">
        <is>
          <t>G004</t>
        </is>
      </c>
      <c r="B1385" s="3" t="inlineStr">
        <is>
          <t>北部辦公室</t>
        </is>
      </c>
      <c r="C1385" s="4" t="n">
        <v>102</v>
      </c>
      <c r="D1385" s="10">
        <f>J1384</f>
        <v/>
      </c>
      <c r="E1385" s="4">
        <f>SUMIFS('01_異動主檔'!$F:$F,'01_異動主檔'!$B:$B,102,'01_異動主檔'!$D:$D,B1385,'01_異動主檔'!$E:$E,"移入")</f>
        <v/>
      </c>
      <c r="F1385" s="4">
        <f>-SUMIFS('01_異動主檔'!$F:$F,'01_異動主檔'!$B:$B,102,'01_異動主檔'!$D:$D,B1385,'01_異動主檔'!$E:$E,"移出")</f>
        <v/>
      </c>
      <c r="G1385" s="4">
        <f>SUMIFS('01_異動主檔'!$F:$F,'01_異動主檔'!$B:$B,102,'01_異動主檔'!$D:$D,B1385,'01_異動主檔'!$E:$E,"新增")</f>
        <v/>
      </c>
      <c r="H1385" s="4">
        <f>-SUMIFS('01_異動主檔'!$F:$F,'01_異動主檔'!$B:$B,102,'01_異動主檔'!$D:$D,B1385,'01_異動主檔'!$E:$E,"減列")</f>
        <v/>
      </c>
      <c r="I1385" s="4">
        <f>-SUMIFS('01_異動主檔'!$F:$F,'01_異動主檔'!$B:$B,102,'01_異動主檔'!$D:$D,B1385,'01_異動主檔'!$E:$E,"精簡")</f>
        <v/>
      </c>
      <c r="J1385" s="10">
        <f>D1385+E1385+F1385+G1385+H1385+I1385</f>
        <v/>
      </c>
    </row>
    <row r="1386" ht="18" customHeight="1">
      <c r="A1386" s="6" t="inlineStr">
        <is>
          <t>G004</t>
        </is>
      </c>
      <c r="B1386" s="5" t="inlineStr">
        <is>
          <t>北部辦公室</t>
        </is>
      </c>
      <c r="C1386" s="6" t="n">
        <v>103</v>
      </c>
      <c r="D1386" s="10">
        <f>J1385</f>
        <v/>
      </c>
      <c r="E1386" s="4">
        <f>SUMIFS('01_異動主檔'!$F:$F,'01_異動主檔'!$B:$B,103,'01_異動主檔'!$D:$D,B1386,'01_異動主檔'!$E:$E,"移入")</f>
        <v/>
      </c>
      <c r="F1386" s="4">
        <f>-SUMIFS('01_異動主檔'!$F:$F,'01_異動主檔'!$B:$B,103,'01_異動主檔'!$D:$D,B1386,'01_異動主檔'!$E:$E,"移出")</f>
        <v/>
      </c>
      <c r="G1386" s="4">
        <f>SUMIFS('01_異動主檔'!$F:$F,'01_異動主檔'!$B:$B,103,'01_異動主檔'!$D:$D,B1386,'01_異動主檔'!$E:$E,"新增")</f>
        <v/>
      </c>
      <c r="H1386" s="4">
        <f>-SUMIFS('01_異動主檔'!$F:$F,'01_異動主檔'!$B:$B,103,'01_異動主檔'!$D:$D,B1386,'01_異動主檔'!$E:$E,"減列")</f>
        <v/>
      </c>
      <c r="I1386" s="4">
        <f>-SUMIFS('01_異動主檔'!$F:$F,'01_異動主檔'!$B:$B,103,'01_異動主檔'!$D:$D,B1386,'01_異動主檔'!$E:$E,"精簡")</f>
        <v/>
      </c>
      <c r="J1386" s="10">
        <f>D1386+E1386+F1386+G1386+H1386+I1386</f>
        <v/>
      </c>
    </row>
    <row r="1387" ht="18" customHeight="1">
      <c r="A1387" s="4" t="inlineStr">
        <is>
          <t>G004</t>
        </is>
      </c>
      <c r="B1387" s="3" t="inlineStr">
        <is>
          <t>北部辦公室</t>
        </is>
      </c>
      <c r="C1387" s="4" t="n">
        <v>104</v>
      </c>
      <c r="D1387" s="10">
        <f>J1386</f>
        <v/>
      </c>
      <c r="E1387" s="4">
        <f>SUMIFS('01_異動主檔'!$F:$F,'01_異動主檔'!$B:$B,104,'01_異動主檔'!$D:$D,B1387,'01_異動主檔'!$E:$E,"移入")</f>
        <v/>
      </c>
      <c r="F1387" s="4">
        <f>-SUMIFS('01_異動主檔'!$F:$F,'01_異動主檔'!$B:$B,104,'01_異動主檔'!$D:$D,B1387,'01_異動主檔'!$E:$E,"移出")</f>
        <v/>
      </c>
      <c r="G1387" s="4">
        <f>SUMIFS('01_異動主檔'!$F:$F,'01_異動主檔'!$B:$B,104,'01_異動主檔'!$D:$D,B1387,'01_異動主檔'!$E:$E,"新增")</f>
        <v/>
      </c>
      <c r="H1387" s="4">
        <f>-SUMIFS('01_異動主檔'!$F:$F,'01_異動主檔'!$B:$B,104,'01_異動主檔'!$D:$D,B1387,'01_異動主檔'!$E:$E,"減列")</f>
        <v/>
      </c>
      <c r="I1387" s="4">
        <f>-SUMIFS('01_異動主檔'!$F:$F,'01_異動主檔'!$B:$B,104,'01_異動主檔'!$D:$D,B1387,'01_異動主檔'!$E:$E,"精簡")</f>
        <v/>
      </c>
      <c r="J1387" s="10">
        <f>D1387+E1387+F1387+G1387+H1387+I1387</f>
        <v/>
      </c>
    </row>
    <row r="1388" ht="18" customHeight="1">
      <c r="A1388" s="6" t="inlineStr">
        <is>
          <t>G004</t>
        </is>
      </c>
      <c r="B1388" s="5" t="inlineStr">
        <is>
          <t>北部辦公室</t>
        </is>
      </c>
      <c r="C1388" s="6" t="n">
        <v>105</v>
      </c>
      <c r="D1388" s="10">
        <f>J1387</f>
        <v/>
      </c>
      <c r="E1388" s="4">
        <f>SUMIFS('01_異動主檔'!$F:$F,'01_異動主檔'!$B:$B,105,'01_異動主檔'!$D:$D,B1388,'01_異動主檔'!$E:$E,"移入")</f>
        <v/>
      </c>
      <c r="F1388" s="4">
        <f>-SUMIFS('01_異動主檔'!$F:$F,'01_異動主檔'!$B:$B,105,'01_異動主檔'!$D:$D,B1388,'01_異動主檔'!$E:$E,"移出")</f>
        <v/>
      </c>
      <c r="G1388" s="4">
        <f>SUMIFS('01_異動主檔'!$F:$F,'01_異動主檔'!$B:$B,105,'01_異動主檔'!$D:$D,B1388,'01_異動主檔'!$E:$E,"新增")</f>
        <v/>
      </c>
      <c r="H1388" s="4">
        <f>-SUMIFS('01_異動主檔'!$F:$F,'01_異動主檔'!$B:$B,105,'01_異動主檔'!$D:$D,B1388,'01_異動主檔'!$E:$E,"減列")</f>
        <v/>
      </c>
      <c r="I1388" s="4">
        <f>-SUMIFS('01_異動主檔'!$F:$F,'01_異動主檔'!$B:$B,105,'01_異動主檔'!$D:$D,B1388,'01_異動主檔'!$E:$E,"精簡")</f>
        <v/>
      </c>
      <c r="J1388" s="10">
        <f>D1388+E1388+F1388+G1388+H1388+I1388</f>
        <v/>
      </c>
    </row>
    <row r="1389" ht="18" customHeight="1">
      <c r="A1389" s="4" t="inlineStr">
        <is>
          <t>G004</t>
        </is>
      </c>
      <c r="B1389" s="3" t="inlineStr">
        <is>
          <t>北部辦公室</t>
        </is>
      </c>
      <c r="C1389" s="4" t="n">
        <v>106</v>
      </c>
      <c r="D1389" s="10">
        <f>J1388</f>
        <v/>
      </c>
      <c r="E1389" s="4">
        <f>SUMIFS('01_異動主檔'!$F:$F,'01_異動主檔'!$B:$B,106,'01_異動主檔'!$D:$D,B1389,'01_異動主檔'!$E:$E,"移入")</f>
        <v/>
      </c>
      <c r="F1389" s="4">
        <f>-SUMIFS('01_異動主檔'!$F:$F,'01_異動主檔'!$B:$B,106,'01_異動主檔'!$D:$D,B1389,'01_異動主檔'!$E:$E,"移出")</f>
        <v/>
      </c>
      <c r="G1389" s="4">
        <f>SUMIFS('01_異動主檔'!$F:$F,'01_異動主檔'!$B:$B,106,'01_異動主檔'!$D:$D,B1389,'01_異動主檔'!$E:$E,"新增")</f>
        <v/>
      </c>
      <c r="H1389" s="4">
        <f>-SUMIFS('01_異動主檔'!$F:$F,'01_異動主檔'!$B:$B,106,'01_異動主檔'!$D:$D,B1389,'01_異動主檔'!$E:$E,"減列")</f>
        <v/>
      </c>
      <c r="I1389" s="4">
        <f>-SUMIFS('01_異動主檔'!$F:$F,'01_異動主檔'!$B:$B,106,'01_異動主檔'!$D:$D,B1389,'01_異動主檔'!$E:$E,"精簡")</f>
        <v/>
      </c>
      <c r="J1389" s="10">
        <f>D1389+E1389+F1389+G1389+H1389+I1389</f>
        <v/>
      </c>
    </row>
    <row r="1390" ht="18" customHeight="1">
      <c r="A1390" s="6" t="inlineStr">
        <is>
          <t>G004</t>
        </is>
      </c>
      <c r="B1390" s="5" t="inlineStr">
        <is>
          <t>北部辦公室</t>
        </is>
      </c>
      <c r="C1390" s="6" t="n">
        <v>107</v>
      </c>
      <c r="D1390" s="10">
        <f>J1389</f>
        <v/>
      </c>
      <c r="E1390" s="4">
        <f>SUMIFS('01_異動主檔'!$F:$F,'01_異動主檔'!$B:$B,107,'01_異動主檔'!$D:$D,B1390,'01_異動主檔'!$E:$E,"移入")</f>
        <v/>
      </c>
      <c r="F1390" s="4">
        <f>-SUMIFS('01_異動主檔'!$F:$F,'01_異動主檔'!$B:$B,107,'01_異動主檔'!$D:$D,B1390,'01_異動主檔'!$E:$E,"移出")</f>
        <v/>
      </c>
      <c r="G1390" s="4">
        <f>SUMIFS('01_異動主檔'!$F:$F,'01_異動主檔'!$B:$B,107,'01_異動主檔'!$D:$D,B1390,'01_異動主檔'!$E:$E,"新增")</f>
        <v/>
      </c>
      <c r="H1390" s="4">
        <f>-SUMIFS('01_異動主檔'!$F:$F,'01_異動主檔'!$B:$B,107,'01_異動主檔'!$D:$D,B1390,'01_異動主檔'!$E:$E,"減列")</f>
        <v/>
      </c>
      <c r="I1390" s="4">
        <f>-SUMIFS('01_異動主檔'!$F:$F,'01_異動主檔'!$B:$B,107,'01_異動主檔'!$D:$D,B1390,'01_異動主檔'!$E:$E,"精簡")</f>
        <v/>
      </c>
      <c r="J1390" s="10">
        <f>D1390+E1390+F1390+G1390+H1390+I1390</f>
        <v/>
      </c>
    </row>
    <row r="1391" ht="18" customHeight="1">
      <c r="A1391" s="4" t="inlineStr">
        <is>
          <t>G004</t>
        </is>
      </c>
      <c r="B1391" s="3" t="inlineStr">
        <is>
          <t>北部辦公室</t>
        </is>
      </c>
      <c r="C1391" s="4" t="n">
        <v>108</v>
      </c>
      <c r="D1391" s="10">
        <f>J1390</f>
        <v/>
      </c>
      <c r="E1391" s="4">
        <f>SUMIFS('01_異動主檔'!$F:$F,'01_異動主檔'!$B:$B,108,'01_異動主檔'!$D:$D,B1391,'01_異動主檔'!$E:$E,"移入")</f>
        <v/>
      </c>
      <c r="F1391" s="4">
        <f>-SUMIFS('01_異動主檔'!$F:$F,'01_異動主檔'!$B:$B,108,'01_異動主檔'!$D:$D,B1391,'01_異動主檔'!$E:$E,"移出")</f>
        <v/>
      </c>
      <c r="G1391" s="4">
        <f>SUMIFS('01_異動主檔'!$F:$F,'01_異動主檔'!$B:$B,108,'01_異動主檔'!$D:$D,B1391,'01_異動主檔'!$E:$E,"新增")</f>
        <v/>
      </c>
      <c r="H1391" s="4">
        <f>-SUMIFS('01_異動主檔'!$F:$F,'01_異動主檔'!$B:$B,108,'01_異動主檔'!$D:$D,B1391,'01_異動主檔'!$E:$E,"減列")</f>
        <v/>
      </c>
      <c r="I1391" s="4">
        <f>-SUMIFS('01_異動主檔'!$F:$F,'01_異動主檔'!$B:$B,108,'01_異動主檔'!$D:$D,B1391,'01_異動主檔'!$E:$E,"精簡")</f>
        <v/>
      </c>
      <c r="J1391" s="10">
        <f>D1391+E1391+F1391+G1391+H1391+I1391</f>
        <v/>
      </c>
    </row>
    <row r="1392" ht="18" customHeight="1">
      <c r="A1392" s="6" t="inlineStr">
        <is>
          <t>G004</t>
        </is>
      </c>
      <c r="B1392" s="5" t="inlineStr">
        <is>
          <t>北部辦公室</t>
        </is>
      </c>
      <c r="C1392" s="6" t="n">
        <v>109</v>
      </c>
      <c r="D1392" s="10">
        <f>J1391</f>
        <v/>
      </c>
      <c r="E1392" s="4">
        <f>SUMIFS('01_異動主檔'!$F:$F,'01_異動主檔'!$B:$B,109,'01_異動主檔'!$D:$D,B1392,'01_異動主檔'!$E:$E,"移入")</f>
        <v/>
      </c>
      <c r="F1392" s="4">
        <f>-SUMIFS('01_異動主檔'!$F:$F,'01_異動主檔'!$B:$B,109,'01_異動主檔'!$D:$D,B1392,'01_異動主檔'!$E:$E,"移出")</f>
        <v/>
      </c>
      <c r="G1392" s="4">
        <f>SUMIFS('01_異動主檔'!$F:$F,'01_異動主檔'!$B:$B,109,'01_異動主檔'!$D:$D,B1392,'01_異動主檔'!$E:$E,"新增")</f>
        <v/>
      </c>
      <c r="H1392" s="4">
        <f>-SUMIFS('01_異動主檔'!$F:$F,'01_異動主檔'!$B:$B,109,'01_異動主檔'!$D:$D,B1392,'01_異動主檔'!$E:$E,"減列")</f>
        <v/>
      </c>
      <c r="I1392" s="4">
        <f>-SUMIFS('01_異動主檔'!$F:$F,'01_異動主檔'!$B:$B,109,'01_異動主檔'!$D:$D,B1392,'01_異動主檔'!$E:$E,"精簡")</f>
        <v/>
      </c>
      <c r="J1392" s="10">
        <f>D1392+E1392+F1392+G1392+H1392+I1392</f>
        <v/>
      </c>
    </row>
    <row r="1393" ht="18" customHeight="1">
      <c r="A1393" s="4" t="inlineStr">
        <is>
          <t>G004</t>
        </is>
      </c>
      <c r="B1393" s="3" t="inlineStr">
        <is>
          <t>北部辦公室</t>
        </is>
      </c>
      <c r="C1393" s="4" t="n">
        <v>110</v>
      </c>
      <c r="D1393" s="10">
        <f>J1392</f>
        <v/>
      </c>
      <c r="E1393" s="4">
        <f>SUMIFS('01_異動主檔'!$F:$F,'01_異動主檔'!$B:$B,110,'01_異動主檔'!$D:$D,B1393,'01_異動主檔'!$E:$E,"移入")</f>
        <v/>
      </c>
      <c r="F1393" s="4">
        <f>-SUMIFS('01_異動主檔'!$F:$F,'01_異動主檔'!$B:$B,110,'01_異動主檔'!$D:$D,B1393,'01_異動主檔'!$E:$E,"移出")</f>
        <v/>
      </c>
      <c r="G1393" s="4">
        <f>SUMIFS('01_異動主檔'!$F:$F,'01_異動主檔'!$B:$B,110,'01_異動主檔'!$D:$D,B1393,'01_異動主檔'!$E:$E,"新增")</f>
        <v/>
      </c>
      <c r="H1393" s="4">
        <f>-SUMIFS('01_異動主檔'!$F:$F,'01_異動主檔'!$B:$B,110,'01_異動主檔'!$D:$D,B1393,'01_異動主檔'!$E:$E,"減列")</f>
        <v/>
      </c>
      <c r="I1393" s="4">
        <f>-SUMIFS('01_異動主檔'!$F:$F,'01_異動主檔'!$B:$B,110,'01_異動主檔'!$D:$D,B1393,'01_異動主檔'!$E:$E,"精簡")</f>
        <v/>
      </c>
      <c r="J1393" s="10">
        <f>D1393+E1393+F1393+G1393+H1393+I1393</f>
        <v/>
      </c>
    </row>
    <row r="1394" ht="18" customHeight="1">
      <c r="A1394" s="6" t="inlineStr">
        <is>
          <t>G004</t>
        </is>
      </c>
      <c r="B1394" s="5" t="inlineStr">
        <is>
          <t>北部辦公室</t>
        </is>
      </c>
      <c r="C1394" s="6" t="n">
        <v>111</v>
      </c>
      <c r="D1394" s="10">
        <f>J1393</f>
        <v/>
      </c>
      <c r="E1394" s="4">
        <f>SUMIFS('01_異動主檔'!$F:$F,'01_異動主檔'!$B:$B,111,'01_異動主檔'!$D:$D,B1394,'01_異動主檔'!$E:$E,"移入")</f>
        <v/>
      </c>
      <c r="F1394" s="4">
        <f>-SUMIFS('01_異動主檔'!$F:$F,'01_異動主檔'!$B:$B,111,'01_異動主檔'!$D:$D,B1394,'01_異動主檔'!$E:$E,"移出")</f>
        <v/>
      </c>
      <c r="G1394" s="4">
        <f>SUMIFS('01_異動主檔'!$F:$F,'01_異動主檔'!$B:$B,111,'01_異動主檔'!$D:$D,B1394,'01_異動主檔'!$E:$E,"新增")</f>
        <v/>
      </c>
      <c r="H1394" s="4">
        <f>-SUMIFS('01_異動主檔'!$F:$F,'01_異動主檔'!$B:$B,111,'01_異動主檔'!$D:$D,B1394,'01_異動主檔'!$E:$E,"減列")</f>
        <v/>
      </c>
      <c r="I1394" s="4">
        <f>-SUMIFS('01_異動主檔'!$F:$F,'01_異動主檔'!$B:$B,111,'01_異動主檔'!$D:$D,B1394,'01_異動主檔'!$E:$E,"精簡")</f>
        <v/>
      </c>
      <c r="J1394" s="10">
        <f>D1394+E1394+F1394+G1394+H1394+I1394</f>
        <v/>
      </c>
    </row>
    <row r="1395" ht="18" customHeight="1">
      <c r="A1395" s="4" t="inlineStr">
        <is>
          <t>G004</t>
        </is>
      </c>
      <c r="B1395" s="3" t="inlineStr">
        <is>
          <t>北部辦公室</t>
        </is>
      </c>
      <c r="C1395" s="4" t="n">
        <v>112</v>
      </c>
      <c r="D1395" s="10">
        <f>J1394</f>
        <v/>
      </c>
      <c r="E1395" s="4">
        <f>SUMIFS('01_異動主檔'!$F:$F,'01_異動主檔'!$B:$B,112,'01_異動主檔'!$D:$D,B1395,'01_異動主檔'!$E:$E,"移入")</f>
        <v/>
      </c>
      <c r="F1395" s="4">
        <f>-SUMIFS('01_異動主檔'!$F:$F,'01_異動主檔'!$B:$B,112,'01_異動主檔'!$D:$D,B1395,'01_異動主檔'!$E:$E,"移出")</f>
        <v/>
      </c>
      <c r="G1395" s="4">
        <f>SUMIFS('01_異動主檔'!$F:$F,'01_異動主檔'!$B:$B,112,'01_異動主檔'!$D:$D,B1395,'01_異動主檔'!$E:$E,"新增")</f>
        <v/>
      </c>
      <c r="H1395" s="4">
        <f>-SUMIFS('01_異動主檔'!$F:$F,'01_異動主檔'!$B:$B,112,'01_異動主檔'!$D:$D,B1395,'01_異動主檔'!$E:$E,"減列")</f>
        <v/>
      </c>
      <c r="I1395" s="4">
        <f>-SUMIFS('01_異動主檔'!$F:$F,'01_異動主檔'!$B:$B,112,'01_異動主檔'!$D:$D,B1395,'01_異動主檔'!$E:$E,"精簡")</f>
        <v/>
      </c>
      <c r="J1395" s="10">
        <f>D1395+E1395+F1395+G1395+H1395+I1395</f>
        <v/>
      </c>
    </row>
    <row r="1396" ht="18" customHeight="1">
      <c r="A1396" s="6" t="inlineStr">
        <is>
          <t>G004</t>
        </is>
      </c>
      <c r="B1396" s="5" t="inlineStr">
        <is>
          <t>北部辦公室</t>
        </is>
      </c>
      <c r="C1396" s="6" t="n">
        <v>113</v>
      </c>
      <c r="D1396" s="10">
        <f>J1395</f>
        <v/>
      </c>
      <c r="E1396" s="4">
        <f>SUMIFS('01_異動主檔'!$F:$F,'01_異動主檔'!$B:$B,113,'01_異動主檔'!$D:$D,B1396,'01_異動主檔'!$E:$E,"移入")</f>
        <v/>
      </c>
      <c r="F1396" s="4">
        <f>-SUMIFS('01_異動主檔'!$F:$F,'01_異動主檔'!$B:$B,113,'01_異動主檔'!$D:$D,B1396,'01_異動主檔'!$E:$E,"移出")</f>
        <v/>
      </c>
      <c r="G1396" s="4">
        <f>SUMIFS('01_異動主檔'!$F:$F,'01_異動主檔'!$B:$B,113,'01_異動主檔'!$D:$D,B1396,'01_異動主檔'!$E:$E,"新增")</f>
        <v/>
      </c>
      <c r="H1396" s="4">
        <f>-SUMIFS('01_異動主檔'!$F:$F,'01_異動主檔'!$B:$B,113,'01_異動主檔'!$D:$D,B1396,'01_異動主檔'!$E:$E,"減列")</f>
        <v/>
      </c>
      <c r="I1396" s="4">
        <f>-SUMIFS('01_異動主檔'!$F:$F,'01_異動主檔'!$B:$B,113,'01_異動主檔'!$D:$D,B1396,'01_異動主檔'!$E:$E,"精簡")</f>
        <v/>
      </c>
      <c r="J1396" s="10">
        <f>D1396+E1396+F1396+G1396+H1396+I1396</f>
        <v/>
      </c>
    </row>
    <row r="1397" ht="18" customHeight="1">
      <c r="A1397" s="4" t="inlineStr">
        <is>
          <t>G004</t>
        </is>
      </c>
      <c r="B1397" s="3" t="inlineStr">
        <is>
          <t>北部辦公室</t>
        </is>
      </c>
      <c r="C1397" s="4" t="n">
        <v>114</v>
      </c>
      <c r="D1397" s="10">
        <f>J1396</f>
        <v/>
      </c>
      <c r="E1397" s="4">
        <f>SUMIFS('01_異動主檔'!$F:$F,'01_異動主檔'!$B:$B,114,'01_異動主檔'!$D:$D,B1397,'01_異動主檔'!$E:$E,"移入")</f>
        <v/>
      </c>
      <c r="F1397" s="4">
        <f>-SUMIFS('01_異動主檔'!$F:$F,'01_異動主檔'!$B:$B,114,'01_異動主檔'!$D:$D,B1397,'01_異動主檔'!$E:$E,"移出")</f>
        <v/>
      </c>
      <c r="G1397" s="4">
        <f>SUMIFS('01_異動主檔'!$F:$F,'01_異動主檔'!$B:$B,114,'01_異動主檔'!$D:$D,B1397,'01_異動主檔'!$E:$E,"新增")</f>
        <v/>
      </c>
      <c r="H1397" s="4">
        <f>-SUMIFS('01_異動主檔'!$F:$F,'01_異動主檔'!$B:$B,114,'01_異動主檔'!$D:$D,B1397,'01_異動主檔'!$E:$E,"減列")</f>
        <v/>
      </c>
      <c r="I1397" s="4">
        <f>-SUMIFS('01_異動主檔'!$F:$F,'01_異動主檔'!$B:$B,114,'01_異動主檔'!$D:$D,B1397,'01_異動主檔'!$E:$E,"精簡")</f>
        <v/>
      </c>
      <c r="J1397" s="10">
        <f>D1397+E1397+F1397+G1397+H1397+I1397</f>
        <v/>
      </c>
    </row>
    <row r="1398" ht="18" customHeight="1">
      <c r="A1398" s="6" t="inlineStr">
        <is>
          <t>G004</t>
        </is>
      </c>
      <c r="B1398" s="5" t="inlineStr">
        <is>
          <t>北部辦公室</t>
        </is>
      </c>
      <c r="C1398" s="6" t="n">
        <v>115</v>
      </c>
      <c r="D1398" s="10">
        <f>J1397</f>
        <v/>
      </c>
      <c r="E1398" s="4">
        <f>SUMIFS('01_異動主檔'!$F:$F,'01_異動主檔'!$B:$B,115,'01_異動主檔'!$D:$D,B1398,'01_異動主檔'!$E:$E,"移入")</f>
        <v/>
      </c>
      <c r="F1398" s="4">
        <f>-SUMIFS('01_異動主檔'!$F:$F,'01_異動主檔'!$B:$B,115,'01_異動主檔'!$D:$D,B1398,'01_異動主檔'!$E:$E,"移出")</f>
        <v/>
      </c>
      <c r="G1398" s="4">
        <f>SUMIFS('01_異動主檔'!$F:$F,'01_異動主檔'!$B:$B,115,'01_異動主檔'!$D:$D,B1398,'01_異動主檔'!$E:$E,"新增")</f>
        <v/>
      </c>
      <c r="H1398" s="4">
        <f>-SUMIFS('01_異動主檔'!$F:$F,'01_異動主檔'!$B:$B,115,'01_異動主檔'!$D:$D,B1398,'01_異動主檔'!$E:$E,"減列")</f>
        <v/>
      </c>
      <c r="I1398" s="4">
        <f>-SUMIFS('01_異動主檔'!$F:$F,'01_異動主檔'!$B:$B,115,'01_異動主檔'!$D:$D,B1398,'01_異動主檔'!$E:$E,"精簡")</f>
        <v/>
      </c>
      <c r="J1398" s="10">
        <f>D1398+E1398+F1398+G1398+H1398+I1398</f>
        <v/>
      </c>
    </row>
    <row r="1399" ht="18" customHeight="1">
      <c r="A1399" s="4" t="inlineStr">
        <is>
          <t>G004</t>
        </is>
      </c>
      <c r="B1399" s="3" t="inlineStr">
        <is>
          <t>北部辦公室</t>
        </is>
      </c>
      <c r="C1399" s="4" t="n">
        <v>116</v>
      </c>
      <c r="D1399" s="10">
        <f>J1398</f>
        <v/>
      </c>
      <c r="E1399" s="4">
        <f>SUMIFS('01_異動主檔'!$F:$F,'01_異動主檔'!$B:$B,116,'01_異動主檔'!$D:$D,B1399,'01_異動主檔'!$E:$E,"移入")</f>
        <v/>
      </c>
      <c r="F1399" s="4">
        <f>-SUMIFS('01_異動主檔'!$F:$F,'01_異動主檔'!$B:$B,116,'01_異動主檔'!$D:$D,B1399,'01_異動主檔'!$E:$E,"移出")</f>
        <v/>
      </c>
      <c r="G1399" s="4">
        <f>SUMIFS('01_異動主檔'!$F:$F,'01_異動主檔'!$B:$B,116,'01_異動主檔'!$D:$D,B1399,'01_異動主檔'!$E:$E,"新增")</f>
        <v/>
      </c>
      <c r="H1399" s="4">
        <f>-SUMIFS('01_異動主檔'!$F:$F,'01_異動主檔'!$B:$B,116,'01_異動主檔'!$D:$D,B1399,'01_異動主檔'!$E:$E,"減列")</f>
        <v/>
      </c>
      <c r="I1399" s="4">
        <f>-SUMIFS('01_異動主檔'!$F:$F,'01_異動主檔'!$B:$B,116,'01_異動主檔'!$D:$D,B1399,'01_異動主檔'!$E:$E,"精簡")</f>
        <v/>
      </c>
      <c r="J1399" s="10">
        <f>D1399+E1399+F1399+G1399+H1399+I1399</f>
        <v/>
      </c>
    </row>
    <row r="1400" ht="18" customHeight="1">
      <c r="A1400" s="6" t="inlineStr">
        <is>
          <t>G004</t>
        </is>
      </c>
      <c r="B1400" s="5" t="inlineStr">
        <is>
          <t>北部辦公室</t>
        </is>
      </c>
      <c r="C1400" s="6" t="n">
        <v>117</v>
      </c>
      <c r="D1400" s="10">
        <f>J1399</f>
        <v/>
      </c>
      <c r="E1400" s="4">
        <f>SUMIFS('01_異動主檔'!$F:$F,'01_異動主檔'!$B:$B,117,'01_異動主檔'!$D:$D,B1400,'01_異動主檔'!$E:$E,"移入")</f>
        <v/>
      </c>
      <c r="F1400" s="4">
        <f>-SUMIFS('01_異動主檔'!$F:$F,'01_異動主檔'!$B:$B,117,'01_異動主檔'!$D:$D,B1400,'01_異動主檔'!$E:$E,"移出")</f>
        <v/>
      </c>
      <c r="G1400" s="4">
        <f>SUMIFS('01_異動主檔'!$F:$F,'01_異動主檔'!$B:$B,117,'01_異動主檔'!$D:$D,B1400,'01_異動主檔'!$E:$E,"新增")</f>
        <v/>
      </c>
      <c r="H1400" s="4">
        <f>-SUMIFS('01_異動主檔'!$F:$F,'01_異動主檔'!$B:$B,117,'01_異動主檔'!$D:$D,B1400,'01_異動主檔'!$E:$E,"減列")</f>
        <v/>
      </c>
      <c r="I1400" s="4">
        <f>-SUMIFS('01_異動主檔'!$F:$F,'01_異動主檔'!$B:$B,117,'01_異動主檔'!$D:$D,B1400,'01_異動主檔'!$E:$E,"精簡")</f>
        <v/>
      </c>
      <c r="J1400" s="10">
        <f>D1400+E1400+F1400+G1400+H1400+I1400</f>
        <v/>
      </c>
    </row>
    <row r="1401" ht="18" customHeight="1">
      <c r="A1401" s="4" t="inlineStr">
        <is>
          <t>G004</t>
        </is>
      </c>
      <c r="B1401" s="3" t="inlineStr">
        <is>
          <t>北部辦公室</t>
        </is>
      </c>
      <c r="C1401" s="4" t="n">
        <v>118</v>
      </c>
      <c r="D1401" s="10">
        <f>J1400</f>
        <v/>
      </c>
      <c r="E1401" s="4">
        <f>SUMIFS('01_異動主檔'!$F:$F,'01_異動主檔'!$B:$B,118,'01_異動主檔'!$D:$D,B1401,'01_異動主檔'!$E:$E,"移入")</f>
        <v/>
      </c>
      <c r="F1401" s="4">
        <f>-SUMIFS('01_異動主檔'!$F:$F,'01_異動主檔'!$B:$B,118,'01_異動主檔'!$D:$D,B1401,'01_異動主檔'!$E:$E,"移出")</f>
        <v/>
      </c>
      <c r="G1401" s="4">
        <f>SUMIFS('01_異動主檔'!$F:$F,'01_異動主檔'!$B:$B,118,'01_異動主檔'!$D:$D,B1401,'01_異動主檔'!$E:$E,"新增")</f>
        <v/>
      </c>
      <c r="H1401" s="4">
        <f>-SUMIFS('01_異動主檔'!$F:$F,'01_異動主檔'!$B:$B,118,'01_異動主檔'!$D:$D,B1401,'01_異動主檔'!$E:$E,"減列")</f>
        <v/>
      </c>
      <c r="I1401" s="4">
        <f>-SUMIFS('01_異動主檔'!$F:$F,'01_異動主檔'!$B:$B,118,'01_異動主檔'!$D:$D,B1401,'01_異動主檔'!$E:$E,"精簡")</f>
        <v/>
      </c>
      <c r="J1401" s="10">
        <f>D1401+E1401+F1401+G1401+H1401+I1401</f>
        <v/>
      </c>
    </row>
    <row r="1402" ht="18" customHeight="1">
      <c r="A1402" s="6" t="inlineStr">
        <is>
          <t>G004</t>
        </is>
      </c>
      <c r="B1402" s="5" t="inlineStr">
        <is>
          <t>北部辦公室</t>
        </is>
      </c>
      <c r="C1402" s="6" t="n">
        <v>119</v>
      </c>
      <c r="D1402" s="10">
        <f>J1401</f>
        <v/>
      </c>
      <c r="E1402" s="4">
        <f>SUMIFS('01_異動主檔'!$F:$F,'01_異動主檔'!$B:$B,119,'01_異動主檔'!$D:$D,B1402,'01_異動主檔'!$E:$E,"移入")</f>
        <v/>
      </c>
      <c r="F1402" s="4">
        <f>-SUMIFS('01_異動主檔'!$F:$F,'01_異動主檔'!$B:$B,119,'01_異動主檔'!$D:$D,B1402,'01_異動主檔'!$E:$E,"移出")</f>
        <v/>
      </c>
      <c r="G1402" s="4">
        <f>SUMIFS('01_異動主檔'!$F:$F,'01_異動主檔'!$B:$B,119,'01_異動主檔'!$D:$D,B1402,'01_異動主檔'!$E:$E,"新增")</f>
        <v/>
      </c>
      <c r="H1402" s="4">
        <f>-SUMIFS('01_異動主檔'!$F:$F,'01_異動主檔'!$B:$B,119,'01_異動主檔'!$D:$D,B1402,'01_異動主檔'!$E:$E,"減列")</f>
        <v/>
      </c>
      <c r="I1402" s="4">
        <f>-SUMIFS('01_異動主檔'!$F:$F,'01_異動主檔'!$B:$B,119,'01_異動主檔'!$D:$D,B1402,'01_異動主檔'!$E:$E,"精簡")</f>
        <v/>
      </c>
      <c r="J1402" s="10">
        <f>D1402+E1402+F1402+G1402+H1402+I1402</f>
        <v/>
      </c>
    </row>
    <row r="1403" ht="18" customHeight="1">
      <c r="A1403" s="4" t="inlineStr">
        <is>
          <t>G004</t>
        </is>
      </c>
      <c r="B1403" s="3" t="inlineStr">
        <is>
          <t>北部辦公室</t>
        </is>
      </c>
      <c r="C1403" s="4" t="n">
        <v>120</v>
      </c>
      <c r="D1403" s="10">
        <f>J1402</f>
        <v/>
      </c>
      <c r="E1403" s="4">
        <f>SUMIFS('01_異動主檔'!$F:$F,'01_異動主檔'!$B:$B,120,'01_異動主檔'!$D:$D,B1403,'01_異動主檔'!$E:$E,"移入")</f>
        <v/>
      </c>
      <c r="F1403" s="4">
        <f>-SUMIFS('01_異動主檔'!$F:$F,'01_異動主檔'!$B:$B,120,'01_異動主檔'!$D:$D,B1403,'01_異動主檔'!$E:$E,"移出")</f>
        <v/>
      </c>
      <c r="G1403" s="4">
        <f>SUMIFS('01_異動主檔'!$F:$F,'01_異動主檔'!$B:$B,120,'01_異動主檔'!$D:$D,B1403,'01_異動主檔'!$E:$E,"新增")</f>
        <v/>
      </c>
      <c r="H1403" s="4">
        <f>-SUMIFS('01_異動主檔'!$F:$F,'01_異動主檔'!$B:$B,120,'01_異動主檔'!$D:$D,B1403,'01_異動主檔'!$E:$E,"減列")</f>
        <v/>
      </c>
      <c r="I1403" s="4">
        <f>-SUMIFS('01_異動主檔'!$F:$F,'01_異動主檔'!$B:$B,120,'01_異動主檔'!$D:$D,B1403,'01_異動主檔'!$E:$E,"精簡")</f>
        <v/>
      </c>
      <c r="J1403" s="10">
        <f>D1403+E1403+F1403+G1403+H1403+I1403</f>
        <v/>
      </c>
    </row>
    <row r="1404" ht="18" customHeight="1">
      <c r="A1404" s="6" t="inlineStr">
        <is>
          <t>G004</t>
        </is>
      </c>
      <c r="B1404" s="5" t="inlineStr">
        <is>
          <t>北部辦公室</t>
        </is>
      </c>
      <c r="C1404" s="6" t="n">
        <v>121</v>
      </c>
      <c r="D1404" s="10">
        <f>J1403</f>
        <v/>
      </c>
      <c r="E1404" s="4">
        <f>SUMIFS('01_異動主檔'!$F:$F,'01_異動主檔'!$B:$B,121,'01_異動主檔'!$D:$D,B1404,'01_異動主檔'!$E:$E,"移入")</f>
        <v/>
      </c>
      <c r="F1404" s="4">
        <f>-SUMIFS('01_異動主檔'!$F:$F,'01_異動主檔'!$B:$B,121,'01_異動主檔'!$D:$D,B1404,'01_異動主檔'!$E:$E,"移出")</f>
        <v/>
      </c>
      <c r="G1404" s="4">
        <f>SUMIFS('01_異動主檔'!$F:$F,'01_異動主檔'!$B:$B,121,'01_異動主檔'!$D:$D,B1404,'01_異動主檔'!$E:$E,"新增")</f>
        <v/>
      </c>
      <c r="H1404" s="4">
        <f>-SUMIFS('01_異動主檔'!$F:$F,'01_異動主檔'!$B:$B,121,'01_異動主檔'!$D:$D,B1404,'01_異動主檔'!$E:$E,"減列")</f>
        <v/>
      </c>
      <c r="I1404" s="4">
        <f>-SUMIFS('01_異動主檔'!$F:$F,'01_異動主檔'!$B:$B,121,'01_異動主檔'!$D:$D,B1404,'01_異動主檔'!$E:$E,"精簡")</f>
        <v/>
      </c>
      <c r="J1404" s="10">
        <f>D1404+E1404+F1404+G1404+H1404+I1404</f>
        <v/>
      </c>
    </row>
    <row r="1405" ht="18" customHeight="1">
      <c r="A1405" s="4" t="inlineStr">
        <is>
          <t>G004</t>
        </is>
      </c>
      <c r="B1405" s="3" t="inlineStr">
        <is>
          <t>北部辦公室</t>
        </is>
      </c>
      <c r="C1405" s="4" t="n">
        <v>122</v>
      </c>
      <c r="D1405" s="10">
        <f>J1404</f>
        <v/>
      </c>
      <c r="E1405" s="4">
        <f>SUMIFS('01_異動主檔'!$F:$F,'01_異動主檔'!$B:$B,122,'01_異動主檔'!$D:$D,B1405,'01_異動主檔'!$E:$E,"移入")</f>
        <v/>
      </c>
      <c r="F1405" s="4">
        <f>-SUMIFS('01_異動主檔'!$F:$F,'01_異動主檔'!$B:$B,122,'01_異動主檔'!$D:$D,B1405,'01_異動主檔'!$E:$E,"移出")</f>
        <v/>
      </c>
      <c r="G1405" s="4">
        <f>SUMIFS('01_異動主檔'!$F:$F,'01_異動主檔'!$B:$B,122,'01_異動主檔'!$D:$D,B1405,'01_異動主檔'!$E:$E,"新增")</f>
        <v/>
      </c>
      <c r="H1405" s="4">
        <f>-SUMIFS('01_異動主檔'!$F:$F,'01_異動主檔'!$B:$B,122,'01_異動主檔'!$D:$D,B1405,'01_異動主檔'!$E:$E,"減列")</f>
        <v/>
      </c>
      <c r="I1405" s="4">
        <f>-SUMIFS('01_異動主檔'!$F:$F,'01_異動主檔'!$B:$B,122,'01_異動主檔'!$D:$D,B1405,'01_異動主檔'!$E:$E,"精簡")</f>
        <v/>
      </c>
      <c r="J1405" s="10">
        <f>D1405+E1405+F1405+G1405+H1405+I1405</f>
        <v/>
      </c>
    </row>
    <row r="1406" ht="18" customHeight="1">
      <c r="A1406" s="6" t="inlineStr">
        <is>
          <t>G004</t>
        </is>
      </c>
      <c r="B1406" s="5" t="inlineStr">
        <is>
          <t>北部辦公室</t>
        </is>
      </c>
      <c r="C1406" s="6" t="n">
        <v>123</v>
      </c>
      <c r="D1406" s="10">
        <f>J1405</f>
        <v/>
      </c>
      <c r="E1406" s="4">
        <f>SUMIFS('01_異動主檔'!$F:$F,'01_異動主檔'!$B:$B,123,'01_異動主檔'!$D:$D,B1406,'01_異動主檔'!$E:$E,"移入")</f>
        <v/>
      </c>
      <c r="F1406" s="4">
        <f>-SUMIFS('01_異動主檔'!$F:$F,'01_異動主檔'!$B:$B,123,'01_異動主檔'!$D:$D,B1406,'01_異動主檔'!$E:$E,"移出")</f>
        <v/>
      </c>
      <c r="G1406" s="4">
        <f>SUMIFS('01_異動主檔'!$F:$F,'01_異動主檔'!$B:$B,123,'01_異動主檔'!$D:$D,B1406,'01_異動主檔'!$E:$E,"新增")</f>
        <v/>
      </c>
      <c r="H1406" s="4">
        <f>-SUMIFS('01_異動主檔'!$F:$F,'01_異動主檔'!$B:$B,123,'01_異動主檔'!$D:$D,B1406,'01_異動主檔'!$E:$E,"減列")</f>
        <v/>
      </c>
      <c r="I1406" s="4">
        <f>-SUMIFS('01_異動主檔'!$F:$F,'01_異動主檔'!$B:$B,123,'01_異動主檔'!$D:$D,B1406,'01_異動主檔'!$E:$E,"精簡")</f>
        <v/>
      </c>
      <c r="J1406" s="10">
        <f>D1406+E1406+F1406+G1406+H1406+I1406</f>
        <v/>
      </c>
    </row>
    <row r="1407" ht="18" customHeight="1">
      <c r="A1407" s="4" t="inlineStr">
        <is>
          <t>G004</t>
        </is>
      </c>
      <c r="B1407" s="3" t="inlineStr">
        <is>
          <t>北部辦公室</t>
        </is>
      </c>
      <c r="C1407" s="4" t="n">
        <v>124</v>
      </c>
      <c r="D1407" s="10">
        <f>J1406</f>
        <v/>
      </c>
      <c r="E1407" s="4">
        <f>SUMIFS('01_異動主檔'!$F:$F,'01_異動主檔'!$B:$B,124,'01_異動主檔'!$D:$D,B1407,'01_異動主檔'!$E:$E,"移入")</f>
        <v/>
      </c>
      <c r="F1407" s="4">
        <f>-SUMIFS('01_異動主檔'!$F:$F,'01_異動主檔'!$B:$B,124,'01_異動主檔'!$D:$D,B1407,'01_異動主檔'!$E:$E,"移出")</f>
        <v/>
      </c>
      <c r="G1407" s="4">
        <f>SUMIFS('01_異動主檔'!$F:$F,'01_異動主檔'!$B:$B,124,'01_異動主檔'!$D:$D,B1407,'01_異動主檔'!$E:$E,"新增")</f>
        <v/>
      </c>
      <c r="H1407" s="4">
        <f>-SUMIFS('01_異動主檔'!$F:$F,'01_異動主檔'!$B:$B,124,'01_異動主檔'!$D:$D,B1407,'01_異動主檔'!$E:$E,"減列")</f>
        <v/>
      </c>
      <c r="I1407" s="4">
        <f>-SUMIFS('01_異動主檔'!$F:$F,'01_異動主檔'!$B:$B,124,'01_異動主檔'!$D:$D,B1407,'01_異動主檔'!$E:$E,"精簡")</f>
        <v/>
      </c>
      <c r="J1407" s="10">
        <f>D1407+E1407+F1407+G1407+H1407+I1407</f>
        <v/>
      </c>
    </row>
    <row r="1408" ht="18" customHeight="1">
      <c r="A1408" s="6" t="inlineStr">
        <is>
          <t>G004</t>
        </is>
      </c>
      <c r="B1408" s="5" t="inlineStr">
        <is>
          <t>北部辦公室</t>
        </is>
      </c>
      <c r="C1408" s="6" t="n">
        <v>125</v>
      </c>
      <c r="D1408" s="10">
        <f>J1407</f>
        <v/>
      </c>
      <c r="E1408" s="4">
        <f>SUMIFS('01_異動主檔'!$F:$F,'01_異動主檔'!$B:$B,125,'01_異動主檔'!$D:$D,B1408,'01_異動主檔'!$E:$E,"移入")</f>
        <v/>
      </c>
      <c r="F1408" s="4">
        <f>-SUMIFS('01_異動主檔'!$F:$F,'01_異動主檔'!$B:$B,125,'01_異動主檔'!$D:$D,B1408,'01_異動主檔'!$E:$E,"移出")</f>
        <v/>
      </c>
      <c r="G1408" s="4">
        <f>SUMIFS('01_異動主檔'!$F:$F,'01_異動主檔'!$B:$B,125,'01_異動主檔'!$D:$D,B1408,'01_異動主檔'!$E:$E,"新增")</f>
        <v/>
      </c>
      <c r="H1408" s="4">
        <f>-SUMIFS('01_異動主檔'!$F:$F,'01_異動主檔'!$B:$B,125,'01_異動主檔'!$D:$D,B1408,'01_異動主檔'!$E:$E,"減列")</f>
        <v/>
      </c>
      <c r="I1408" s="4">
        <f>-SUMIFS('01_異動主檔'!$F:$F,'01_異動主檔'!$B:$B,125,'01_異動主檔'!$D:$D,B1408,'01_異動主檔'!$E:$E,"精簡")</f>
        <v/>
      </c>
      <c r="J1408" s="10">
        <f>D1408+E1408+F1408+G1408+H1408+I1408</f>
        <v/>
      </c>
    </row>
    <row r="1409" ht="18" customHeight="1">
      <c r="A1409" s="4" t="inlineStr">
        <is>
          <t>G005</t>
        </is>
      </c>
      <c r="B1409" s="3" t="inlineStr">
        <is>
          <t>離島辦公室</t>
        </is>
      </c>
      <c r="C1409" s="4" t="n">
        <v>99</v>
      </c>
      <c r="D1409" s="10">
        <f>'02_年初員額設定'!C57</f>
        <v/>
      </c>
      <c r="E1409" s="4">
        <f>SUMIFS('01_異動主檔'!$F:$F,'01_異動主檔'!$B:$B,99,'01_異動主檔'!$D:$D,B1409,'01_異動主檔'!$E:$E,"移入")</f>
        <v/>
      </c>
      <c r="F1409" s="4">
        <f>-SUMIFS('01_異動主檔'!$F:$F,'01_異動主檔'!$B:$B,99,'01_異動主檔'!$D:$D,B1409,'01_異動主檔'!$E:$E,"移出")</f>
        <v/>
      </c>
      <c r="G1409" s="4">
        <f>SUMIFS('01_異動主檔'!$F:$F,'01_異動主檔'!$B:$B,99,'01_異動主檔'!$D:$D,B1409,'01_異動主檔'!$E:$E,"新增")</f>
        <v/>
      </c>
      <c r="H1409" s="4">
        <f>-SUMIFS('01_異動主檔'!$F:$F,'01_異動主檔'!$B:$B,99,'01_異動主檔'!$D:$D,B1409,'01_異動主檔'!$E:$E,"減列")</f>
        <v/>
      </c>
      <c r="I1409" s="4">
        <f>-SUMIFS('01_異動主檔'!$F:$F,'01_異動主檔'!$B:$B,99,'01_異動主檔'!$D:$D,B1409,'01_異動主檔'!$E:$E,"精簡")</f>
        <v/>
      </c>
      <c r="J1409" s="10">
        <f>D1409+E1409+F1409+G1409+H1409+I1409</f>
        <v/>
      </c>
    </row>
    <row r="1410" ht="18" customHeight="1">
      <c r="A1410" s="6" t="inlineStr">
        <is>
          <t>G005</t>
        </is>
      </c>
      <c r="B1410" s="5" t="inlineStr">
        <is>
          <t>離島辦公室</t>
        </is>
      </c>
      <c r="C1410" s="6" t="n">
        <v>100</v>
      </c>
      <c r="D1410" s="10">
        <f>J1409</f>
        <v/>
      </c>
      <c r="E1410" s="4">
        <f>SUMIFS('01_異動主檔'!$F:$F,'01_異動主檔'!$B:$B,100,'01_異動主檔'!$D:$D,B1410,'01_異動主檔'!$E:$E,"移入")</f>
        <v/>
      </c>
      <c r="F1410" s="4">
        <f>-SUMIFS('01_異動主檔'!$F:$F,'01_異動主檔'!$B:$B,100,'01_異動主檔'!$D:$D,B1410,'01_異動主檔'!$E:$E,"移出")</f>
        <v/>
      </c>
      <c r="G1410" s="4">
        <f>SUMIFS('01_異動主檔'!$F:$F,'01_異動主檔'!$B:$B,100,'01_異動主檔'!$D:$D,B1410,'01_異動主檔'!$E:$E,"新增")</f>
        <v/>
      </c>
      <c r="H1410" s="4">
        <f>-SUMIFS('01_異動主檔'!$F:$F,'01_異動主檔'!$B:$B,100,'01_異動主檔'!$D:$D,B1410,'01_異動主檔'!$E:$E,"減列")</f>
        <v/>
      </c>
      <c r="I1410" s="4">
        <f>-SUMIFS('01_異動主檔'!$F:$F,'01_異動主檔'!$B:$B,100,'01_異動主檔'!$D:$D,B1410,'01_異動主檔'!$E:$E,"精簡")</f>
        <v/>
      </c>
      <c r="J1410" s="10">
        <f>D1410+E1410+F1410+G1410+H1410+I1410</f>
        <v/>
      </c>
    </row>
    <row r="1411" ht="18" customHeight="1">
      <c r="A1411" s="4" t="inlineStr">
        <is>
          <t>G005</t>
        </is>
      </c>
      <c r="B1411" s="3" t="inlineStr">
        <is>
          <t>離島辦公室</t>
        </is>
      </c>
      <c r="C1411" s="4" t="n">
        <v>101</v>
      </c>
      <c r="D1411" s="10">
        <f>J1410</f>
        <v/>
      </c>
      <c r="E1411" s="4">
        <f>SUMIFS('01_異動主檔'!$F:$F,'01_異動主檔'!$B:$B,101,'01_異動主檔'!$D:$D,B1411,'01_異動主檔'!$E:$E,"移入")</f>
        <v/>
      </c>
      <c r="F1411" s="4">
        <f>-SUMIFS('01_異動主檔'!$F:$F,'01_異動主檔'!$B:$B,101,'01_異動主檔'!$D:$D,B1411,'01_異動主檔'!$E:$E,"移出")</f>
        <v/>
      </c>
      <c r="G1411" s="4">
        <f>SUMIFS('01_異動主檔'!$F:$F,'01_異動主檔'!$B:$B,101,'01_異動主檔'!$D:$D,B1411,'01_異動主檔'!$E:$E,"新增")</f>
        <v/>
      </c>
      <c r="H1411" s="4">
        <f>-SUMIFS('01_異動主檔'!$F:$F,'01_異動主檔'!$B:$B,101,'01_異動主檔'!$D:$D,B1411,'01_異動主檔'!$E:$E,"減列")</f>
        <v/>
      </c>
      <c r="I1411" s="4">
        <f>-SUMIFS('01_異動主檔'!$F:$F,'01_異動主檔'!$B:$B,101,'01_異動主檔'!$D:$D,B1411,'01_異動主檔'!$E:$E,"精簡")</f>
        <v/>
      </c>
      <c r="J1411" s="10">
        <f>D1411+E1411+F1411+G1411+H1411+I1411</f>
        <v/>
      </c>
    </row>
    <row r="1412" ht="18" customHeight="1">
      <c r="A1412" s="6" t="inlineStr">
        <is>
          <t>G005</t>
        </is>
      </c>
      <c r="B1412" s="5" t="inlineStr">
        <is>
          <t>離島辦公室</t>
        </is>
      </c>
      <c r="C1412" s="6" t="n">
        <v>102</v>
      </c>
      <c r="D1412" s="10">
        <f>J1411</f>
        <v/>
      </c>
      <c r="E1412" s="4">
        <f>SUMIFS('01_異動主檔'!$F:$F,'01_異動主檔'!$B:$B,102,'01_異動主檔'!$D:$D,B1412,'01_異動主檔'!$E:$E,"移入")</f>
        <v/>
      </c>
      <c r="F1412" s="4">
        <f>-SUMIFS('01_異動主檔'!$F:$F,'01_異動主檔'!$B:$B,102,'01_異動主檔'!$D:$D,B1412,'01_異動主檔'!$E:$E,"移出")</f>
        <v/>
      </c>
      <c r="G1412" s="4">
        <f>SUMIFS('01_異動主檔'!$F:$F,'01_異動主檔'!$B:$B,102,'01_異動主檔'!$D:$D,B1412,'01_異動主檔'!$E:$E,"新增")</f>
        <v/>
      </c>
      <c r="H1412" s="4">
        <f>-SUMIFS('01_異動主檔'!$F:$F,'01_異動主檔'!$B:$B,102,'01_異動主檔'!$D:$D,B1412,'01_異動主檔'!$E:$E,"減列")</f>
        <v/>
      </c>
      <c r="I1412" s="4">
        <f>-SUMIFS('01_異動主檔'!$F:$F,'01_異動主檔'!$B:$B,102,'01_異動主檔'!$D:$D,B1412,'01_異動主檔'!$E:$E,"精簡")</f>
        <v/>
      </c>
      <c r="J1412" s="10">
        <f>D1412+E1412+F1412+G1412+H1412+I1412</f>
        <v/>
      </c>
    </row>
    <row r="1413" ht="18" customHeight="1">
      <c r="A1413" s="4" t="inlineStr">
        <is>
          <t>G005</t>
        </is>
      </c>
      <c r="B1413" s="3" t="inlineStr">
        <is>
          <t>離島辦公室</t>
        </is>
      </c>
      <c r="C1413" s="4" t="n">
        <v>103</v>
      </c>
      <c r="D1413" s="10">
        <f>J1412</f>
        <v/>
      </c>
      <c r="E1413" s="4">
        <f>SUMIFS('01_異動主檔'!$F:$F,'01_異動主檔'!$B:$B,103,'01_異動主檔'!$D:$D,B1413,'01_異動主檔'!$E:$E,"移入")</f>
        <v/>
      </c>
      <c r="F1413" s="4">
        <f>-SUMIFS('01_異動主檔'!$F:$F,'01_異動主檔'!$B:$B,103,'01_異動主檔'!$D:$D,B1413,'01_異動主檔'!$E:$E,"移出")</f>
        <v/>
      </c>
      <c r="G1413" s="4">
        <f>SUMIFS('01_異動主檔'!$F:$F,'01_異動主檔'!$B:$B,103,'01_異動主檔'!$D:$D,B1413,'01_異動主檔'!$E:$E,"新增")</f>
        <v/>
      </c>
      <c r="H1413" s="4">
        <f>-SUMIFS('01_異動主檔'!$F:$F,'01_異動主檔'!$B:$B,103,'01_異動主檔'!$D:$D,B1413,'01_異動主檔'!$E:$E,"減列")</f>
        <v/>
      </c>
      <c r="I1413" s="4">
        <f>-SUMIFS('01_異動主檔'!$F:$F,'01_異動主檔'!$B:$B,103,'01_異動主檔'!$D:$D,B1413,'01_異動主檔'!$E:$E,"精簡")</f>
        <v/>
      </c>
      <c r="J1413" s="10">
        <f>D1413+E1413+F1413+G1413+H1413+I1413</f>
        <v/>
      </c>
    </row>
    <row r="1414" ht="18" customHeight="1">
      <c r="A1414" s="6" t="inlineStr">
        <is>
          <t>G005</t>
        </is>
      </c>
      <c r="B1414" s="5" t="inlineStr">
        <is>
          <t>離島辦公室</t>
        </is>
      </c>
      <c r="C1414" s="6" t="n">
        <v>104</v>
      </c>
      <c r="D1414" s="10">
        <f>J1413</f>
        <v/>
      </c>
      <c r="E1414" s="4">
        <f>SUMIFS('01_異動主檔'!$F:$F,'01_異動主檔'!$B:$B,104,'01_異動主檔'!$D:$D,B1414,'01_異動主檔'!$E:$E,"移入")</f>
        <v/>
      </c>
      <c r="F1414" s="4">
        <f>-SUMIFS('01_異動主檔'!$F:$F,'01_異動主檔'!$B:$B,104,'01_異動主檔'!$D:$D,B1414,'01_異動主檔'!$E:$E,"移出")</f>
        <v/>
      </c>
      <c r="G1414" s="4">
        <f>SUMIFS('01_異動主檔'!$F:$F,'01_異動主檔'!$B:$B,104,'01_異動主檔'!$D:$D,B1414,'01_異動主檔'!$E:$E,"新增")</f>
        <v/>
      </c>
      <c r="H1414" s="4">
        <f>-SUMIFS('01_異動主檔'!$F:$F,'01_異動主檔'!$B:$B,104,'01_異動主檔'!$D:$D,B1414,'01_異動主檔'!$E:$E,"減列")</f>
        <v/>
      </c>
      <c r="I1414" s="4">
        <f>-SUMIFS('01_異動主檔'!$F:$F,'01_異動主檔'!$B:$B,104,'01_異動主檔'!$D:$D,B1414,'01_異動主檔'!$E:$E,"精簡")</f>
        <v/>
      </c>
      <c r="J1414" s="10">
        <f>D1414+E1414+F1414+G1414+H1414+I1414</f>
        <v/>
      </c>
    </row>
    <row r="1415" ht="18" customHeight="1">
      <c r="A1415" s="4" t="inlineStr">
        <is>
          <t>G005</t>
        </is>
      </c>
      <c r="B1415" s="3" t="inlineStr">
        <is>
          <t>離島辦公室</t>
        </is>
      </c>
      <c r="C1415" s="4" t="n">
        <v>105</v>
      </c>
      <c r="D1415" s="10">
        <f>J1414</f>
        <v/>
      </c>
      <c r="E1415" s="4">
        <f>SUMIFS('01_異動主檔'!$F:$F,'01_異動主檔'!$B:$B,105,'01_異動主檔'!$D:$D,B1415,'01_異動主檔'!$E:$E,"移入")</f>
        <v/>
      </c>
      <c r="F1415" s="4">
        <f>-SUMIFS('01_異動主檔'!$F:$F,'01_異動主檔'!$B:$B,105,'01_異動主檔'!$D:$D,B1415,'01_異動主檔'!$E:$E,"移出")</f>
        <v/>
      </c>
      <c r="G1415" s="4">
        <f>SUMIFS('01_異動主檔'!$F:$F,'01_異動主檔'!$B:$B,105,'01_異動主檔'!$D:$D,B1415,'01_異動主檔'!$E:$E,"新增")</f>
        <v/>
      </c>
      <c r="H1415" s="4">
        <f>-SUMIFS('01_異動主檔'!$F:$F,'01_異動主檔'!$B:$B,105,'01_異動主檔'!$D:$D,B1415,'01_異動主檔'!$E:$E,"減列")</f>
        <v/>
      </c>
      <c r="I1415" s="4">
        <f>-SUMIFS('01_異動主檔'!$F:$F,'01_異動主檔'!$B:$B,105,'01_異動主檔'!$D:$D,B1415,'01_異動主檔'!$E:$E,"精簡")</f>
        <v/>
      </c>
      <c r="J1415" s="10">
        <f>D1415+E1415+F1415+G1415+H1415+I1415</f>
        <v/>
      </c>
    </row>
    <row r="1416" ht="18" customHeight="1">
      <c r="A1416" s="6" t="inlineStr">
        <is>
          <t>G005</t>
        </is>
      </c>
      <c r="B1416" s="5" t="inlineStr">
        <is>
          <t>離島辦公室</t>
        </is>
      </c>
      <c r="C1416" s="6" t="n">
        <v>106</v>
      </c>
      <c r="D1416" s="10">
        <f>J1415</f>
        <v/>
      </c>
      <c r="E1416" s="4">
        <f>SUMIFS('01_異動主檔'!$F:$F,'01_異動主檔'!$B:$B,106,'01_異動主檔'!$D:$D,B1416,'01_異動主檔'!$E:$E,"移入")</f>
        <v/>
      </c>
      <c r="F1416" s="4">
        <f>-SUMIFS('01_異動主檔'!$F:$F,'01_異動主檔'!$B:$B,106,'01_異動主檔'!$D:$D,B1416,'01_異動主檔'!$E:$E,"移出")</f>
        <v/>
      </c>
      <c r="G1416" s="4">
        <f>SUMIFS('01_異動主檔'!$F:$F,'01_異動主檔'!$B:$B,106,'01_異動主檔'!$D:$D,B1416,'01_異動主檔'!$E:$E,"新增")</f>
        <v/>
      </c>
      <c r="H1416" s="4">
        <f>-SUMIFS('01_異動主檔'!$F:$F,'01_異動主檔'!$B:$B,106,'01_異動主檔'!$D:$D,B1416,'01_異動主檔'!$E:$E,"減列")</f>
        <v/>
      </c>
      <c r="I1416" s="4">
        <f>-SUMIFS('01_異動主檔'!$F:$F,'01_異動主檔'!$B:$B,106,'01_異動主檔'!$D:$D,B1416,'01_異動主檔'!$E:$E,"精簡")</f>
        <v/>
      </c>
      <c r="J1416" s="10">
        <f>D1416+E1416+F1416+G1416+H1416+I1416</f>
        <v/>
      </c>
    </row>
    <row r="1417" ht="18" customHeight="1">
      <c r="A1417" s="4" t="inlineStr">
        <is>
          <t>G005</t>
        </is>
      </c>
      <c r="B1417" s="3" t="inlineStr">
        <is>
          <t>離島辦公室</t>
        </is>
      </c>
      <c r="C1417" s="4" t="n">
        <v>107</v>
      </c>
      <c r="D1417" s="10">
        <f>J1416</f>
        <v/>
      </c>
      <c r="E1417" s="4">
        <f>SUMIFS('01_異動主檔'!$F:$F,'01_異動主檔'!$B:$B,107,'01_異動主檔'!$D:$D,B1417,'01_異動主檔'!$E:$E,"移入")</f>
        <v/>
      </c>
      <c r="F1417" s="4">
        <f>-SUMIFS('01_異動主檔'!$F:$F,'01_異動主檔'!$B:$B,107,'01_異動主檔'!$D:$D,B1417,'01_異動主檔'!$E:$E,"移出")</f>
        <v/>
      </c>
      <c r="G1417" s="4">
        <f>SUMIFS('01_異動主檔'!$F:$F,'01_異動主檔'!$B:$B,107,'01_異動主檔'!$D:$D,B1417,'01_異動主檔'!$E:$E,"新增")</f>
        <v/>
      </c>
      <c r="H1417" s="4">
        <f>-SUMIFS('01_異動主檔'!$F:$F,'01_異動主檔'!$B:$B,107,'01_異動主檔'!$D:$D,B1417,'01_異動主檔'!$E:$E,"減列")</f>
        <v/>
      </c>
      <c r="I1417" s="4">
        <f>-SUMIFS('01_異動主檔'!$F:$F,'01_異動主檔'!$B:$B,107,'01_異動主檔'!$D:$D,B1417,'01_異動主檔'!$E:$E,"精簡")</f>
        <v/>
      </c>
      <c r="J1417" s="10">
        <f>D1417+E1417+F1417+G1417+H1417+I1417</f>
        <v/>
      </c>
    </row>
    <row r="1418" ht="18" customHeight="1">
      <c r="A1418" s="6" t="inlineStr">
        <is>
          <t>G005</t>
        </is>
      </c>
      <c r="B1418" s="5" t="inlineStr">
        <is>
          <t>離島辦公室</t>
        </is>
      </c>
      <c r="C1418" s="6" t="n">
        <v>108</v>
      </c>
      <c r="D1418" s="10">
        <f>J1417</f>
        <v/>
      </c>
      <c r="E1418" s="4">
        <f>SUMIFS('01_異動主檔'!$F:$F,'01_異動主檔'!$B:$B,108,'01_異動主檔'!$D:$D,B1418,'01_異動主檔'!$E:$E,"移入")</f>
        <v/>
      </c>
      <c r="F1418" s="4">
        <f>-SUMIFS('01_異動主檔'!$F:$F,'01_異動主檔'!$B:$B,108,'01_異動主檔'!$D:$D,B1418,'01_異動主檔'!$E:$E,"移出")</f>
        <v/>
      </c>
      <c r="G1418" s="4">
        <f>SUMIFS('01_異動主檔'!$F:$F,'01_異動主檔'!$B:$B,108,'01_異動主檔'!$D:$D,B1418,'01_異動主檔'!$E:$E,"新增")</f>
        <v/>
      </c>
      <c r="H1418" s="4">
        <f>-SUMIFS('01_異動主檔'!$F:$F,'01_異動主檔'!$B:$B,108,'01_異動主檔'!$D:$D,B1418,'01_異動主檔'!$E:$E,"減列")</f>
        <v/>
      </c>
      <c r="I1418" s="4">
        <f>-SUMIFS('01_異動主檔'!$F:$F,'01_異動主檔'!$B:$B,108,'01_異動主檔'!$D:$D,B1418,'01_異動主檔'!$E:$E,"精簡")</f>
        <v/>
      </c>
      <c r="J1418" s="10">
        <f>D1418+E1418+F1418+G1418+H1418+I1418</f>
        <v/>
      </c>
    </row>
    <row r="1419" ht="18" customHeight="1">
      <c r="A1419" s="4" t="inlineStr">
        <is>
          <t>G005</t>
        </is>
      </c>
      <c r="B1419" s="3" t="inlineStr">
        <is>
          <t>離島辦公室</t>
        </is>
      </c>
      <c r="C1419" s="4" t="n">
        <v>109</v>
      </c>
      <c r="D1419" s="10">
        <f>J1418</f>
        <v/>
      </c>
      <c r="E1419" s="4">
        <f>SUMIFS('01_異動主檔'!$F:$F,'01_異動主檔'!$B:$B,109,'01_異動主檔'!$D:$D,B1419,'01_異動主檔'!$E:$E,"移入")</f>
        <v/>
      </c>
      <c r="F1419" s="4">
        <f>-SUMIFS('01_異動主檔'!$F:$F,'01_異動主檔'!$B:$B,109,'01_異動主檔'!$D:$D,B1419,'01_異動主檔'!$E:$E,"移出")</f>
        <v/>
      </c>
      <c r="G1419" s="4">
        <f>SUMIFS('01_異動主檔'!$F:$F,'01_異動主檔'!$B:$B,109,'01_異動主檔'!$D:$D,B1419,'01_異動主檔'!$E:$E,"新增")</f>
        <v/>
      </c>
      <c r="H1419" s="4">
        <f>-SUMIFS('01_異動主檔'!$F:$F,'01_異動主檔'!$B:$B,109,'01_異動主檔'!$D:$D,B1419,'01_異動主檔'!$E:$E,"減列")</f>
        <v/>
      </c>
      <c r="I1419" s="4">
        <f>-SUMIFS('01_異動主檔'!$F:$F,'01_異動主檔'!$B:$B,109,'01_異動主檔'!$D:$D,B1419,'01_異動主檔'!$E:$E,"精簡")</f>
        <v/>
      </c>
      <c r="J1419" s="10">
        <f>D1419+E1419+F1419+G1419+H1419+I1419</f>
        <v/>
      </c>
    </row>
    <row r="1420" ht="18" customHeight="1">
      <c r="A1420" s="6" t="inlineStr">
        <is>
          <t>G005</t>
        </is>
      </c>
      <c r="B1420" s="5" t="inlineStr">
        <is>
          <t>離島辦公室</t>
        </is>
      </c>
      <c r="C1420" s="6" t="n">
        <v>110</v>
      </c>
      <c r="D1420" s="10">
        <f>J1419</f>
        <v/>
      </c>
      <c r="E1420" s="4">
        <f>SUMIFS('01_異動主檔'!$F:$F,'01_異動主檔'!$B:$B,110,'01_異動主檔'!$D:$D,B1420,'01_異動主檔'!$E:$E,"移入")</f>
        <v/>
      </c>
      <c r="F1420" s="4">
        <f>-SUMIFS('01_異動主檔'!$F:$F,'01_異動主檔'!$B:$B,110,'01_異動主檔'!$D:$D,B1420,'01_異動主檔'!$E:$E,"移出")</f>
        <v/>
      </c>
      <c r="G1420" s="4">
        <f>SUMIFS('01_異動主檔'!$F:$F,'01_異動主檔'!$B:$B,110,'01_異動主檔'!$D:$D,B1420,'01_異動主檔'!$E:$E,"新增")</f>
        <v/>
      </c>
      <c r="H1420" s="4">
        <f>-SUMIFS('01_異動主檔'!$F:$F,'01_異動主檔'!$B:$B,110,'01_異動主檔'!$D:$D,B1420,'01_異動主檔'!$E:$E,"減列")</f>
        <v/>
      </c>
      <c r="I1420" s="4">
        <f>-SUMIFS('01_異動主檔'!$F:$F,'01_異動主檔'!$B:$B,110,'01_異動主檔'!$D:$D,B1420,'01_異動主檔'!$E:$E,"精簡")</f>
        <v/>
      </c>
      <c r="J1420" s="10">
        <f>D1420+E1420+F1420+G1420+H1420+I1420</f>
        <v/>
      </c>
    </row>
    <row r="1421" ht="18" customHeight="1">
      <c r="A1421" s="4" t="inlineStr">
        <is>
          <t>G005</t>
        </is>
      </c>
      <c r="B1421" s="3" t="inlineStr">
        <is>
          <t>離島辦公室</t>
        </is>
      </c>
      <c r="C1421" s="4" t="n">
        <v>111</v>
      </c>
      <c r="D1421" s="10">
        <f>J1420</f>
        <v/>
      </c>
      <c r="E1421" s="4">
        <f>SUMIFS('01_異動主檔'!$F:$F,'01_異動主檔'!$B:$B,111,'01_異動主檔'!$D:$D,B1421,'01_異動主檔'!$E:$E,"移入")</f>
        <v/>
      </c>
      <c r="F1421" s="4">
        <f>-SUMIFS('01_異動主檔'!$F:$F,'01_異動主檔'!$B:$B,111,'01_異動主檔'!$D:$D,B1421,'01_異動主檔'!$E:$E,"移出")</f>
        <v/>
      </c>
      <c r="G1421" s="4">
        <f>SUMIFS('01_異動主檔'!$F:$F,'01_異動主檔'!$B:$B,111,'01_異動主檔'!$D:$D,B1421,'01_異動主檔'!$E:$E,"新增")</f>
        <v/>
      </c>
      <c r="H1421" s="4">
        <f>-SUMIFS('01_異動主檔'!$F:$F,'01_異動主檔'!$B:$B,111,'01_異動主檔'!$D:$D,B1421,'01_異動主檔'!$E:$E,"減列")</f>
        <v/>
      </c>
      <c r="I1421" s="4">
        <f>-SUMIFS('01_異動主檔'!$F:$F,'01_異動主檔'!$B:$B,111,'01_異動主檔'!$D:$D,B1421,'01_異動主檔'!$E:$E,"精簡")</f>
        <v/>
      </c>
      <c r="J1421" s="10">
        <f>D1421+E1421+F1421+G1421+H1421+I1421</f>
        <v/>
      </c>
    </row>
    <row r="1422" ht="18" customHeight="1">
      <c r="A1422" s="6" t="inlineStr">
        <is>
          <t>G005</t>
        </is>
      </c>
      <c r="B1422" s="5" t="inlineStr">
        <is>
          <t>離島辦公室</t>
        </is>
      </c>
      <c r="C1422" s="6" t="n">
        <v>112</v>
      </c>
      <c r="D1422" s="10">
        <f>J1421</f>
        <v/>
      </c>
      <c r="E1422" s="4">
        <f>SUMIFS('01_異動主檔'!$F:$F,'01_異動主檔'!$B:$B,112,'01_異動主檔'!$D:$D,B1422,'01_異動主檔'!$E:$E,"移入")</f>
        <v/>
      </c>
      <c r="F1422" s="4">
        <f>-SUMIFS('01_異動主檔'!$F:$F,'01_異動主檔'!$B:$B,112,'01_異動主檔'!$D:$D,B1422,'01_異動主檔'!$E:$E,"移出")</f>
        <v/>
      </c>
      <c r="G1422" s="4">
        <f>SUMIFS('01_異動主檔'!$F:$F,'01_異動主檔'!$B:$B,112,'01_異動主檔'!$D:$D,B1422,'01_異動主檔'!$E:$E,"新增")</f>
        <v/>
      </c>
      <c r="H1422" s="4">
        <f>-SUMIFS('01_異動主檔'!$F:$F,'01_異動主檔'!$B:$B,112,'01_異動主檔'!$D:$D,B1422,'01_異動主檔'!$E:$E,"減列")</f>
        <v/>
      </c>
      <c r="I1422" s="4">
        <f>-SUMIFS('01_異動主檔'!$F:$F,'01_異動主檔'!$B:$B,112,'01_異動主檔'!$D:$D,B1422,'01_異動主檔'!$E:$E,"精簡")</f>
        <v/>
      </c>
      <c r="J1422" s="10">
        <f>D1422+E1422+F1422+G1422+H1422+I1422</f>
        <v/>
      </c>
    </row>
    <row r="1423" ht="18" customHeight="1">
      <c r="A1423" s="4" t="inlineStr">
        <is>
          <t>G005</t>
        </is>
      </c>
      <c r="B1423" s="3" t="inlineStr">
        <is>
          <t>離島辦公室</t>
        </is>
      </c>
      <c r="C1423" s="4" t="n">
        <v>113</v>
      </c>
      <c r="D1423" s="10">
        <f>J1422</f>
        <v/>
      </c>
      <c r="E1423" s="4">
        <f>SUMIFS('01_異動主檔'!$F:$F,'01_異動主檔'!$B:$B,113,'01_異動主檔'!$D:$D,B1423,'01_異動主檔'!$E:$E,"移入")</f>
        <v/>
      </c>
      <c r="F1423" s="4">
        <f>-SUMIFS('01_異動主檔'!$F:$F,'01_異動主檔'!$B:$B,113,'01_異動主檔'!$D:$D,B1423,'01_異動主檔'!$E:$E,"移出")</f>
        <v/>
      </c>
      <c r="G1423" s="4">
        <f>SUMIFS('01_異動主檔'!$F:$F,'01_異動主檔'!$B:$B,113,'01_異動主檔'!$D:$D,B1423,'01_異動主檔'!$E:$E,"新增")</f>
        <v/>
      </c>
      <c r="H1423" s="4">
        <f>-SUMIFS('01_異動主檔'!$F:$F,'01_異動主檔'!$B:$B,113,'01_異動主檔'!$D:$D,B1423,'01_異動主檔'!$E:$E,"減列")</f>
        <v/>
      </c>
      <c r="I1423" s="4">
        <f>-SUMIFS('01_異動主檔'!$F:$F,'01_異動主檔'!$B:$B,113,'01_異動主檔'!$D:$D,B1423,'01_異動主檔'!$E:$E,"精簡")</f>
        <v/>
      </c>
      <c r="J1423" s="10">
        <f>D1423+E1423+F1423+G1423+H1423+I1423</f>
        <v/>
      </c>
    </row>
    <row r="1424" ht="18" customHeight="1">
      <c r="A1424" s="6" t="inlineStr">
        <is>
          <t>G005</t>
        </is>
      </c>
      <c r="B1424" s="5" t="inlineStr">
        <is>
          <t>離島辦公室</t>
        </is>
      </c>
      <c r="C1424" s="6" t="n">
        <v>114</v>
      </c>
      <c r="D1424" s="10">
        <f>J1423</f>
        <v/>
      </c>
      <c r="E1424" s="4">
        <f>SUMIFS('01_異動主檔'!$F:$F,'01_異動主檔'!$B:$B,114,'01_異動主檔'!$D:$D,B1424,'01_異動主檔'!$E:$E,"移入")</f>
        <v/>
      </c>
      <c r="F1424" s="4">
        <f>-SUMIFS('01_異動主檔'!$F:$F,'01_異動主檔'!$B:$B,114,'01_異動主檔'!$D:$D,B1424,'01_異動主檔'!$E:$E,"移出")</f>
        <v/>
      </c>
      <c r="G1424" s="4">
        <f>SUMIFS('01_異動主檔'!$F:$F,'01_異動主檔'!$B:$B,114,'01_異動主檔'!$D:$D,B1424,'01_異動主檔'!$E:$E,"新增")</f>
        <v/>
      </c>
      <c r="H1424" s="4">
        <f>-SUMIFS('01_異動主檔'!$F:$F,'01_異動主檔'!$B:$B,114,'01_異動主檔'!$D:$D,B1424,'01_異動主檔'!$E:$E,"減列")</f>
        <v/>
      </c>
      <c r="I1424" s="4">
        <f>-SUMIFS('01_異動主檔'!$F:$F,'01_異動主檔'!$B:$B,114,'01_異動主檔'!$D:$D,B1424,'01_異動主檔'!$E:$E,"精簡")</f>
        <v/>
      </c>
      <c r="J1424" s="10">
        <f>D1424+E1424+F1424+G1424+H1424+I1424</f>
        <v/>
      </c>
    </row>
    <row r="1425" ht="18" customHeight="1">
      <c r="A1425" s="4" t="inlineStr">
        <is>
          <t>G005</t>
        </is>
      </c>
      <c r="B1425" s="3" t="inlineStr">
        <is>
          <t>離島辦公室</t>
        </is>
      </c>
      <c r="C1425" s="4" t="n">
        <v>115</v>
      </c>
      <c r="D1425" s="10">
        <f>J1424</f>
        <v/>
      </c>
      <c r="E1425" s="4">
        <f>SUMIFS('01_異動主檔'!$F:$F,'01_異動主檔'!$B:$B,115,'01_異動主檔'!$D:$D,B1425,'01_異動主檔'!$E:$E,"移入")</f>
        <v/>
      </c>
      <c r="F1425" s="4">
        <f>-SUMIFS('01_異動主檔'!$F:$F,'01_異動主檔'!$B:$B,115,'01_異動主檔'!$D:$D,B1425,'01_異動主檔'!$E:$E,"移出")</f>
        <v/>
      </c>
      <c r="G1425" s="4">
        <f>SUMIFS('01_異動主檔'!$F:$F,'01_異動主檔'!$B:$B,115,'01_異動主檔'!$D:$D,B1425,'01_異動主檔'!$E:$E,"新增")</f>
        <v/>
      </c>
      <c r="H1425" s="4">
        <f>-SUMIFS('01_異動主檔'!$F:$F,'01_異動主檔'!$B:$B,115,'01_異動主檔'!$D:$D,B1425,'01_異動主檔'!$E:$E,"減列")</f>
        <v/>
      </c>
      <c r="I1425" s="4">
        <f>-SUMIFS('01_異動主檔'!$F:$F,'01_異動主檔'!$B:$B,115,'01_異動主檔'!$D:$D,B1425,'01_異動主檔'!$E:$E,"精簡")</f>
        <v/>
      </c>
      <c r="J1425" s="10">
        <f>D1425+E1425+F1425+G1425+H1425+I1425</f>
        <v/>
      </c>
    </row>
    <row r="1426" ht="18" customHeight="1">
      <c r="A1426" s="6" t="inlineStr">
        <is>
          <t>G005</t>
        </is>
      </c>
      <c r="B1426" s="5" t="inlineStr">
        <is>
          <t>離島辦公室</t>
        </is>
      </c>
      <c r="C1426" s="6" t="n">
        <v>116</v>
      </c>
      <c r="D1426" s="10">
        <f>J1425</f>
        <v/>
      </c>
      <c r="E1426" s="4">
        <f>SUMIFS('01_異動主檔'!$F:$F,'01_異動主檔'!$B:$B,116,'01_異動主檔'!$D:$D,B1426,'01_異動主檔'!$E:$E,"移入")</f>
        <v/>
      </c>
      <c r="F1426" s="4">
        <f>-SUMIFS('01_異動主檔'!$F:$F,'01_異動主檔'!$B:$B,116,'01_異動主檔'!$D:$D,B1426,'01_異動主檔'!$E:$E,"移出")</f>
        <v/>
      </c>
      <c r="G1426" s="4">
        <f>SUMIFS('01_異動主檔'!$F:$F,'01_異動主檔'!$B:$B,116,'01_異動主檔'!$D:$D,B1426,'01_異動主檔'!$E:$E,"新增")</f>
        <v/>
      </c>
      <c r="H1426" s="4">
        <f>-SUMIFS('01_異動主檔'!$F:$F,'01_異動主檔'!$B:$B,116,'01_異動主檔'!$D:$D,B1426,'01_異動主檔'!$E:$E,"減列")</f>
        <v/>
      </c>
      <c r="I1426" s="4">
        <f>-SUMIFS('01_異動主檔'!$F:$F,'01_異動主檔'!$B:$B,116,'01_異動主檔'!$D:$D,B1426,'01_異動主檔'!$E:$E,"精簡")</f>
        <v/>
      </c>
      <c r="J1426" s="10">
        <f>D1426+E1426+F1426+G1426+H1426+I1426</f>
        <v/>
      </c>
    </row>
    <row r="1427" ht="18" customHeight="1">
      <c r="A1427" s="4" t="inlineStr">
        <is>
          <t>G005</t>
        </is>
      </c>
      <c r="B1427" s="3" t="inlineStr">
        <is>
          <t>離島辦公室</t>
        </is>
      </c>
      <c r="C1427" s="4" t="n">
        <v>117</v>
      </c>
      <c r="D1427" s="10">
        <f>J1426</f>
        <v/>
      </c>
      <c r="E1427" s="4">
        <f>SUMIFS('01_異動主檔'!$F:$F,'01_異動主檔'!$B:$B,117,'01_異動主檔'!$D:$D,B1427,'01_異動主檔'!$E:$E,"移入")</f>
        <v/>
      </c>
      <c r="F1427" s="4">
        <f>-SUMIFS('01_異動主檔'!$F:$F,'01_異動主檔'!$B:$B,117,'01_異動主檔'!$D:$D,B1427,'01_異動主檔'!$E:$E,"移出")</f>
        <v/>
      </c>
      <c r="G1427" s="4">
        <f>SUMIFS('01_異動主檔'!$F:$F,'01_異動主檔'!$B:$B,117,'01_異動主檔'!$D:$D,B1427,'01_異動主檔'!$E:$E,"新增")</f>
        <v/>
      </c>
      <c r="H1427" s="4">
        <f>-SUMIFS('01_異動主檔'!$F:$F,'01_異動主檔'!$B:$B,117,'01_異動主檔'!$D:$D,B1427,'01_異動主檔'!$E:$E,"減列")</f>
        <v/>
      </c>
      <c r="I1427" s="4">
        <f>-SUMIFS('01_異動主檔'!$F:$F,'01_異動主檔'!$B:$B,117,'01_異動主檔'!$D:$D,B1427,'01_異動主檔'!$E:$E,"精簡")</f>
        <v/>
      </c>
      <c r="J1427" s="10">
        <f>D1427+E1427+F1427+G1427+H1427+I1427</f>
        <v/>
      </c>
    </row>
    <row r="1428" ht="18" customHeight="1">
      <c r="A1428" s="6" t="inlineStr">
        <is>
          <t>G005</t>
        </is>
      </c>
      <c r="B1428" s="5" t="inlineStr">
        <is>
          <t>離島辦公室</t>
        </is>
      </c>
      <c r="C1428" s="6" t="n">
        <v>118</v>
      </c>
      <c r="D1428" s="10">
        <f>J1427</f>
        <v/>
      </c>
      <c r="E1428" s="4">
        <f>SUMIFS('01_異動主檔'!$F:$F,'01_異動主檔'!$B:$B,118,'01_異動主檔'!$D:$D,B1428,'01_異動主檔'!$E:$E,"移入")</f>
        <v/>
      </c>
      <c r="F1428" s="4">
        <f>-SUMIFS('01_異動主檔'!$F:$F,'01_異動主檔'!$B:$B,118,'01_異動主檔'!$D:$D,B1428,'01_異動主檔'!$E:$E,"移出")</f>
        <v/>
      </c>
      <c r="G1428" s="4">
        <f>SUMIFS('01_異動主檔'!$F:$F,'01_異動主檔'!$B:$B,118,'01_異動主檔'!$D:$D,B1428,'01_異動主檔'!$E:$E,"新增")</f>
        <v/>
      </c>
      <c r="H1428" s="4">
        <f>-SUMIFS('01_異動主檔'!$F:$F,'01_異動主檔'!$B:$B,118,'01_異動主檔'!$D:$D,B1428,'01_異動主檔'!$E:$E,"減列")</f>
        <v/>
      </c>
      <c r="I1428" s="4">
        <f>-SUMIFS('01_異動主檔'!$F:$F,'01_異動主檔'!$B:$B,118,'01_異動主檔'!$D:$D,B1428,'01_異動主檔'!$E:$E,"精簡")</f>
        <v/>
      </c>
      <c r="J1428" s="10">
        <f>D1428+E1428+F1428+G1428+H1428+I1428</f>
        <v/>
      </c>
    </row>
    <row r="1429" ht="18" customHeight="1">
      <c r="A1429" s="4" t="inlineStr">
        <is>
          <t>G005</t>
        </is>
      </c>
      <c r="B1429" s="3" t="inlineStr">
        <is>
          <t>離島辦公室</t>
        </is>
      </c>
      <c r="C1429" s="4" t="n">
        <v>119</v>
      </c>
      <c r="D1429" s="10">
        <f>J1428</f>
        <v/>
      </c>
      <c r="E1429" s="4">
        <f>SUMIFS('01_異動主檔'!$F:$F,'01_異動主檔'!$B:$B,119,'01_異動主檔'!$D:$D,B1429,'01_異動主檔'!$E:$E,"移入")</f>
        <v/>
      </c>
      <c r="F1429" s="4">
        <f>-SUMIFS('01_異動主檔'!$F:$F,'01_異動主檔'!$B:$B,119,'01_異動主檔'!$D:$D,B1429,'01_異動主檔'!$E:$E,"移出")</f>
        <v/>
      </c>
      <c r="G1429" s="4">
        <f>SUMIFS('01_異動主檔'!$F:$F,'01_異動主檔'!$B:$B,119,'01_異動主檔'!$D:$D,B1429,'01_異動主檔'!$E:$E,"新增")</f>
        <v/>
      </c>
      <c r="H1429" s="4">
        <f>-SUMIFS('01_異動主檔'!$F:$F,'01_異動主檔'!$B:$B,119,'01_異動主檔'!$D:$D,B1429,'01_異動主檔'!$E:$E,"減列")</f>
        <v/>
      </c>
      <c r="I1429" s="4">
        <f>-SUMIFS('01_異動主檔'!$F:$F,'01_異動主檔'!$B:$B,119,'01_異動主檔'!$D:$D,B1429,'01_異動主檔'!$E:$E,"精簡")</f>
        <v/>
      </c>
      <c r="J1429" s="10">
        <f>D1429+E1429+F1429+G1429+H1429+I1429</f>
        <v/>
      </c>
    </row>
    <row r="1430" ht="18" customHeight="1">
      <c r="A1430" s="6" t="inlineStr">
        <is>
          <t>G005</t>
        </is>
      </c>
      <c r="B1430" s="5" t="inlineStr">
        <is>
          <t>離島辦公室</t>
        </is>
      </c>
      <c r="C1430" s="6" t="n">
        <v>120</v>
      </c>
      <c r="D1430" s="10">
        <f>J1429</f>
        <v/>
      </c>
      <c r="E1430" s="4">
        <f>SUMIFS('01_異動主檔'!$F:$F,'01_異動主檔'!$B:$B,120,'01_異動主檔'!$D:$D,B1430,'01_異動主檔'!$E:$E,"移入")</f>
        <v/>
      </c>
      <c r="F1430" s="4">
        <f>-SUMIFS('01_異動主檔'!$F:$F,'01_異動主檔'!$B:$B,120,'01_異動主檔'!$D:$D,B1430,'01_異動主檔'!$E:$E,"移出")</f>
        <v/>
      </c>
      <c r="G1430" s="4">
        <f>SUMIFS('01_異動主檔'!$F:$F,'01_異動主檔'!$B:$B,120,'01_異動主檔'!$D:$D,B1430,'01_異動主檔'!$E:$E,"新增")</f>
        <v/>
      </c>
      <c r="H1430" s="4">
        <f>-SUMIFS('01_異動主檔'!$F:$F,'01_異動主檔'!$B:$B,120,'01_異動主檔'!$D:$D,B1430,'01_異動主檔'!$E:$E,"減列")</f>
        <v/>
      </c>
      <c r="I1430" s="4">
        <f>-SUMIFS('01_異動主檔'!$F:$F,'01_異動主檔'!$B:$B,120,'01_異動主檔'!$D:$D,B1430,'01_異動主檔'!$E:$E,"精簡")</f>
        <v/>
      </c>
      <c r="J1430" s="10">
        <f>D1430+E1430+F1430+G1430+H1430+I1430</f>
        <v/>
      </c>
    </row>
    <row r="1431" ht="18" customHeight="1">
      <c r="A1431" s="4" t="inlineStr">
        <is>
          <t>G005</t>
        </is>
      </c>
      <c r="B1431" s="3" t="inlineStr">
        <is>
          <t>離島辦公室</t>
        </is>
      </c>
      <c r="C1431" s="4" t="n">
        <v>121</v>
      </c>
      <c r="D1431" s="10">
        <f>J1430</f>
        <v/>
      </c>
      <c r="E1431" s="4">
        <f>SUMIFS('01_異動主檔'!$F:$F,'01_異動主檔'!$B:$B,121,'01_異動主檔'!$D:$D,B1431,'01_異動主檔'!$E:$E,"移入")</f>
        <v/>
      </c>
      <c r="F1431" s="4">
        <f>-SUMIFS('01_異動主檔'!$F:$F,'01_異動主檔'!$B:$B,121,'01_異動主檔'!$D:$D,B1431,'01_異動主檔'!$E:$E,"移出")</f>
        <v/>
      </c>
      <c r="G1431" s="4">
        <f>SUMIFS('01_異動主檔'!$F:$F,'01_異動主檔'!$B:$B,121,'01_異動主檔'!$D:$D,B1431,'01_異動主檔'!$E:$E,"新增")</f>
        <v/>
      </c>
      <c r="H1431" s="4">
        <f>-SUMIFS('01_異動主檔'!$F:$F,'01_異動主檔'!$B:$B,121,'01_異動主檔'!$D:$D,B1431,'01_異動主檔'!$E:$E,"減列")</f>
        <v/>
      </c>
      <c r="I1431" s="4">
        <f>-SUMIFS('01_異動主檔'!$F:$F,'01_異動主檔'!$B:$B,121,'01_異動主檔'!$D:$D,B1431,'01_異動主檔'!$E:$E,"精簡")</f>
        <v/>
      </c>
      <c r="J1431" s="10">
        <f>D1431+E1431+F1431+G1431+H1431+I1431</f>
        <v/>
      </c>
    </row>
    <row r="1432" ht="18" customHeight="1">
      <c r="A1432" s="6" t="inlineStr">
        <is>
          <t>G005</t>
        </is>
      </c>
      <c r="B1432" s="5" t="inlineStr">
        <is>
          <t>離島辦公室</t>
        </is>
      </c>
      <c r="C1432" s="6" t="n">
        <v>122</v>
      </c>
      <c r="D1432" s="10">
        <f>J1431</f>
        <v/>
      </c>
      <c r="E1432" s="4">
        <f>SUMIFS('01_異動主檔'!$F:$F,'01_異動主檔'!$B:$B,122,'01_異動主檔'!$D:$D,B1432,'01_異動主檔'!$E:$E,"移入")</f>
        <v/>
      </c>
      <c r="F1432" s="4">
        <f>-SUMIFS('01_異動主檔'!$F:$F,'01_異動主檔'!$B:$B,122,'01_異動主檔'!$D:$D,B1432,'01_異動主檔'!$E:$E,"移出")</f>
        <v/>
      </c>
      <c r="G1432" s="4">
        <f>SUMIFS('01_異動主檔'!$F:$F,'01_異動主檔'!$B:$B,122,'01_異動主檔'!$D:$D,B1432,'01_異動主檔'!$E:$E,"新增")</f>
        <v/>
      </c>
      <c r="H1432" s="4">
        <f>-SUMIFS('01_異動主檔'!$F:$F,'01_異動主檔'!$B:$B,122,'01_異動主檔'!$D:$D,B1432,'01_異動主檔'!$E:$E,"減列")</f>
        <v/>
      </c>
      <c r="I1432" s="4">
        <f>-SUMIFS('01_異動主檔'!$F:$F,'01_異動主檔'!$B:$B,122,'01_異動主檔'!$D:$D,B1432,'01_異動主檔'!$E:$E,"精簡")</f>
        <v/>
      </c>
      <c r="J1432" s="10">
        <f>D1432+E1432+F1432+G1432+H1432+I1432</f>
        <v/>
      </c>
    </row>
    <row r="1433" ht="18" customHeight="1">
      <c r="A1433" s="4" t="inlineStr">
        <is>
          <t>G005</t>
        </is>
      </c>
      <c r="B1433" s="3" t="inlineStr">
        <is>
          <t>離島辦公室</t>
        </is>
      </c>
      <c r="C1433" s="4" t="n">
        <v>123</v>
      </c>
      <c r="D1433" s="10">
        <f>J1432</f>
        <v/>
      </c>
      <c r="E1433" s="4">
        <f>SUMIFS('01_異動主檔'!$F:$F,'01_異動主檔'!$B:$B,123,'01_異動主檔'!$D:$D,B1433,'01_異動主檔'!$E:$E,"移入")</f>
        <v/>
      </c>
      <c r="F1433" s="4">
        <f>-SUMIFS('01_異動主檔'!$F:$F,'01_異動主檔'!$B:$B,123,'01_異動主檔'!$D:$D,B1433,'01_異動主檔'!$E:$E,"移出")</f>
        <v/>
      </c>
      <c r="G1433" s="4">
        <f>SUMIFS('01_異動主檔'!$F:$F,'01_異動主檔'!$B:$B,123,'01_異動主檔'!$D:$D,B1433,'01_異動主檔'!$E:$E,"新增")</f>
        <v/>
      </c>
      <c r="H1433" s="4">
        <f>-SUMIFS('01_異動主檔'!$F:$F,'01_異動主檔'!$B:$B,123,'01_異動主檔'!$D:$D,B1433,'01_異動主檔'!$E:$E,"減列")</f>
        <v/>
      </c>
      <c r="I1433" s="4">
        <f>-SUMIFS('01_異動主檔'!$F:$F,'01_異動主檔'!$B:$B,123,'01_異動主檔'!$D:$D,B1433,'01_異動主檔'!$E:$E,"精簡")</f>
        <v/>
      </c>
      <c r="J1433" s="10">
        <f>D1433+E1433+F1433+G1433+H1433+I1433</f>
        <v/>
      </c>
    </row>
    <row r="1434" ht="18" customHeight="1">
      <c r="A1434" s="6" t="inlineStr">
        <is>
          <t>G005</t>
        </is>
      </c>
      <c r="B1434" s="5" t="inlineStr">
        <is>
          <t>離島辦公室</t>
        </is>
      </c>
      <c r="C1434" s="6" t="n">
        <v>124</v>
      </c>
      <c r="D1434" s="10">
        <f>J1433</f>
        <v/>
      </c>
      <c r="E1434" s="4">
        <f>SUMIFS('01_異動主檔'!$F:$F,'01_異動主檔'!$B:$B,124,'01_異動主檔'!$D:$D,B1434,'01_異動主檔'!$E:$E,"移入")</f>
        <v/>
      </c>
      <c r="F1434" s="4">
        <f>-SUMIFS('01_異動主檔'!$F:$F,'01_異動主檔'!$B:$B,124,'01_異動主檔'!$D:$D,B1434,'01_異動主檔'!$E:$E,"移出")</f>
        <v/>
      </c>
      <c r="G1434" s="4">
        <f>SUMIFS('01_異動主檔'!$F:$F,'01_異動主檔'!$B:$B,124,'01_異動主檔'!$D:$D,B1434,'01_異動主檔'!$E:$E,"新增")</f>
        <v/>
      </c>
      <c r="H1434" s="4">
        <f>-SUMIFS('01_異動主檔'!$F:$F,'01_異動主檔'!$B:$B,124,'01_異動主檔'!$D:$D,B1434,'01_異動主檔'!$E:$E,"減列")</f>
        <v/>
      </c>
      <c r="I1434" s="4">
        <f>-SUMIFS('01_異動主檔'!$F:$F,'01_異動主檔'!$B:$B,124,'01_異動主檔'!$D:$D,B1434,'01_異動主檔'!$E:$E,"精簡")</f>
        <v/>
      </c>
      <c r="J1434" s="10">
        <f>D1434+E1434+F1434+G1434+H1434+I1434</f>
        <v/>
      </c>
    </row>
    <row r="1435" ht="18" customHeight="1">
      <c r="A1435" s="4" t="inlineStr">
        <is>
          <t>G005</t>
        </is>
      </c>
      <c r="B1435" s="3" t="inlineStr">
        <is>
          <t>離島辦公室</t>
        </is>
      </c>
      <c r="C1435" s="4" t="n">
        <v>125</v>
      </c>
      <c r="D1435" s="10">
        <f>J1434</f>
        <v/>
      </c>
      <c r="E1435" s="4">
        <f>SUMIFS('01_異動主檔'!$F:$F,'01_異動主檔'!$B:$B,125,'01_異動主檔'!$D:$D,B1435,'01_異動主檔'!$E:$E,"移入")</f>
        <v/>
      </c>
      <c r="F1435" s="4">
        <f>-SUMIFS('01_異動主檔'!$F:$F,'01_異動主檔'!$B:$B,125,'01_異動主檔'!$D:$D,B1435,'01_異動主檔'!$E:$E,"移出")</f>
        <v/>
      </c>
      <c r="G1435" s="4">
        <f>SUMIFS('01_異動主檔'!$F:$F,'01_異動主檔'!$B:$B,125,'01_異動主檔'!$D:$D,B1435,'01_異動主檔'!$E:$E,"新增")</f>
        <v/>
      </c>
      <c r="H1435" s="4">
        <f>-SUMIFS('01_異動主檔'!$F:$F,'01_異動主檔'!$B:$B,125,'01_異動主檔'!$D:$D,B1435,'01_異動主檔'!$E:$E,"減列")</f>
        <v/>
      </c>
      <c r="I1435" s="4">
        <f>-SUMIFS('01_異動主檔'!$F:$F,'01_異動主檔'!$B:$B,125,'01_異動主檔'!$D:$D,B1435,'01_異動主檔'!$E:$E,"精簡")</f>
        <v/>
      </c>
      <c r="J1435" s="10">
        <f>D1435+E1435+F1435+G1435+H1435+I1435</f>
        <v/>
      </c>
    </row>
    <row r="1436" ht="18" customHeight="1">
      <c r="A1436" s="6" t="inlineStr">
        <is>
          <t>G006</t>
        </is>
      </c>
      <c r="B1436" s="5" t="inlineStr">
        <is>
          <t>山區辦公室</t>
        </is>
      </c>
      <c r="C1436" s="6" t="n">
        <v>99</v>
      </c>
      <c r="D1436" s="10">
        <f>'02_年初員額設定'!C58</f>
        <v/>
      </c>
      <c r="E1436" s="4">
        <f>SUMIFS('01_異動主檔'!$F:$F,'01_異動主檔'!$B:$B,99,'01_異動主檔'!$D:$D,B1436,'01_異動主檔'!$E:$E,"移入")</f>
        <v/>
      </c>
      <c r="F1436" s="4">
        <f>-SUMIFS('01_異動主檔'!$F:$F,'01_異動主檔'!$B:$B,99,'01_異動主檔'!$D:$D,B1436,'01_異動主檔'!$E:$E,"移出")</f>
        <v/>
      </c>
      <c r="G1436" s="4">
        <f>SUMIFS('01_異動主檔'!$F:$F,'01_異動主檔'!$B:$B,99,'01_異動主檔'!$D:$D,B1436,'01_異動主檔'!$E:$E,"新增")</f>
        <v/>
      </c>
      <c r="H1436" s="4">
        <f>-SUMIFS('01_異動主檔'!$F:$F,'01_異動主檔'!$B:$B,99,'01_異動主檔'!$D:$D,B1436,'01_異動主檔'!$E:$E,"減列")</f>
        <v/>
      </c>
      <c r="I1436" s="4">
        <f>-SUMIFS('01_異動主檔'!$F:$F,'01_異動主檔'!$B:$B,99,'01_異動主檔'!$D:$D,B1436,'01_異動主檔'!$E:$E,"精簡")</f>
        <v/>
      </c>
      <c r="J1436" s="10">
        <f>D1436+E1436+F1436+G1436+H1436+I1436</f>
        <v/>
      </c>
    </row>
    <row r="1437" ht="18" customHeight="1">
      <c r="A1437" s="4" t="inlineStr">
        <is>
          <t>G006</t>
        </is>
      </c>
      <c r="B1437" s="3" t="inlineStr">
        <is>
          <t>山區辦公室</t>
        </is>
      </c>
      <c r="C1437" s="4" t="n">
        <v>100</v>
      </c>
      <c r="D1437" s="10">
        <f>J1436</f>
        <v/>
      </c>
      <c r="E1437" s="4">
        <f>SUMIFS('01_異動主檔'!$F:$F,'01_異動主檔'!$B:$B,100,'01_異動主檔'!$D:$D,B1437,'01_異動主檔'!$E:$E,"移入")</f>
        <v/>
      </c>
      <c r="F1437" s="4">
        <f>-SUMIFS('01_異動主檔'!$F:$F,'01_異動主檔'!$B:$B,100,'01_異動主檔'!$D:$D,B1437,'01_異動主檔'!$E:$E,"移出")</f>
        <v/>
      </c>
      <c r="G1437" s="4">
        <f>SUMIFS('01_異動主檔'!$F:$F,'01_異動主檔'!$B:$B,100,'01_異動主檔'!$D:$D,B1437,'01_異動主檔'!$E:$E,"新增")</f>
        <v/>
      </c>
      <c r="H1437" s="4">
        <f>-SUMIFS('01_異動主檔'!$F:$F,'01_異動主檔'!$B:$B,100,'01_異動主檔'!$D:$D,B1437,'01_異動主檔'!$E:$E,"減列")</f>
        <v/>
      </c>
      <c r="I1437" s="4">
        <f>-SUMIFS('01_異動主檔'!$F:$F,'01_異動主檔'!$B:$B,100,'01_異動主檔'!$D:$D,B1437,'01_異動主檔'!$E:$E,"精簡")</f>
        <v/>
      </c>
      <c r="J1437" s="10">
        <f>D1437+E1437+F1437+G1437+H1437+I1437</f>
        <v/>
      </c>
    </row>
    <row r="1438" ht="18" customHeight="1">
      <c r="A1438" s="6" t="inlineStr">
        <is>
          <t>G006</t>
        </is>
      </c>
      <c r="B1438" s="5" t="inlineStr">
        <is>
          <t>山區辦公室</t>
        </is>
      </c>
      <c r="C1438" s="6" t="n">
        <v>101</v>
      </c>
      <c r="D1438" s="10">
        <f>J1437</f>
        <v/>
      </c>
      <c r="E1438" s="4">
        <f>SUMIFS('01_異動主檔'!$F:$F,'01_異動主檔'!$B:$B,101,'01_異動主檔'!$D:$D,B1438,'01_異動主檔'!$E:$E,"移入")</f>
        <v/>
      </c>
      <c r="F1438" s="4">
        <f>-SUMIFS('01_異動主檔'!$F:$F,'01_異動主檔'!$B:$B,101,'01_異動主檔'!$D:$D,B1438,'01_異動主檔'!$E:$E,"移出")</f>
        <v/>
      </c>
      <c r="G1438" s="4">
        <f>SUMIFS('01_異動主檔'!$F:$F,'01_異動主檔'!$B:$B,101,'01_異動主檔'!$D:$D,B1438,'01_異動主檔'!$E:$E,"新增")</f>
        <v/>
      </c>
      <c r="H1438" s="4">
        <f>-SUMIFS('01_異動主檔'!$F:$F,'01_異動主檔'!$B:$B,101,'01_異動主檔'!$D:$D,B1438,'01_異動主檔'!$E:$E,"減列")</f>
        <v/>
      </c>
      <c r="I1438" s="4">
        <f>-SUMIFS('01_異動主檔'!$F:$F,'01_異動主檔'!$B:$B,101,'01_異動主檔'!$D:$D,B1438,'01_異動主檔'!$E:$E,"精簡")</f>
        <v/>
      </c>
      <c r="J1438" s="10">
        <f>D1438+E1438+F1438+G1438+H1438+I1438</f>
        <v/>
      </c>
    </row>
    <row r="1439" ht="18" customHeight="1">
      <c r="A1439" s="4" t="inlineStr">
        <is>
          <t>G006</t>
        </is>
      </c>
      <c r="B1439" s="3" t="inlineStr">
        <is>
          <t>山區辦公室</t>
        </is>
      </c>
      <c r="C1439" s="4" t="n">
        <v>102</v>
      </c>
      <c r="D1439" s="10">
        <f>J1438</f>
        <v/>
      </c>
      <c r="E1439" s="4">
        <f>SUMIFS('01_異動主檔'!$F:$F,'01_異動主檔'!$B:$B,102,'01_異動主檔'!$D:$D,B1439,'01_異動主檔'!$E:$E,"移入")</f>
        <v/>
      </c>
      <c r="F1439" s="4">
        <f>-SUMIFS('01_異動主檔'!$F:$F,'01_異動主檔'!$B:$B,102,'01_異動主檔'!$D:$D,B1439,'01_異動主檔'!$E:$E,"移出")</f>
        <v/>
      </c>
      <c r="G1439" s="4">
        <f>SUMIFS('01_異動主檔'!$F:$F,'01_異動主檔'!$B:$B,102,'01_異動主檔'!$D:$D,B1439,'01_異動主檔'!$E:$E,"新增")</f>
        <v/>
      </c>
      <c r="H1439" s="4">
        <f>-SUMIFS('01_異動主檔'!$F:$F,'01_異動主檔'!$B:$B,102,'01_異動主檔'!$D:$D,B1439,'01_異動主檔'!$E:$E,"減列")</f>
        <v/>
      </c>
      <c r="I1439" s="4">
        <f>-SUMIFS('01_異動主檔'!$F:$F,'01_異動主檔'!$B:$B,102,'01_異動主檔'!$D:$D,B1439,'01_異動主檔'!$E:$E,"精簡")</f>
        <v/>
      </c>
      <c r="J1439" s="10">
        <f>D1439+E1439+F1439+G1439+H1439+I1439</f>
        <v/>
      </c>
    </row>
    <row r="1440" ht="18" customHeight="1">
      <c r="A1440" s="6" t="inlineStr">
        <is>
          <t>G006</t>
        </is>
      </c>
      <c r="B1440" s="5" t="inlineStr">
        <is>
          <t>山區辦公室</t>
        </is>
      </c>
      <c r="C1440" s="6" t="n">
        <v>103</v>
      </c>
      <c r="D1440" s="10">
        <f>J1439</f>
        <v/>
      </c>
      <c r="E1440" s="4">
        <f>SUMIFS('01_異動主檔'!$F:$F,'01_異動主檔'!$B:$B,103,'01_異動主檔'!$D:$D,B1440,'01_異動主檔'!$E:$E,"移入")</f>
        <v/>
      </c>
      <c r="F1440" s="4">
        <f>-SUMIFS('01_異動主檔'!$F:$F,'01_異動主檔'!$B:$B,103,'01_異動主檔'!$D:$D,B1440,'01_異動主檔'!$E:$E,"移出")</f>
        <v/>
      </c>
      <c r="G1440" s="4">
        <f>SUMIFS('01_異動主檔'!$F:$F,'01_異動主檔'!$B:$B,103,'01_異動主檔'!$D:$D,B1440,'01_異動主檔'!$E:$E,"新增")</f>
        <v/>
      </c>
      <c r="H1440" s="4">
        <f>-SUMIFS('01_異動主檔'!$F:$F,'01_異動主檔'!$B:$B,103,'01_異動主檔'!$D:$D,B1440,'01_異動主檔'!$E:$E,"減列")</f>
        <v/>
      </c>
      <c r="I1440" s="4">
        <f>-SUMIFS('01_異動主檔'!$F:$F,'01_異動主檔'!$B:$B,103,'01_異動主檔'!$D:$D,B1440,'01_異動主檔'!$E:$E,"精簡")</f>
        <v/>
      </c>
      <c r="J1440" s="10">
        <f>D1440+E1440+F1440+G1440+H1440+I1440</f>
        <v/>
      </c>
    </row>
    <row r="1441" ht="18" customHeight="1">
      <c r="A1441" s="4" t="inlineStr">
        <is>
          <t>G006</t>
        </is>
      </c>
      <c r="B1441" s="3" t="inlineStr">
        <is>
          <t>山區辦公室</t>
        </is>
      </c>
      <c r="C1441" s="4" t="n">
        <v>104</v>
      </c>
      <c r="D1441" s="10">
        <f>J1440</f>
        <v/>
      </c>
      <c r="E1441" s="4">
        <f>SUMIFS('01_異動主檔'!$F:$F,'01_異動主檔'!$B:$B,104,'01_異動主檔'!$D:$D,B1441,'01_異動主檔'!$E:$E,"移入")</f>
        <v/>
      </c>
      <c r="F1441" s="4">
        <f>-SUMIFS('01_異動主檔'!$F:$F,'01_異動主檔'!$B:$B,104,'01_異動主檔'!$D:$D,B1441,'01_異動主檔'!$E:$E,"移出")</f>
        <v/>
      </c>
      <c r="G1441" s="4">
        <f>SUMIFS('01_異動主檔'!$F:$F,'01_異動主檔'!$B:$B,104,'01_異動主檔'!$D:$D,B1441,'01_異動主檔'!$E:$E,"新增")</f>
        <v/>
      </c>
      <c r="H1441" s="4">
        <f>-SUMIFS('01_異動主檔'!$F:$F,'01_異動主檔'!$B:$B,104,'01_異動主檔'!$D:$D,B1441,'01_異動主檔'!$E:$E,"減列")</f>
        <v/>
      </c>
      <c r="I1441" s="4">
        <f>-SUMIFS('01_異動主檔'!$F:$F,'01_異動主檔'!$B:$B,104,'01_異動主檔'!$D:$D,B1441,'01_異動主檔'!$E:$E,"精簡")</f>
        <v/>
      </c>
      <c r="J1441" s="10">
        <f>D1441+E1441+F1441+G1441+H1441+I1441</f>
        <v/>
      </c>
    </row>
    <row r="1442" ht="18" customHeight="1">
      <c r="A1442" s="6" t="inlineStr">
        <is>
          <t>G006</t>
        </is>
      </c>
      <c r="B1442" s="5" t="inlineStr">
        <is>
          <t>山區辦公室</t>
        </is>
      </c>
      <c r="C1442" s="6" t="n">
        <v>105</v>
      </c>
      <c r="D1442" s="10">
        <f>J1441</f>
        <v/>
      </c>
      <c r="E1442" s="4">
        <f>SUMIFS('01_異動主檔'!$F:$F,'01_異動主檔'!$B:$B,105,'01_異動主檔'!$D:$D,B1442,'01_異動主檔'!$E:$E,"移入")</f>
        <v/>
      </c>
      <c r="F1442" s="4">
        <f>-SUMIFS('01_異動主檔'!$F:$F,'01_異動主檔'!$B:$B,105,'01_異動主檔'!$D:$D,B1442,'01_異動主檔'!$E:$E,"移出")</f>
        <v/>
      </c>
      <c r="G1442" s="4">
        <f>SUMIFS('01_異動主檔'!$F:$F,'01_異動主檔'!$B:$B,105,'01_異動主檔'!$D:$D,B1442,'01_異動主檔'!$E:$E,"新增")</f>
        <v/>
      </c>
      <c r="H1442" s="4">
        <f>-SUMIFS('01_異動主檔'!$F:$F,'01_異動主檔'!$B:$B,105,'01_異動主檔'!$D:$D,B1442,'01_異動主檔'!$E:$E,"減列")</f>
        <v/>
      </c>
      <c r="I1442" s="4">
        <f>-SUMIFS('01_異動主檔'!$F:$F,'01_異動主檔'!$B:$B,105,'01_異動主檔'!$D:$D,B1442,'01_異動主檔'!$E:$E,"精簡")</f>
        <v/>
      </c>
      <c r="J1442" s="10">
        <f>D1442+E1442+F1442+G1442+H1442+I1442</f>
        <v/>
      </c>
    </row>
    <row r="1443" ht="18" customHeight="1">
      <c r="A1443" s="4" t="inlineStr">
        <is>
          <t>G006</t>
        </is>
      </c>
      <c r="B1443" s="3" t="inlineStr">
        <is>
          <t>山區辦公室</t>
        </is>
      </c>
      <c r="C1443" s="4" t="n">
        <v>106</v>
      </c>
      <c r="D1443" s="10">
        <f>J1442</f>
        <v/>
      </c>
      <c r="E1443" s="4">
        <f>SUMIFS('01_異動主檔'!$F:$F,'01_異動主檔'!$B:$B,106,'01_異動主檔'!$D:$D,B1443,'01_異動主檔'!$E:$E,"移入")</f>
        <v/>
      </c>
      <c r="F1443" s="4">
        <f>-SUMIFS('01_異動主檔'!$F:$F,'01_異動主檔'!$B:$B,106,'01_異動主檔'!$D:$D,B1443,'01_異動主檔'!$E:$E,"移出")</f>
        <v/>
      </c>
      <c r="G1443" s="4">
        <f>SUMIFS('01_異動主檔'!$F:$F,'01_異動主檔'!$B:$B,106,'01_異動主檔'!$D:$D,B1443,'01_異動主檔'!$E:$E,"新增")</f>
        <v/>
      </c>
      <c r="H1443" s="4">
        <f>-SUMIFS('01_異動主檔'!$F:$F,'01_異動主檔'!$B:$B,106,'01_異動主檔'!$D:$D,B1443,'01_異動主檔'!$E:$E,"減列")</f>
        <v/>
      </c>
      <c r="I1443" s="4">
        <f>-SUMIFS('01_異動主檔'!$F:$F,'01_異動主檔'!$B:$B,106,'01_異動主檔'!$D:$D,B1443,'01_異動主檔'!$E:$E,"精簡")</f>
        <v/>
      </c>
      <c r="J1443" s="10">
        <f>D1443+E1443+F1443+G1443+H1443+I1443</f>
        <v/>
      </c>
    </row>
    <row r="1444" ht="18" customHeight="1">
      <c r="A1444" s="6" t="inlineStr">
        <is>
          <t>G006</t>
        </is>
      </c>
      <c r="B1444" s="5" t="inlineStr">
        <is>
          <t>山區辦公室</t>
        </is>
      </c>
      <c r="C1444" s="6" t="n">
        <v>107</v>
      </c>
      <c r="D1444" s="10">
        <f>J1443</f>
        <v/>
      </c>
      <c r="E1444" s="4">
        <f>SUMIFS('01_異動主檔'!$F:$F,'01_異動主檔'!$B:$B,107,'01_異動主檔'!$D:$D,B1444,'01_異動主檔'!$E:$E,"移入")</f>
        <v/>
      </c>
      <c r="F1444" s="4">
        <f>-SUMIFS('01_異動主檔'!$F:$F,'01_異動主檔'!$B:$B,107,'01_異動主檔'!$D:$D,B1444,'01_異動主檔'!$E:$E,"移出")</f>
        <v/>
      </c>
      <c r="G1444" s="4">
        <f>SUMIFS('01_異動主檔'!$F:$F,'01_異動主檔'!$B:$B,107,'01_異動主檔'!$D:$D,B1444,'01_異動主檔'!$E:$E,"新增")</f>
        <v/>
      </c>
      <c r="H1444" s="4">
        <f>-SUMIFS('01_異動主檔'!$F:$F,'01_異動主檔'!$B:$B,107,'01_異動主檔'!$D:$D,B1444,'01_異動主檔'!$E:$E,"減列")</f>
        <v/>
      </c>
      <c r="I1444" s="4">
        <f>-SUMIFS('01_異動主檔'!$F:$F,'01_異動主檔'!$B:$B,107,'01_異動主檔'!$D:$D,B1444,'01_異動主檔'!$E:$E,"精簡")</f>
        <v/>
      </c>
      <c r="J1444" s="10">
        <f>D1444+E1444+F1444+G1444+H1444+I1444</f>
        <v/>
      </c>
    </row>
    <row r="1445" ht="18" customHeight="1">
      <c r="A1445" s="4" t="inlineStr">
        <is>
          <t>G006</t>
        </is>
      </c>
      <c r="B1445" s="3" t="inlineStr">
        <is>
          <t>山區辦公室</t>
        </is>
      </c>
      <c r="C1445" s="4" t="n">
        <v>108</v>
      </c>
      <c r="D1445" s="10">
        <f>J1444</f>
        <v/>
      </c>
      <c r="E1445" s="4">
        <f>SUMIFS('01_異動主檔'!$F:$F,'01_異動主檔'!$B:$B,108,'01_異動主檔'!$D:$D,B1445,'01_異動主檔'!$E:$E,"移入")</f>
        <v/>
      </c>
      <c r="F1445" s="4">
        <f>-SUMIFS('01_異動主檔'!$F:$F,'01_異動主檔'!$B:$B,108,'01_異動主檔'!$D:$D,B1445,'01_異動主檔'!$E:$E,"移出")</f>
        <v/>
      </c>
      <c r="G1445" s="4">
        <f>SUMIFS('01_異動主檔'!$F:$F,'01_異動主檔'!$B:$B,108,'01_異動主檔'!$D:$D,B1445,'01_異動主檔'!$E:$E,"新增")</f>
        <v/>
      </c>
      <c r="H1445" s="4">
        <f>-SUMIFS('01_異動主檔'!$F:$F,'01_異動主檔'!$B:$B,108,'01_異動主檔'!$D:$D,B1445,'01_異動主檔'!$E:$E,"減列")</f>
        <v/>
      </c>
      <c r="I1445" s="4">
        <f>-SUMIFS('01_異動主檔'!$F:$F,'01_異動主檔'!$B:$B,108,'01_異動主檔'!$D:$D,B1445,'01_異動主檔'!$E:$E,"精簡")</f>
        <v/>
      </c>
      <c r="J1445" s="10">
        <f>D1445+E1445+F1445+G1445+H1445+I1445</f>
        <v/>
      </c>
    </row>
    <row r="1446" ht="18" customHeight="1">
      <c r="A1446" s="6" t="inlineStr">
        <is>
          <t>G006</t>
        </is>
      </c>
      <c r="B1446" s="5" t="inlineStr">
        <is>
          <t>山區辦公室</t>
        </is>
      </c>
      <c r="C1446" s="6" t="n">
        <v>109</v>
      </c>
      <c r="D1446" s="10">
        <f>J1445</f>
        <v/>
      </c>
      <c r="E1446" s="4">
        <f>SUMIFS('01_異動主檔'!$F:$F,'01_異動主檔'!$B:$B,109,'01_異動主檔'!$D:$D,B1446,'01_異動主檔'!$E:$E,"移入")</f>
        <v/>
      </c>
      <c r="F1446" s="4">
        <f>-SUMIFS('01_異動主檔'!$F:$F,'01_異動主檔'!$B:$B,109,'01_異動主檔'!$D:$D,B1446,'01_異動主檔'!$E:$E,"移出")</f>
        <v/>
      </c>
      <c r="G1446" s="4">
        <f>SUMIFS('01_異動主檔'!$F:$F,'01_異動主檔'!$B:$B,109,'01_異動主檔'!$D:$D,B1446,'01_異動主檔'!$E:$E,"新增")</f>
        <v/>
      </c>
      <c r="H1446" s="4">
        <f>-SUMIFS('01_異動主檔'!$F:$F,'01_異動主檔'!$B:$B,109,'01_異動主檔'!$D:$D,B1446,'01_異動主檔'!$E:$E,"減列")</f>
        <v/>
      </c>
      <c r="I1446" s="4">
        <f>-SUMIFS('01_異動主檔'!$F:$F,'01_異動主檔'!$B:$B,109,'01_異動主檔'!$D:$D,B1446,'01_異動主檔'!$E:$E,"精簡")</f>
        <v/>
      </c>
      <c r="J1446" s="10">
        <f>D1446+E1446+F1446+G1446+H1446+I1446</f>
        <v/>
      </c>
    </row>
    <row r="1447" ht="18" customHeight="1">
      <c r="A1447" s="4" t="inlineStr">
        <is>
          <t>G006</t>
        </is>
      </c>
      <c r="B1447" s="3" t="inlineStr">
        <is>
          <t>山區辦公室</t>
        </is>
      </c>
      <c r="C1447" s="4" t="n">
        <v>110</v>
      </c>
      <c r="D1447" s="10">
        <f>J1446</f>
        <v/>
      </c>
      <c r="E1447" s="4">
        <f>SUMIFS('01_異動主檔'!$F:$F,'01_異動主檔'!$B:$B,110,'01_異動主檔'!$D:$D,B1447,'01_異動主檔'!$E:$E,"移入")</f>
        <v/>
      </c>
      <c r="F1447" s="4">
        <f>-SUMIFS('01_異動主檔'!$F:$F,'01_異動主檔'!$B:$B,110,'01_異動主檔'!$D:$D,B1447,'01_異動主檔'!$E:$E,"移出")</f>
        <v/>
      </c>
      <c r="G1447" s="4">
        <f>SUMIFS('01_異動主檔'!$F:$F,'01_異動主檔'!$B:$B,110,'01_異動主檔'!$D:$D,B1447,'01_異動主檔'!$E:$E,"新增")</f>
        <v/>
      </c>
      <c r="H1447" s="4">
        <f>-SUMIFS('01_異動主檔'!$F:$F,'01_異動主檔'!$B:$B,110,'01_異動主檔'!$D:$D,B1447,'01_異動主檔'!$E:$E,"減列")</f>
        <v/>
      </c>
      <c r="I1447" s="4">
        <f>-SUMIFS('01_異動主檔'!$F:$F,'01_異動主檔'!$B:$B,110,'01_異動主檔'!$D:$D,B1447,'01_異動主檔'!$E:$E,"精簡")</f>
        <v/>
      </c>
      <c r="J1447" s="10">
        <f>D1447+E1447+F1447+G1447+H1447+I1447</f>
        <v/>
      </c>
    </row>
    <row r="1448" ht="18" customHeight="1">
      <c r="A1448" s="6" t="inlineStr">
        <is>
          <t>G006</t>
        </is>
      </c>
      <c r="B1448" s="5" t="inlineStr">
        <is>
          <t>山區辦公室</t>
        </is>
      </c>
      <c r="C1448" s="6" t="n">
        <v>111</v>
      </c>
      <c r="D1448" s="10">
        <f>J1447</f>
        <v/>
      </c>
      <c r="E1448" s="4">
        <f>SUMIFS('01_異動主檔'!$F:$F,'01_異動主檔'!$B:$B,111,'01_異動主檔'!$D:$D,B1448,'01_異動主檔'!$E:$E,"移入")</f>
        <v/>
      </c>
      <c r="F1448" s="4">
        <f>-SUMIFS('01_異動主檔'!$F:$F,'01_異動主檔'!$B:$B,111,'01_異動主檔'!$D:$D,B1448,'01_異動主檔'!$E:$E,"移出")</f>
        <v/>
      </c>
      <c r="G1448" s="4">
        <f>SUMIFS('01_異動主檔'!$F:$F,'01_異動主檔'!$B:$B,111,'01_異動主檔'!$D:$D,B1448,'01_異動主檔'!$E:$E,"新增")</f>
        <v/>
      </c>
      <c r="H1448" s="4">
        <f>-SUMIFS('01_異動主檔'!$F:$F,'01_異動主檔'!$B:$B,111,'01_異動主檔'!$D:$D,B1448,'01_異動主檔'!$E:$E,"減列")</f>
        <v/>
      </c>
      <c r="I1448" s="4">
        <f>-SUMIFS('01_異動主檔'!$F:$F,'01_異動主檔'!$B:$B,111,'01_異動主檔'!$D:$D,B1448,'01_異動主檔'!$E:$E,"精簡")</f>
        <v/>
      </c>
      <c r="J1448" s="10">
        <f>D1448+E1448+F1448+G1448+H1448+I1448</f>
        <v/>
      </c>
    </row>
    <row r="1449" ht="18" customHeight="1">
      <c r="A1449" s="4" t="inlineStr">
        <is>
          <t>G006</t>
        </is>
      </c>
      <c r="B1449" s="3" t="inlineStr">
        <is>
          <t>山區辦公室</t>
        </is>
      </c>
      <c r="C1449" s="4" t="n">
        <v>112</v>
      </c>
      <c r="D1449" s="10">
        <f>J1448</f>
        <v/>
      </c>
      <c r="E1449" s="4">
        <f>SUMIFS('01_異動主檔'!$F:$F,'01_異動主檔'!$B:$B,112,'01_異動主檔'!$D:$D,B1449,'01_異動主檔'!$E:$E,"移入")</f>
        <v/>
      </c>
      <c r="F1449" s="4">
        <f>-SUMIFS('01_異動主檔'!$F:$F,'01_異動主檔'!$B:$B,112,'01_異動主檔'!$D:$D,B1449,'01_異動主檔'!$E:$E,"移出")</f>
        <v/>
      </c>
      <c r="G1449" s="4">
        <f>SUMIFS('01_異動主檔'!$F:$F,'01_異動主檔'!$B:$B,112,'01_異動主檔'!$D:$D,B1449,'01_異動主檔'!$E:$E,"新增")</f>
        <v/>
      </c>
      <c r="H1449" s="4">
        <f>-SUMIFS('01_異動主檔'!$F:$F,'01_異動主檔'!$B:$B,112,'01_異動主檔'!$D:$D,B1449,'01_異動主檔'!$E:$E,"減列")</f>
        <v/>
      </c>
      <c r="I1449" s="4">
        <f>-SUMIFS('01_異動主檔'!$F:$F,'01_異動主檔'!$B:$B,112,'01_異動主檔'!$D:$D,B1449,'01_異動主檔'!$E:$E,"精簡")</f>
        <v/>
      </c>
      <c r="J1449" s="10">
        <f>D1449+E1449+F1449+G1449+H1449+I1449</f>
        <v/>
      </c>
    </row>
    <row r="1450" ht="18" customHeight="1">
      <c r="A1450" s="6" t="inlineStr">
        <is>
          <t>G006</t>
        </is>
      </c>
      <c r="B1450" s="5" t="inlineStr">
        <is>
          <t>山區辦公室</t>
        </is>
      </c>
      <c r="C1450" s="6" t="n">
        <v>113</v>
      </c>
      <c r="D1450" s="10">
        <f>J1449</f>
        <v/>
      </c>
      <c r="E1450" s="4">
        <f>SUMIFS('01_異動主檔'!$F:$F,'01_異動主檔'!$B:$B,113,'01_異動主檔'!$D:$D,B1450,'01_異動主檔'!$E:$E,"移入")</f>
        <v/>
      </c>
      <c r="F1450" s="4">
        <f>-SUMIFS('01_異動主檔'!$F:$F,'01_異動主檔'!$B:$B,113,'01_異動主檔'!$D:$D,B1450,'01_異動主檔'!$E:$E,"移出")</f>
        <v/>
      </c>
      <c r="G1450" s="4">
        <f>SUMIFS('01_異動主檔'!$F:$F,'01_異動主檔'!$B:$B,113,'01_異動主檔'!$D:$D,B1450,'01_異動主檔'!$E:$E,"新增")</f>
        <v/>
      </c>
      <c r="H1450" s="4">
        <f>-SUMIFS('01_異動主檔'!$F:$F,'01_異動主檔'!$B:$B,113,'01_異動主檔'!$D:$D,B1450,'01_異動主檔'!$E:$E,"減列")</f>
        <v/>
      </c>
      <c r="I1450" s="4">
        <f>-SUMIFS('01_異動主檔'!$F:$F,'01_異動主檔'!$B:$B,113,'01_異動主檔'!$D:$D,B1450,'01_異動主檔'!$E:$E,"精簡")</f>
        <v/>
      </c>
      <c r="J1450" s="10">
        <f>D1450+E1450+F1450+G1450+H1450+I1450</f>
        <v/>
      </c>
    </row>
    <row r="1451" ht="18" customHeight="1">
      <c r="A1451" s="4" t="inlineStr">
        <is>
          <t>G006</t>
        </is>
      </c>
      <c r="B1451" s="3" t="inlineStr">
        <is>
          <t>山區辦公室</t>
        </is>
      </c>
      <c r="C1451" s="4" t="n">
        <v>114</v>
      </c>
      <c r="D1451" s="10">
        <f>J1450</f>
        <v/>
      </c>
      <c r="E1451" s="4">
        <f>SUMIFS('01_異動主檔'!$F:$F,'01_異動主檔'!$B:$B,114,'01_異動主檔'!$D:$D,B1451,'01_異動主檔'!$E:$E,"移入")</f>
        <v/>
      </c>
      <c r="F1451" s="4">
        <f>-SUMIFS('01_異動主檔'!$F:$F,'01_異動主檔'!$B:$B,114,'01_異動主檔'!$D:$D,B1451,'01_異動主檔'!$E:$E,"移出")</f>
        <v/>
      </c>
      <c r="G1451" s="4">
        <f>SUMIFS('01_異動主檔'!$F:$F,'01_異動主檔'!$B:$B,114,'01_異動主檔'!$D:$D,B1451,'01_異動主檔'!$E:$E,"新增")</f>
        <v/>
      </c>
      <c r="H1451" s="4">
        <f>-SUMIFS('01_異動主檔'!$F:$F,'01_異動主檔'!$B:$B,114,'01_異動主檔'!$D:$D,B1451,'01_異動主檔'!$E:$E,"減列")</f>
        <v/>
      </c>
      <c r="I1451" s="4">
        <f>-SUMIFS('01_異動主檔'!$F:$F,'01_異動主檔'!$B:$B,114,'01_異動主檔'!$D:$D,B1451,'01_異動主檔'!$E:$E,"精簡")</f>
        <v/>
      </c>
      <c r="J1451" s="10">
        <f>D1451+E1451+F1451+G1451+H1451+I1451</f>
        <v/>
      </c>
    </row>
    <row r="1452" ht="18" customHeight="1">
      <c r="A1452" s="6" t="inlineStr">
        <is>
          <t>G006</t>
        </is>
      </c>
      <c r="B1452" s="5" t="inlineStr">
        <is>
          <t>山區辦公室</t>
        </is>
      </c>
      <c r="C1452" s="6" t="n">
        <v>115</v>
      </c>
      <c r="D1452" s="10">
        <f>J1451</f>
        <v/>
      </c>
      <c r="E1452" s="4">
        <f>SUMIFS('01_異動主檔'!$F:$F,'01_異動主檔'!$B:$B,115,'01_異動主檔'!$D:$D,B1452,'01_異動主檔'!$E:$E,"移入")</f>
        <v/>
      </c>
      <c r="F1452" s="4">
        <f>-SUMIFS('01_異動主檔'!$F:$F,'01_異動主檔'!$B:$B,115,'01_異動主檔'!$D:$D,B1452,'01_異動主檔'!$E:$E,"移出")</f>
        <v/>
      </c>
      <c r="G1452" s="4">
        <f>SUMIFS('01_異動主檔'!$F:$F,'01_異動主檔'!$B:$B,115,'01_異動主檔'!$D:$D,B1452,'01_異動主檔'!$E:$E,"新增")</f>
        <v/>
      </c>
      <c r="H1452" s="4">
        <f>-SUMIFS('01_異動主檔'!$F:$F,'01_異動主檔'!$B:$B,115,'01_異動主檔'!$D:$D,B1452,'01_異動主檔'!$E:$E,"減列")</f>
        <v/>
      </c>
      <c r="I1452" s="4">
        <f>-SUMIFS('01_異動主檔'!$F:$F,'01_異動主檔'!$B:$B,115,'01_異動主檔'!$D:$D,B1452,'01_異動主檔'!$E:$E,"精簡")</f>
        <v/>
      </c>
      <c r="J1452" s="10">
        <f>D1452+E1452+F1452+G1452+H1452+I1452</f>
        <v/>
      </c>
    </row>
    <row r="1453" ht="18" customHeight="1">
      <c r="A1453" s="4" t="inlineStr">
        <is>
          <t>G006</t>
        </is>
      </c>
      <c r="B1453" s="3" t="inlineStr">
        <is>
          <t>山區辦公室</t>
        </is>
      </c>
      <c r="C1453" s="4" t="n">
        <v>116</v>
      </c>
      <c r="D1453" s="10">
        <f>J1452</f>
        <v/>
      </c>
      <c r="E1453" s="4">
        <f>SUMIFS('01_異動主檔'!$F:$F,'01_異動主檔'!$B:$B,116,'01_異動主檔'!$D:$D,B1453,'01_異動主檔'!$E:$E,"移入")</f>
        <v/>
      </c>
      <c r="F1453" s="4">
        <f>-SUMIFS('01_異動主檔'!$F:$F,'01_異動主檔'!$B:$B,116,'01_異動主檔'!$D:$D,B1453,'01_異動主檔'!$E:$E,"移出")</f>
        <v/>
      </c>
      <c r="G1453" s="4">
        <f>SUMIFS('01_異動主檔'!$F:$F,'01_異動主檔'!$B:$B,116,'01_異動主檔'!$D:$D,B1453,'01_異動主檔'!$E:$E,"新增")</f>
        <v/>
      </c>
      <c r="H1453" s="4">
        <f>-SUMIFS('01_異動主檔'!$F:$F,'01_異動主檔'!$B:$B,116,'01_異動主檔'!$D:$D,B1453,'01_異動主檔'!$E:$E,"減列")</f>
        <v/>
      </c>
      <c r="I1453" s="4">
        <f>-SUMIFS('01_異動主檔'!$F:$F,'01_異動主檔'!$B:$B,116,'01_異動主檔'!$D:$D,B1453,'01_異動主檔'!$E:$E,"精簡")</f>
        <v/>
      </c>
      <c r="J1453" s="10">
        <f>D1453+E1453+F1453+G1453+H1453+I1453</f>
        <v/>
      </c>
    </row>
    <row r="1454" ht="18" customHeight="1">
      <c r="A1454" s="6" t="inlineStr">
        <is>
          <t>G006</t>
        </is>
      </c>
      <c r="B1454" s="5" t="inlineStr">
        <is>
          <t>山區辦公室</t>
        </is>
      </c>
      <c r="C1454" s="6" t="n">
        <v>117</v>
      </c>
      <c r="D1454" s="10">
        <f>J1453</f>
        <v/>
      </c>
      <c r="E1454" s="4">
        <f>SUMIFS('01_異動主檔'!$F:$F,'01_異動主檔'!$B:$B,117,'01_異動主檔'!$D:$D,B1454,'01_異動主檔'!$E:$E,"移入")</f>
        <v/>
      </c>
      <c r="F1454" s="4">
        <f>-SUMIFS('01_異動主檔'!$F:$F,'01_異動主檔'!$B:$B,117,'01_異動主檔'!$D:$D,B1454,'01_異動主檔'!$E:$E,"移出")</f>
        <v/>
      </c>
      <c r="G1454" s="4">
        <f>SUMIFS('01_異動主檔'!$F:$F,'01_異動主檔'!$B:$B,117,'01_異動主檔'!$D:$D,B1454,'01_異動主檔'!$E:$E,"新增")</f>
        <v/>
      </c>
      <c r="H1454" s="4">
        <f>-SUMIFS('01_異動主檔'!$F:$F,'01_異動主檔'!$B:$B,117,'01_異動主檔'!$D:$D,B1454,'01_異動主檔'!$E:$E,"減列")</f>
        <v/>
      </c>
      <c r="I1454" s="4">
        <f>-SUMIFS('01_異動主檔'!$F:$F,'01_異動主檔'!$B:$B,117,'01_異動主檔'!$D:$D,B1454,'01_異動主檔'!$E:$E,"精簡")</f>
        <v/>
      </c>
      <c r="J1454" s="10">
        <f>D1454+E1454+F1454+G1454+H1454+I1454</f>
        <v/>
      </c>
    </row>
    <row r="1455" ht="18" customHeight="1">
      <c r="A1455" s="4" t="inlineStr">
        <is>
          <t>G006</t>
        </is>
      </c>
      <c r="B1455" s="3" t="inlineStr">
        <is>
          <t>山區辦公室</t>
        </is>
      </c>
      <c r="C1455" s="4" t="n">
        <v>118</v>
      </c>
      <c r="D1455" s="10">
        <f>J1454</f>
        <v/>
      </c>
      <c r="E1455" s="4">
        <f>SUMIFS('01_異動主檔'!$F:$F,'01_異動主檔'!$B:$B,118,'01_異動主檔'!$D:$D,B1455,'01_異動主檔'!$E:$E,"移入")</f>
        <v/>
      </c>
      <c r="F1455" s="4">
        <f>-SUMIFS('01_異動主檔'!$F:$F,'01_異動主檔'!$B:$B,118,'01_異動主檔'!$D:$D,B1455,'01_異動主檔'!$E:$E,"移出")</f>
        <v/>
      </c>
      <c r="G1455" s="4">
        <f>SUMIFS('01_異動主檔'!$F:$F,'01_異動主檔'!$B:$B,118,'01_異動主檔'!$D:$D,B1455,'01_異動主檔'!$E:$E,"新增")</f>
        <v/>
      </c>
      <c r="H1455" s="4">
        <f>-SUMIFS('01_異動主檔'!$F:$F,'01_異動主檔'!$B:$B,118,'01_異動主檔'!$D:$D,B1455,'01_異動主檔'!$E:$E,"減列")</f>
        <v/>
      </c>
      <c r="I1455" s="4">
        <f>-SUMIFS('01_異動主檔'!$F:$F,'01_異動主檔'!$B:$B,118,'01_異動主檔'!$D:$D,B1455,'01_異動主檔'!$E:$E,"精簡")</f>
        <v/>
      </c>
      <c r="J1455" s="10">
        <f>D1455+E1455+F1455+G1455+H1455+I1455</f>
        <v/>
      </c>
    </row>
    <row r="1456" ht="18" customHeight="1">
      <c r="A1456" s="6" t="inlineStr">
        <is>
          <t>G006</t>
        </is>
      </c>
      <c r="B1456" s="5" t="inlineStr">
        <is>
          <t>山區辦公室</t>
        </is>
      </c>
      <c r="C1456" s="6" t="n">
        <v>119</v>
      </c>
      <c r="D1456" s="10">
        <f>J1455</f>
        <v/>
      </c>
      <c r="E1456" s="4">
        <f>SUMIFS('01_異動主檔'!$F:$F,'01_異動主檔'!$B:$B,119,'01_異動主檔'!$D:$D,B1456,'01_異動主檔'!$E:$E,"移入")</f>
        <v/>
      </c>
      <c r="F1456" s="4">
        <f>-SUMIFS('01_異動主檔'!$F:$F,'01_異動主檔'!$B:$B,119,'01_異動主檔'!$D:$D,B1456,'01_異動主檔'!$E:$E,"移出")</f>
        <v/>
      </c>
      <c r="G1456" s="4">
        <f>SUMIFS('01_異動主檔'!$F:$F,'01_異動主檔'!$B:$B,119,'01_異動主檔'!$D:$D,B1456,'01_異動主檔'!$E:$E,"新增")</f>
        <v/>
      </c>
      <c r="H1456" s="4">
        <f>-SUMIFS('01_異動主檔'!$F:$F,'01_異動主檔'!$B:$B,119,'01_異動主檔'!$D:$D,B1456,'01_異動主檔'!$E:$E,"減列")</f>
        <v/>
      </c>
      <c r="I1456" s="4">
        <f>-SUMIFS('01_異動主檔'!$F:$F,'01_異動主檔'!$B:$B,119,'01_異動主檔'!$D:$D,B1456,'01_異動主檔'!$E:$E,"精簡")</f>
        <v/>
      </c>
      <c r="J1456" s="10">
        <f>D1456+E1456+F1456+G1456+H1456+I1456</f>
        <v/>
      </c>
    </row>
    <row r="1457" ht="18" customHeight="1">
      <c r="A1457" s="4" t="inlineStr">
        <is>
          <t>G006</t>
        </is>
      </c>
      <c r="B1457" s="3" t="inlineStr">
        <is>
          <t>山區辦公室</t>
        </is>
      </c>
      <c r="C1457" s="4" t="n">
        <v>120</v>
      </c>
      <c r="D1457" s="10">
        <f>J1456</f>
        <v/>
      </c>
      <c r="E1457" s="4">
        <f>SUMIFS('01_異動主檔'!$F:$F,'01_異動主檔'!$B:$B,120,'01_異動主檔'!$D:$D,B1457,'01_異動主檔'!$E:$E,"移入")</f>
        <v/>
      </c>
      <c r="F1457" s="4">
        <f>-SUMIFS('01_異動主檔'!$F:$F,'01_異動主檔'!$B:$B,120,'01_異動主檔'!$D:$D,B1457,'01_異動主檔'!$E:$E,"移出")</f>
        <v/>
      </c>
      <c r="G1457" s="4">
        <f>SUMIFS('01_異動主檔'!$F:$F,'01_異動主檔'!$B:$B,120,'01_異動主檔'!$D:$D,B1457,'01_異動主檔'!$E:$E,"新增")</f>
        <v/>
      </c>
      <c r="H1457" s="4">
        <f>-SUMIFS('01_異動主檔'!$F:$F,'01_異動主檔'!$B:$B,120,'01_異動主檔'!$D:$D,B1457,'01_異動主檔'!$E:$E,"減列")</f>
        <v/>
      </c>
      <c r="I1457" s="4">
        <f>-SUMIFS('01_異動主檔'!$F:$F,'01_異動主檔'!$B:$B,120,'01_異動主檔'!$D:$D,B1457,'01_異動主檔'!$E:$E,"精簡")</f>
        <v/>
      </c>
      <c r="J1457" s="10">
        <f>D1457+E1457+F1457+G1457+H1457+I1457</f>
        <v/>
      </c>
    </row>
    <row r="1458" ht="18" customHeight="1">
      <c r="A1458" s="6" t="inlineStr">
        <is>
          <t>G006</t>
        </is>
      </c>
      <c r="B1458" s="5" t="inlineStr">
        <is>
          <t>山區辦公室</t>
        </is>
      </c>
      <c r="C1458" s="6" t="n">
        <v>121</v>
      </c>
      <c r="D1458" s="10">
        <f>J1457</f>
        <v/>
      </c>
      <c r="E1458" s="4">
        <f>SUMIFS('01_異動主檔'!$F:$F,'01_異動主檔'!$B:$B,121,'01_異動主檔'!$D:$D,B1458,'01_異動主檔'!$E:$E,"移入")</f>
        <v/>
      </c>
      <c r="F1458" s="4">
        <f>-SUMIFS('01_異動主檔'!$F:$F,'01_異動主檔'!$B:$B,121,'01_異動主檔'!$D:$D,B1458,'01_異動主檔'!$E:$E,"移出")</f>
        <v/>
      </c>
      <c r="G1458" s="4">
        <f>SUMIFS('01_異動主檔'!$F:$F,'01_異動主檔'!$B:$B,121,'01_異動主檔'!$D:$D,B1458,'01_異動主檔'!$E:$E,"新增")</f>
        <v/>
      </c>
      <c r="H1458" s="4">
        <f>-SUMIFS('01_異動主檔'!$F:$F,'01_異動主檔'!$B:$B,121,'01_異動主檔'!$D:$D,B1458,'01_異動主檔'!$E:$E,"減列")</f>
        <v/>
      </c>
      <c r="I1458" s="4">
        <f>-SUMIFS('01_異動主檔'!$F:$F,'01_異動主檔'!$B:$B,121,'01_異動主檔'!$D:$D,B1458,'01_異動主檔'!$E:$E,"精簡")</f>
        <v/>
      </c>
      <c r="J1458" s="10">
        <f>D1458+E1458+F1458+G1458+H1458+I1458</f>
        <v/>
      </c>
    </row>
    <row r="1459" ht="18" customHeight="1">
      <c r="A1459" s="4" t="inlineStr">
        <is>
          <t>G006</t>
        </is>
      </c>
      <c r="B1459" s="3" t="inlineStr">
        <is>
          <t>山區辦公室</t>
        </is>
      </c>
      <c r="C1459" s="4" t="n">
        <v>122</v>
      </c>
      <c r="D1459" s="10">
        <f>J1458</f>
        <v/>
      </c>
      <c r="E1459" s="4">
        <f>SUMIFS('01_異動主檔'!$F:$F,'01_異動主檔'!$B:$B,122,'01_異動主檔'!$D:$D,B1459,'01_異動主檔'!$E:$E,"移入")</f>
        <v/>
      </c>
      <c r="F1459" s="4">
        <f>-SUMIFS('01_異動主檔'!$F:$F,'01_異動主檔'!$B:$B,122,'01_異動主檔'!$D:$D,B1459,'01_異動主檔'!$E:$E,"移出")</f>
        <v/>
      </c>
      <c r="G1459" s="4">
        <f>SUMIFS('01_異動主檔'!$F:$F,'01_異動主檔'!$B:$B,122,'01_異動主檔'!$D:$D,B1459,'01_異動主檔'!$E:$E,"新增")</f>
        <v/>
      </c>
      <c r="H1459" s="4">
        <f>-SUMIFS('01_異動主檔'!$F:$F,'01_異動主檔'!$B:$B,122,'01_異動主檔'!$D:$D,B1459,'01_異動主檔'!$E:$E,"減列")</f>
        <v/>
      </c>
      <c r="I1459" s="4">
        <f>-SUMIFS('01_異動主檔'!$F:$F,'01_異動主檔'!$B:$B,122,'01_異動主檔'!$D:$D,B1459,'01_異動主檔'!$E:$E,"精簡")</f>
        <v/>
      </c>
      <c r="J1459" s="10">
        <f>D1459+E1459+F1459+G1459+H1459+I1459</f>
        <v/>
      </c>
    </row>
    <row r="1460" ht="18" customHeight="1">
      <c r="A1460" s="6" t="inlineStr">
        <is>
          <t>G006</t>
        </is>
      </c>
      <c r="B1460" s="5" t="inlineStr">
        <is>
          <t>山區辦公室</t>
        </is>
      </c>
      <c r="C1460" s="6" t="n">
        <v>123</v>
      </c>
      <c r="D1460" s="10">
        <f>J1459</f>
        <v/>
      </c>
      <c r="E1460" s="4">
        <f>SUMIFS('01_異動主檔'!$F:$F,'01_異動主檔'!$B:$B,123,'01_異動主檔'!$D:$D,B1460,'01_異動主檔'!$E:$E,"移入")</f>
        <v/>
      </c>
      <c r="F1460" s="4">
        <f>-SUMIFS('01_異動主檔'!$F:$F,'01_異動主檔'!$B:$B,123,'01_異動主檔'!$D:$D,B1460,'01_異動主檔'!$E:$E,"移出")</f>
        <v/>
      </c>
      <c r="G1460" s="4">
        <f>SUMIFS('01_異動主檔'!$F:$F,'01_異動主檔'!$B:$B,123,'01_異動主檔'!$D:$D,B1460,'01_異動主檔'!$E:$E,"新增")</f>
        <v/>
      </c>
      <c r="H1460" s="4">
        <f>-SUMIFS('01_異動主檔'!$F:$F,'01_異動主檔'!$B:$B,123,'01_異動主檔'!$D:$D,B1460,'01_異動主檔'!$E:$E,"減列")</f>
        <v/>
      </c>
      <c r="I1460" s="4">
        <f>-SUMIFS('01_異動主檔'!$F:$F,'01_異動主檔'!$B:$B,123,'01_異動主檔'!$D:$D,B1460,'01_異動主檔'!$E:$E,"精簡")</f>
        <v/>
      </c>
      <c r="J1460" s="10">
        <f>D1460+E1460+F1460+G1460+H1460+I1460</f>
        <v/>
      </c>
    </row>
    <row r="1461" ht="18" customHeight="1">
      <c r="A1461" s="4" t="inlineStr">
        <is>
          <t>G006</t>
        </is>
      </c>
      <c r="B1461" s="3" t="inlineStr">
        <is>
          <t>山區辦公室</t>
        </is>
      </c>
      <c r="C1461" s="4" t="n">
        <v>124</v>
      </c>
      <c r="D1461" s="10">
        <f>J1460</f>
        <v/>
      </c>
      <c r="E1461" s="4">
        <f>SUMIFS('01_異動主檔'!$F:$F,'01_異動主檔'!$B:$B,124,'01_異動主檔'!$D:$D,B1461,'01_異動主檔'!$E:$E,"移入")</f>
        <v/>
      </c>
      <c r="F1461" s="4">
        <f>-SUMIFS('01_異動主檔'!$F:$F,'01_異動主檔'!$B:$B,124,'01_異動主檔'!$D:$D,B1461,'01_異動主檔'!$E:$E,"移出")</f>
        <v/>
      </c>
      <c r="G1461" s="4">
        <f>SUMIFS('01_異動主檔'!$F:$F,'01_異動主檔'!$B:$B,124,'01_異動主檔'!$D:$D,B1461,'01_異動主檔'!$E:$E,"新增")</f>
        <v/>
      </c>
      <c r="H1461" s="4">
        <f>-SUMIFS('01_異動主檔'!$F:$F,'01_異動主檔'!$B:$B,124,'01_異動主檔'!$D:$D,B1461,'01_異動主檔'!$E:$E,"減列")</f>
        <v/>
      </c>
      <c r="I1461" s="4">
        <f>-SUMIFS('01_異動主檔'!$F:$F,'01_異動主檔'!$B:$B,124,'01_異動主檔'!$D:$D,B1461,'01_異動主檔'!$E:$E,"精簡")</f>
        <v/>
      </c>
      <c r="J1461" s="10">
        <f>D1461+E1461+F1461+G1461+H1461+I1461</f>
        <v/>
      </c>
    </row>
    <row r="1462" ht="18" customHeight="1">
      <c r="A1462" s="6" t="inlineStr">
        <is>
          <t>G006</t>
        </is>
      </c>
      <c r="B1462" s="5" t="inlineStr">
        <is>
          <t>山區辦公室</t>
        </is>
      </c>
      <c r="C1462" s="6" t="n">
        <v>125</v>
      </c>
      <c r="D1462" s="10">
        <f>J1461</f>
        <v/>
      </c>
      <c r="E1462" s="4">
        <f>SUMIFS('01_異動主檔'!$F:$F,'01_異動主檔'!$B:$B,125,'01_異動主檔'!$D:$D,B1462,'01_異動主檔'!$E:$E,"移入")</f>
        <v/>
      </c>
      <c r="F1462" s="4">
        <f>-SUMIFS('01_異動主檔'!$F:$F,'01_異動主檔'!$B:$B,125,'01_異動主檔'!$D:$D,B1462,'01_異動主檔'!$E:$E,"移出")</f>
        <v/>
      </c>
      <c r="G1462" s="4">
        <f>SUMIFS('01_異動主檔'!$F:$F,'01_異動主檔'!$B:$B,125,'01_異動主檔'!$D:$D,B1462,'01_異動主檔'!$E:$E,"新增")</f>
        <v/>
      </c>
      <c r="H1462" s="4">
        <f>-SUMIFS('01_異動主檔'!$F:$F,'01_異動主檔'!$B:$B,125,'01_異動主檔'!$D:$D,B1462,'01_異動主檔'!$E:$E,"減列")</f>
        <v/>
      </c>
      <c r="I1462" s="4">
        <f>-SUMIFS('01_異動主檔'!$F:$F,'01_異動主檔'!$B:$B,125,'01_異動主檔'!$D:$D,B1462,'01_異動主檔'!$E:$E,"精簡")</f>
        <v/>
      </c>
      <c r="J1462" s="10">
        <f>D1462+E1462+F1462+G1462+H1462+I1462</f>
        <v/>
      </c>
    </row>
    <row r="1463" ht="18" customHeight="1">
      <c r="A1463" s="4" t="inlineStr">
        <is>
          <t>G007</t>
        </is>
      </c>
      <c r="B1463" s="3" t="inlineStr">
        <is>
          <t>海岸辦公室</t>
        </is>
      </c>
      <c r="C1463" s="4" t="n">
        <v>99</v>
      </c>
      <c r="D1463" s="10">
        <f>'02_年初員額設定'!C59</f>
        <v/>
      </c>
      <c r="E1463" s="4">
        <f>SUMIFS('01_異動主檔'!$F:$F,'01_異動主檔'!$B:$B,99,'01_異動主檔'!$D:$D,B1463,'01_異動主檔'!$E:$E,"移入")</f>
        <v/>
      </c>
      <c r="F1463" s="4">
        <f>-SUMIFS('01_異動主檔'!$F:$F,'01_異動主檔'!$B:$B,99,'01_異動主檔'!$D:$D,B1463,'01_異動主檔'!$E:$E,"移出")</f>
        <v/>
      </c>
      <c r="G1463" s="4">
        <f>SUMIFS('01_異動主檔'!$F:$F,'01_異動主檔'!$B:$B,99,'01_異動主檔'!$D:$D,B1463,'01_異動主檔'!$E:$E,"新增")</f>
        <v/>
      </c>
      <c r="H1463" s="4">
        <f>-SUMIFS('01_異動主檔'!$F:$F,'01_異動主檔'!$B:$B,99,'01_異動主檔'!$D:$D,B1463,'01_異動主檔'!$E:$E,"減列")</f>
        <v/>
      </c>
      <c r="I1463" s="4">
        <f>-SUMIFS('01_異動主檔'!$F:$F,'01_異動主檔'!$B:$B,99,'01_異動主檔'!$D:$D,B1463,'01_異動主檔'!$E:$E,"精簡")</f>
        <v/>
      </c>
      <c r="J1463" s="10">
        <f>D1463+E1463+F1463+G1463+H1463+I1463</f>
        <v/>
      </c>
    </row>
    <row r="1464" ht="18" customHeight="1">
      <c r="A1464" s="6" t="inlineStr">
        <is>
          <t>G007</t>
        </is>
      </c>
      <c r="B1464" s="5" t="inlineStr">
        <is>
          <t>海岸辦公室</t>
        </is>
      </c>
      <c r="C1464" s="6" t="n">
        <v>100</v>
      </c>
      <c r="D1464" s="10">
        <f>J1463</f>
        <v/>
      </c>
      <c r="E1464" s="4">
        <f>SUMIFS('01_異動主檔'!$F:$F,'01_異動主檔'!$B:$B,100,'01_異動主檔'!$D:$D,B1464,'01_異動主檔'!$E:$E,"移入")</f>
        <v/>
      </c>
      <c r="F1464" s="4">
        <f>-SUMIFS('01_異動主檔'!$F:$F,'01_異動主檔'!$B:$B,100,'01_異動主檔'!$D:$D,B1464,'01_異動主檔'!$E:$E,"移出")</f>
        <v/>
      </c>
      <c r="G1464" s="4">
        <f>SUMIFS('01_異動主檔'!$F:$F,'01_異動主檔'!$B:$B,100,'01_異動主檔'!$D:$D,B1464,'01_異動主檔'!$E:$E,"新增")</f>
        <v/>
      </c>
      <c r="H1464" s="4">
        <f>-SUMIFS('01_異動主檔'!$F:$F,'01_異動主檔'!$B:$B,100,'01_異動主檔'!$D:$D,B1464,'01_異動主檔'!$E:$E,"減列")</f>
        <v/>
      </c>
      <c r="I1464" s="4">
        <f>-SUMIFS('01_異動主檔'!$F:$F,'01_異動主檔'!$B:$B,100,'01_異動主檔'!$D:$D,B1464,'01_異動主檔'!$E:$E,"精簡")</f>
        <v/>
      </c>
      <c r="J1464" s="10">
        <f>D1464+E1464+F1464+G1464+H1464+I1464</f>
        <v/>
      </c>
    </row>
    <row r="1465" ht="18" customHeight="1">
      <c r="A1465" s="4" t="inlineStr">
        <is>
          <t>G007</t>
        </is>
      </c>
      <c r="B1465" s="3" t="inlineStr">
        <is>
          <t>海岸辦公室</t>
        </is>
      </c>
      <c r="C1465" s="4" t="n">
        <v>101</v>
      </c>
      <c r="D1465" s="10">
        <f>J1464</f>
        <v/>
      </c>
      <c r="E1465" s="4">
        <f>SUMIFS('01_異動主檔'!$F:$F,'01_異動主檔'!$B:$B,101,'01_異動主檔'!$D:$D,B1465,'01_異動主檔'!$E:$E,"移入")</f>
        <v/>
      </c>
      <c r="F1465" s="4">
        <f>-SUMIFS('01_異動主檔'!$F:$F,'01_異動主檔'!$B:$B,101,'01_異動主檔'!$D:$D,B1465,'01_異動主檔'!$E:$E,"移出")</f>
        <v/>
      </c>
      <c r="G1465" s="4">
        <f>SUMIFS('01_異動主檔'!$F:$F,'01_異動主檔'!$B:$B,101,'01_異動主檔'!$D:$D,B1465,'01_異動主檔'!$E:$E,"新增")</f>
        <v/>
      </c>
      <c r="H1465" s="4">
        <f>-SUMIFS('01_異動主檔'!$F:$F,'01_異動主檔'!$B:$B,101,'01_異動主檔'!$D:$D,B1465,'01_異動主檔'!$E:$E,"減列")</f>
        <v/>
      </c>
      <c r="I1465" s="4">
        <f>-SUMIFS('01_異動主檔'!$F:$F,'01_異動主檔'!$B:$B,101,'01_異動主檔'!$D:$D,B1465,'01_異動主檔'!$E:$E,"精簡")</f>
        <v/>
      </c>
      <c r="J1465" s="10">
        <f>D1465+E1465+F1465+G1465+H1465+I1465</f>
        <v/>
      </c>
    </row>
    <row r="1466" ht="18" customHeight="1">
      <c r="A1466" s="6" t="inlineStr">
        <is>
          <t>G007</t>
        </is>
      </c>
      <c r="B1466" s="5" t="inlineStr">
        <is>
          <t>海岸辦公室</t>
        </is>
      </c>
      <c r="C1466" s="6" t="n">
        <v>102</v>
      </c>
      <c r="D1466" s="10">
        <f>J1465</f>
        <v/>
      </c>
      <c r="E1466" s="4">
        <f>SUMIFS('01_異動主檔'!$F:$F,'01_異動主檔'!$B:$B,102,'01_異動主檔'!$D:$D,B1466,'01_異動主檔'!$E:$E,"移入")</f>
        <v/>
      </c>
      <c r="F1466" s="4">
        <f>-SUMIFS('01_異動主檔'!$F:$F,'01_異動主檔'!$B:$B,102,'01_異動主檔'!$D:$D,B1466,'01_異動主檔'!$E:$E,"移出")</f>
        <v/>
      </c>
      <c r="G1466" s="4">
        <f>SUMIFS('01_異動主檔'!$F:$F,'01_異動主檔'!$B:$B,102,'01_異動主檔'!$D:$D,B1466,'01_異動主檔'!$E:$E,"新增")</f>
        <v/>
      </c>
      <c r="H1466" s="4">
        <f>-SUMIFS('01_異動主檔'!$F:$F,'01_異動主檔'!$B:$B,102,'01_異動主檔'!$D:$D,B1466,'01_異動主檔'!$E:$E,"減列")</f>
        <v/>
      </c>
      <c r="I1466" s="4">
        <f>-SUMIFS('01_異動主檔'!$F:$F,'01_異動主檔'!$B:$B,102,'01_異動主檔'!$D:$D,B1466,'01_異動主檔'!$E:$E,"精簡")</f>
        <v/>
      </c>
      <c r="J1466" s="10">
        <f>D1466+E1466+F1466+G1466+H1466+I1466</f>
        <v/>
      </c>
    </row>
    <row r="1467" ht="18" customHeight="1">
      <c r="A1467" s="4" t="inlineStr">
        <is>
          <t>G007</t>
        </is>
      </c>
      <c r="B1467" s="3" t="inlineStr">
        <is>
          <t>海岸辦公室</t>
        </is>
      </c>
      <c r="C1467" s="4" t="n">
        <v>103</v>
      </c>
      <c r="D1467" s="10">
        <f>J1466</f>
        <v/>
      </c>
      <c r="E1467" s="4">
        <f>SUMIFS('01_異動主檔'!$F:$F,'01_異動主檔'!$B:$B,103,'01_異動主檔'!$D:$D,B1467,'01_異動主檔'!$E:$E,"移入")</f>
        <v/>
      </c>
      <c r="F1467" s="4">
        <f>-SUMIFS('01_異動主檔'!$F:$F,'01_異動主檔'!$B:$B,103,'01_異動主檔'!$D:$D,B1467,'01_異動主檔'!$E:$E,"移出")</f>
        <v/>
      </c>
      <c r="G1467" s="4">
        <f>SUMIFS('01_異動主檔'!$F:$F,'01_異動主檔'!$B:$B,103,'01_異動主檔'!$D:$D,B1467,'01_異動主檔'!$E:$E,"新增")</f>
        <v/>
      </c>
      <c r="H1467" s="4">
        <f>-SUMIFS('01_異動主檔'!$F:$F,'01_異動主檔'!$B:$B,103,'01_異動主檔'!$D:$D,B1467,'01_異動主檔'!$E:$E,"減列")</f>
        <v/>
      </c>
      <c r="I1467" s="4">
        <f>-SUMIFS('01_異動主檔'!$F:$F,'01_異動主檔'!$B:$B,103,'01_異動主檔'!$D:$D,B1467,'01_異動主檔'!$E:$E,"精簡")</f>
        <v/>
      </c>
      <c r="J1467" s="10">
        <f>D1467+E1467+F1467+G1467+H1467+I1467</f>
        <v/>
      </c>
    </row>
    <row r="1468" ht="18" customHeight="1">
      <c r="A1468" s="6" t="inlineStr">
        <is>
          <t>G007</t>
        </is>
      </c>
      <c r="B1468" s="5" t="inlineStr">
        <is>
          <t>海岸辦公室</t>
        </is>
      </c>
      <c r="C1468" s="6" t="n">
        <v>104</v>
      </c>
      <c r="D1468" s="10">
        <f>J1467</f>
        <v/>
      </c>
      <c r="E1468" s="4">
        <f>SUMIFS('01_異動主檔'!$F:$F,'01_異動主檔'!$B:$B,104,'01_異動主檔'!$D:$D,B1468,'01_異動主檔'!$E:$E,"移入")</f>
        <v/>
      </c>
      <c r="F1468" s="4">
        <f>-SUMIFS('01_異動主檔'!$F:$F,'01_異動主檔'!$B:$B,104,'01_異動主檔'!$D:$D,B1468,'01_異動主檔'!$E:$E,"移出")</f>
        <v/>
      </c>
      <c r="G1468" s="4">
        <f>SUMIFS('01_異動主檔'!$F:$F,'01_異動主檔'!$B:$B,104,'01_異動主檔'!$D:$D,B1468,'01_異動主檔'!$E:$E,"新增")</f>
        <v/>
      </c>
      <c r="H1468" s="4">
        <f>-SUMIFS('01_異動主檔'!$F:$F,'01_異動主檔'!$B:$B,104,'01_異動主檔'!$D:$D,B1468,'01_異動主檔'!$E:$E,"減列")</f>
        <v/>
      </c>
      <c r="I1468" s="4">
        <f>-SUMIFS('01_異動主檔'!$F:$F,'01_異動主檔'!$B:$B,104,'01_異動主檔'!$D:$D,B1468,'01_異動主檔'!$E:$E,"精簡")</f>
        <v/>
      </c>
      <c r="J1468" s="10">
        <f>D1468+E1468+F1468+G1468+H1468+I1468</f>
        <v/>
      </c>
    </row>
    <row r="1469" ht="18" customHeight="1">
      <c r="A1469" s="4" t="inlineStr">
        <is>
          <t>G007</t>
        </is>
      </c>
      <c r="B1469" s="3" t="inlineStr">
        <is>
          <t>海岸辦公室</t>
        </is>
      </c>
      <c r="C1469" s="4" t="n">
        <v>105</v>
      </c>
      <c r="D1469" s="10">
        <f>J1468</f>
        <v/>
      </c>
      <c r="E1469" s="4">
        <f>SUMIFS('01_異動主檔'!$F:$F,'01_異動主檔'!$B:$B,105,'01_異動主檔'!$D:$D,B1469,'01_異動主檔'!$E:$E,"移入")</f>
        <v/>
      </c>
      <c r="F1469" s="4">
        <f>-SUMIFS('01_異動主檔'!$F:$F,'01_異動主檔'!$B:$B,105,'01_異動主檔'!$D:$D,B1469,'01_異動主檔'!$E:$E,"移出")</f>
        <v/>
      </c>
      <c r="G1469" s="4">
        <f>SUMIFS('01_異動主檔'!$F:$F,'01_異動主檔'!$B:$B,105,'01_異動主檔'!$D:$D,B1469,'01_異動主檔'!$E:$E,"新增")</f>
        <v/>
      </c>
      <c r="H1469" s="4">
        <f>-SUMIFS('01_異動主檔'!$F:$F,'01_異動主檔'!$B:$B,105,'01_異動主檔'!$D:$D,B1469,'01_異動主檔'!$E:$E,"減列")</f>
        <v/>
      </c>
      <c r="I1469" s="4">
        <f>-SUMIFS('01_異動主檔'!$F:$F,'01_異動主檔'!$B:$B,105,'01_異動主檔'!$D:$D,B1469,'01_異動主檔'!$E:$E,"精簡")</f>
        <v/>
      </c>
      <c r="J1469" s="10">
        <f>D1469+E1469+F1469+G1469+H1469+I1469</f>
        <v/>
      </c>
    </row>
    <row r="1470" ht="18" customHeight="1">
      <c r="A1470" s="6" t="inlineStr">
        <is>
          <t>G007</t>
        </is>
      </c>
      <c r="B1470" s="5" t="inlineStr">
        <is>
          <t>海岸辦公室</t>
        </is>
      </c>
      <c r="C1470" s="6" t="n">
        <v>106</v>
      </c>
      <c r="D1470" s="10">
        <f>J1469</f>
        <v/>
      </c>
      <c r="E1470" s="4">
        <f>SUMIFS('01_異動主檔'!$F:$F,'01_異動主檔'!$B:$B,106,'01_異動主檔'!$D:$D,B1470,'01_異動主檔'!$E:$E,"移入")</f>
        <v/>
      </c>
      <c r="F1470" s="4">
        <f>-SUMIFS('01_異動主檔'!$F:$F,'01_異動主檔'!$B:$B,106,'01_異動主檔'!$D:$D,B1470,'01_異動主檔'!$E:$E,"移出")</f>
        <v/>
      </c>
      <c r="G1470" s="4">
        <f>SUMIFS('01_異動主檔'!$F:$F,'01_異動主檔'!$B:$B,106,'01_異動主檔'!$D:$D,B1470,'01_異動主檔'!$E:$E,"新增")</f>
        <v/>
      </c>
      <c r="H1470" s="4">
        <f>-SUMIFS('01_異動主檔'!$F:$F,'01_異動主檔'!$B:$B,106,'01_異動主檔'!$D:$D,B1470,'01_異動主檔'!$E:$E,"減列")</f>
        <v/>
      </c>
      <c r="I1470" s="4">
        <f>-SUMIFS('01_異動主檔'!$F:$F,'01_異動主檔'!$B:$B,106,'01_異動主檔'!$D:$D,B1470,'01_異動主檔'!$E:$E,"精簡")</f>
        <v/>
      </c>
      <c r="J1470" s="10">
        <f>D1470+E1470+F1470+G1470+H1470+I1470</f>
        <v/>
      </c>
    </row>
    <row r="1471" ht="18" customHeight="1">
      <c r="A1471" s="4" t="inlineStr">
        <is>
          <t>G007</t>
        </is>
      </c>
      <c r="B1471" s="3" t="inlineStr">
        <is>
          <t>海岸辦公室</t>
        </is>
      </c>
      <c r="C1471" s="4" t="n">
        <v>107</v>
      </c>
      <c r="D1471" s="10">
        <f>J1470</f>
        <v/>
      </c>
      <c r="E1471" s="4">
        <f>SUMIFS('01_異動主檔'!$F:$F,'01_異動主檔'!$B:$B,107,'01_異動主檔'!$D:$D,B1471,'01_異動主檔'!$E:$E,"移入")</f>
        <v/>
      </c>
      <c r="F1471" s="4">
        <f>-SUMIFS('01_異動主檔'!$F:$F,'01_異動主檔'!$B:$B,107,'01_異動主檔'!$D:$D,B1471,'01_異動主檔'!$E:$E,"移出")</f>
        <v/>
      </c>
      <c r="G1471" s="4">
        <f>SUMIFS('01_異動主檔'!$F:$F,'01_異動主檔'!$B:$B,107,'01_異動主檔'!$D:$D,B1471,'01_異動主檔'!$E:$E,"新增")</f>
        <v/>
      </c>
      <c r="H1471" s="4">
        <f>-SUMIFS('01_異動主檔'!$F:$F,'01_異動主檔'!$B:$B,107,'01_異動主檔'!$D:$D,B1471,'01_異動主檔'!$E:$E,"減列")</f>
        <v/>
      </c>
      <c r="I1471" s="4">
        <f>-SUMIFS('01_異動主檔'!$F:$F,'01_異動主檔'!$B:$B,107,'01_異動主檔'!$D:$D,B1471,'01_異動主檔'!$E:$E,"精簡")</f>
        <v/>
      </c>
      <c r="J1471" s="10">
        <f>D1471+E1471+F1471+G1471+H1471+I1471</f>
        <v/>
      </c>
    </row>
    <row r="1472" ht="18" customHeight="1">
      <c r="A1472" s="6" t="inlineStr">
        <is>
          <t>G007</t>
        </is>
      </c>
      <c r="B1472" s="5" t="inlineStr">
        <is>
          <t>海岸辦公室</t>
        </is>
      </c>
      <c r="C1472" s="6" t="n">
        <v>108</v>
      </c>
      <c r="D1472" s="10">
        <f>J1471</f>
        <v/>
      </c>
      <c r="E1472" s="4">
        <f>SUMIFS('01_異動主檔'!$F:$F,'01_異動主檔'!$B:$B,108,'01_異動主檔'!$D:$D,B1472,'01_異動主檔'!$E:$E,"移入")</f>
        <v/>
      </c>
      <c r="F1472" s="4">
        <f>-SUMIFS('01_異動主檔'!$F:$F,'01_異動主檔'!$B:$B,108,'01_異動主檔'!$D:$D,B1472,'01_異動主檔'!$E:$E,"移出")</f>
        <v/>
      </c>
      <c r="G1472" s="4">
        <f>SUMIFS('01_異動主檔'!$F:$F,'01_異動主檔'!$B:$B,108,'01_異動主檔'!$D:$D,B1472,'01_異動主檔'!$E:$E,"新增")</f>
        <v/>
      </c>
      <c r="H1472" s="4">
        <f>-SUMIFS('01_異動主檔'!$F:$F,'01_異動主檔'!$B:$B,108,'01_異動主檔'!$D:$D,B1472,'01_異動主檔'!$E:$E,"減列")</f>
        <v/>
      </c>
      <c r="I1472" s="4">
        <f>-SUMIFS('01_異動主檔'!$F:$F,'01_異動主檔'!$B:$B,108,'01_異動主檔'!$D:$D,B1472,'01_異動主檔'!$E:$E,"精簡")</f>
        <v/>
      </c>
      <c r="J1472" s="10">
        <f>D1472+E1472+F1472+G1472+H1472+I1472</f>
        <v/>
      </c>
    </row>
    <row r="1473" ht="18" customHeight="1">
      <c r="A1473" s="4" t="inlineStr">
        <is>
          <t>G007</t>
        </is>
      </c>
      <c r="B1473" s="3" t="inlineStr">
        <is>
          <t>海岸辦公室</t>
        </is>
      </c>
      <c r="C1473" s="4" t="n">
        <v>109</v>
      </c>
      <c r="D1473" s="10">
        <f>J1472</f>
        <v/>
      </c>
      <c r="E1473" s="4">
        <f>SUMIFS('01_異動主檔'!$F:$F,'01_異動主檔'!$B:$B,109,'01_異動主檔'!$D:$D,B1473,'01_異動主檔'!$E:$E,"移入")</f>
        <v/>
      </c>
      <c r="F1473" s="4">
        <f>-SUMIFS('01_異動主檔'!$F:$F,'01_異動主檔'!$B:$B,109,'01_異動主檔'!$D:$D,B1473,'01_異動主檔'!$E:$E,"移出")</f>
        <v/>
      </c>
      <c r="G1473" s="4">
        <f>SUMIFS('01_異動主檔'!$F:$F,'01_異動主檔'!$B:$B,109,'01_異動主檔'!$D:$D,B1473,'01_異動主檔'!$E:$E,"新增")</f>
        <v/>
      </c>
      <c r="H1473" s="4">
        <f>-SUMIFS('01_異動主檔'!$F:$F,'01_異動主檔'!$B:$B,109,'01_異動主檔'!$D:$D,B1473,'01_異動主檔'!$E:$E,"減列")</f>
        <v/>
      </c>
      <c r="I1473" s="4">
        <f>-SUMIFS('01_異動主檔'!$F:$F,'01_異動主檔'!$B:$B,109,'01_異動主檔'!$D:$D,B1473,'01_異動主檔'!$E:$E,"精簡")</f>
        <v/>
      </c>
      <c r="J1473" s="10">
        <f>D1473+E1473+F1473+G1473+H1473+I1473</f>
        <v/>
      </c>
    </row>
    <row r="1474" ht="18" customHeight="1">
      <c r="A1474" s="6" t="inlineStr">
        <is>
          <t>G007</t>
        </is>
      </c>
      <c r="B1474" s="5" t="inlineStr">
        <is>
          <t>海岸辦公室</t>
        </is>
      </c>
      <c r="C1474" s="6" t="n">
        <v>110</v>
      </c>
      <c r="D1474" s="10">
        <f>J1473</f>
        <v/>
      </c>
      <c r="E1474" s="4">
        <f>SUMIFS('01_異動主檔'!$F:$F,'01_異動主檔'!$B:$B,110,'01_異動主檔'!$D:$D,B1474,'01_異動主檔'!$E:$E,"移入")</f>
        <v/>
      </c>
      <c r="F1474" s="4">
        <f>-SUMIFS('01_異動主檔'!$F:$F,'01_異動主檔'!$B:$B,110,'01_異動主檔'!$D:$D,B1474,'01_異動主檔'!$E:$E,"移出")</f>
        <v/>
      </c>
      <c r="G1474" s="4">
        <f>SUMIFS('01_異動主檔'!$F:$F,'01_異動主檔'!$B:$B,110,'01_異動主檔'!$D:$D,B1474,'01_異動主檔'!$E:$E,"新增")</f>
        <v/>
      </c>
      <c r="H1474" s="4">
        <f>-SUMIFS('01_異動主檔'!$F:$F,'01_異動主檔'!$B:$B,110,'01_異動主檔'!$D:$D,B1474,'01_異動主檔'!$E:$E,"減列")</f>
        <v/>
      </c>
      <c r="I1474" s="4">
        <f>-SUMIFS('01_異動主檔'!$F:$F,'01_異動主檔'!$B:$B,110,'01_異動主檔'!$D:$D,B1474,'01_異動主檔'!$E:$E,"精簡")</f>
        <v/>
      </c>
      <c r="J1474" s="10">
        <f>D1474+E1474+F1474+G1474+H1474+I1474</f>
        <v/>
      </c>
    </row>
    <row r="1475" ht="18" customHeight="1">
      <c r="A1475" s="4" t="inlineStr">
        <is>
          <t>G007</t>
        </is>
      </c>
      <c r="B1475" s="3" t="inlineStr">
        <is>
          <t>海岸辦公室</t>
        </is>
      </c>
      <c r="C1475" s="4" t="n">
        <v>111</v>
      </c>
      <c r="D1475" s="10">
        <f>J1474</f>
        <v/>
      </c>
      <c r="E1475" s="4">
        <f>SUMIFS('01_異動主檔'!$F:$F,'01_異動主檔'!$B:$B,111,'01_異動主檔'!$D:$D,B1475,'01_異動主檔'!$E:$E,"移入")</f>
        <v/>
      </c>
      <c r="F1475" s="4">
        <f>-SUMIFS('01_異動主檔'!$F:$F,'01_異動主檔'!$B:$B,111,'01_異動主檔'!$D:$D,B1475,'01_異動主檔'!$E:$E,"移出")</f>
        <v/>
      </c>
      <c r="G1475" s="4">
        <f>SUMIFS('01_異動主檔'!$F:$F,'01_異動主檔'!$B:$B,111,'01_異動主檔'!$D:$D,B1475,'01_異動主檔'!$E:$E,"新增")</f>
        <v/>
      </c>
      <c r="H1475" s="4">
        <f>-SUMIFS('01_異動主檔'!$F:$F,'01_異動主檔'!$B:$B,111,'01_異動主檔'!$D:$D,B1475,'01_異動主檔'!$E:$E,"減列")</f>
        <v/>
      </c>
      <c r="I1475" s="4">
        <f>-SUMIFS('01_異動主檔'!$F:$F,'01_異動主檔'!$B:$B,111,'01_異動主檔'!$D:$D,B1475,'01_異動主檔'!$E:$E,"精簡")</f>
        <v/>
      </c>
      <c r="J1475" s="10">
        <f>D1475+E1475+F1475+G1475+H1475+I1475</f>
        <v/>
      </c>
    </row>
    <row r="1476" ht="18" customHeight="1">
      <c r="A1476" s="6" t="inlineStr">
        <is>
          <t>G007</t>
        </is>
      </c>
      <c r="B1476" s="5" t="inlineStr">
        <is>
          <t>海岸辦公室</t>
        </is>
      </c>
      <c r="C1476" s="6" t="n">
        <v>112</v>
      </c>
      <c r="D1476" s="10">
        <f>J1475</f>
        <v/>
      </c>
      <c r="E1476" s="4">
        <f>SUMIFS('01_異動主檔'!$F:$F,'01_異動主檔'!$B:$B,112,'01_異動主檔'!$D:$D,B1476,'01_異動主檔'!$E:$E,"移入")</f>
        <v/>
      </c>
      <c r="F1476" s="4">
        <f>-SUMIFS('01_異動主檔'!$F:$F,'01_異動主檔'!$B:$B,112,'01_異動主檔'!$D:$D,B1476,'01_異動主檔'!$E:$E,"移出")</f>
        <v/>
      </c>
      <c r="G1476" s="4">
        <f>SUMIFS('01_異動主檔'!$F:$F,'01_異動主檔'!$B:$B,112,'01_異動主檔'!$D:$D,B1476,'01_異動主檔'!$E:$E,"新增")</f>
        <v/>
      </c>
      <c r="H1476" s="4">
        <f>-SUMIFS('01_異動主檔'!$F:$F,'01_異動主檔'!$B:$B,112,'01_異動主檔'!$D:$D,B1476,'01_異動主檔'!$E:$E,"減列")</f>
        <v/>
      </c>
      <c r="I1476" s="4">
        <f>-SUMIFS('01_異動主檔'!$F:$F,'01_異動主檔'!$B:$B,112,'01_異動主檔'!$D:$D,B1476,'01_異動主檔'!$E:$E,"精簡")</f>
        <v/>
      </c>
      <c r="J1476" s="10">
        <f>D1476+E1476+F1476+G1476+H1476+I1476</f>
        <v/>
      </c>
    </row>
    <row r="1477" ht="18" customHeight="1">
      <c r="A1477" s="4" t="inlineStr">
        <is>
          <t>G007</t>
        </is>
      </c>
      <c r="B1477" s="3" t="inlineStr">
        <is>
          <t>海岸辦公室</t>
        </is>
      </c>
      <c r="C1477" s="4" t="n">
        <v>113</v>
      </c>
      <c r="D1477" s="10">
        <f>J1476</f>
        <v/>
      </c>
      <c r="E1477" s="4">
        <f>SUMIFS('01_異動主檔'!$F:$F,'01_異動主檔'!$B:$B,113,'01_異動主檔'!$D:$D,B1477,'01_異動主檔'!$E:$E,"移入")</f>
        <v/>
      </c>
      <c r="F1477" s="4">
        <f>-SUMIFS('01_異動主檔'!$F:$F,'01_異動主檔'!$B:$B,113,'01_異動主檔'!$D:$D,B1477,'01_異動主檔'!$E:$E,"移出")</f>
        <v/>
      </c>
      <c r="G1477" s="4">
        <f>SUMIFS('01_異動主檔'!$F:$F,'01_異動主檔'!$B:$B,113,'01_異動主檔'!$D:$D,B1477,'01_異動主檔'!$E:$E,"新增")</f>
        <v/>
      </c>
      <c r="H1477" s="4">
        <f>-SUMIFS('01_異動主檔'!$F:$F,'01_異動主檔'!$B:$B,113,'01_異動主檔'!$D:$D,B1477,'01_異動主檔'!$E:$E,"減列")</f>
        <v/>
      </c>
      <c r="I1477" s="4">
        <f>-SUMIFS('01_異動主檔'!$F:$F,'01_異動主檔'!$B:$B,113,'01_異動主檔'!$D:$D,B1477,'01_異動主檔'!$E:$E,"精簡")</f>
        <v/>
      </c>
      <c r="J1477" s="10">
        <f>D1477+E1477+F1477+G1477+H1477+I1477</f>
        <v/>
      </c>
    </row>
    <row r="1478" ht="18" customHeight="1">
      <c r="A1478" s="6" t="inlineStr">
        <is>
          <t>G007</t>
        </is>
      </c>
      <c r="B1478" s="5" t="inlineStr">
        <is>
          <t>海岸辦公室</t>
        </is>
      </c>
      <c r="C1478" s="6" t="n">
        <v>114</v>
      </c>
      <c r="D1478" s="10">
        <f>J1477</f>
        <v/>
      </c>
      <c r="E1478" s="4">
        <f>SUMIFS('01_異動主檔'!$F:$F,'01_異動主檔'!$B:$B,114,'01_異動主檔'!$D:$D,B1478,'01_異動主檔'!$E:$E,"移入")</f>
        <v/>
      </c>
      <c r="F1478" s="4">
        <f>-SUMIFS('01_異動主檔'!$F:$F,'01_異動主檔'!$B:$B,114,'01_異動主檔'!$D:$D,B1478,'01_異動主檔'!$E:$E,"移出")</f>
        <v/>
      </c>
      <c r="G1478" s="4">
        <f>SUMIFS('01_異動主檔'!$F:$F,'01_異動主檔'!$B:$B,114,'01_異動主檔'!$D:$D,B1478,'01_異動主檔'!$E:$E,"新增")</f>
        <v/>
      </c>
      <c r="H1478" s="4">
        <f>-SUMIFS('01_異動主檔'!$F:$F,'01_異動主檔'!$B:$B,114,'01_異動主檔'!$D:$D,B1478,'01_異動主檔'!$E:$E,"減列")</f>
        <v/>
      </c>
      <c r="I1478" s="4">
        <f>-SUMIFS('01_異動主檔'!$F:$F,'01_異動主檔'!$B:$B,114,'01_異動主檔'!$D:$D,B1478,'01_異動主檔'!$E:$E,"精簡")</f>
        <v/>
      </c>
      <c r="J1478" s="10">
        <f>D1478+E1478+F1478+G1478+H1478+I1478</f>
        <v/>
      </c>
    </row>
    <row r="1479" ht="18" customHeight="1">
      <c r="A1479" s="4" t="inlineStr">
        <is>
          <t>G007</t>
        </is>
      </c>
      <c r="B1479" s="3" t="inlineStr">
        <is>
          <t>海岸辦公室</t>
        </is>
      </c>
      <c r="C1479" s="4" t="n">
        <v>115</v>
      </c>
      <c r="D1479" s="10">
        <f>J1478</f>
        <v/>
      </c>
      <c r="E1479" s="4">
        <f>SUMIFS('01_異動主檔'!$F:$F,'01_異動主檔'!$B:$B,115,'01_異動主檔'!$D:$D,B1479,'01_異動主檔'!$E:$E,"移入")</f>
        <v/>
      </c>
      <c r="F1479" s="4">
        <f>-SUMIFS('01_異動主檔'!$F:$F,'01_異動主檔'!$B:$B,115,'01_異動主檔'!$D:$D,B1479,'01_異動主檔'!$E:$E,"移出")</f>
        <v/>
      </c>
      <c r="G1479" s="4">
        <f>SUMIFS('01_異動主檔'!$F:$F,'01_異動主檔'!$B:$B,115,'01_異動主檔'!$D:$D,B1479,'01_異動主檔'!$E:$E,"新增")</f>
        <v/>
      </c>
      <c r="H1479" s="4">
        <f>-SUMIFS('01_異動主檔'!$F:$F,'01_異動主檔'!$B:$B,115,'01_異動主檔'!$D:$D,B1479,'01_異動主檔'!$E:$E,"減列")</f>
        <v/>
      </c>
      <c r="I1479" s="4">
        <f>-SUMIFS('01_異動主檔'!$F:$F,'01_異動主檔'!$B:$B,115,'01_異動主檔'!$D:$D,B1479,'01_異動主檔'!$E:$E,"精簡")</f>
        <v/>
      </c>
      <c r="J1479" s="10">
        <f>D1479+E1479+F1479+G1479+H1479+I1479</f>
        <v/>
      </c>
    </row>
    <row r="1480" ht="18" customHeight="1">
      <c r="A1480" s="6" t="inlineStr">
        <is>
          <t>G007</t>
        </is>
      </c>
      <c r="B1480" s="5" t="inlineStr">
        <is>
          <t>海岸辦公室</t>
        </is>
      </c>
      <c r="C1480" s="6" t="n">
        <v>116</v>
      </c>
      <c r="D1480" s="10">
        <f>J1479</f>
        <v/>
      </c>
      <c r="E1480" s="4">
        <f>SUMIFS('01_異動主檔'!$F:$F,'01_異動主檔'!$B:$B,116,'01_異動主檔'!$D:$D,B1480,'01_異動主檔'!$E:$E,"移入")</f>
        <v/>
      </c>
      <c r="F1480" s="4">
        <f>-SUMIFS('01_異動主檔'!$F:$F,'01_異動主檔'!$B:$B,116,'01_異動主檔'!$D:$D,B1480,'01_異動主檔'!$E:$E,"移出")</f>
        <v/>
      </c>
      <c r="G1480" s="4">
        <f>SUMIFS('01_異動主檔'!$F:$F,'01_異動主檔'!$B:$B,116,'01_異動主檔'!$D:$D,B1480,'01_異動主檔'!$E:$E,"新增")</f>
        <v/>
      </c>
      <c r="H1480" s="4">
        <f>-SUMIFS('01_異動主檔'!$F:$F,'01_異動主檔'!$B:$B,116,'01_異動主檔'!$D:$D,B1480,'01_異動主檔'!$E:$E,"減列")</f>
        <v/>
      </c>
      <c r="I1480" s="4">
        <f>-SUMIFS('01_異動主檔'!$F:$F,'01_異動主檔'!$B:$B,116,'01_異動主檔'!$D:$D,B1480,'01_異動主檔'!$E:$E,"精簡")</f>
        <v/>
      </c>
      <c r="J1480" s="10">
        <f>D1480+E1480+F1480+G1480+H1480+I1480</f>
        <v/>
      </c>
    </row>
    <row r="1481" ht="18" customHeight="1">
      <c r="A1481" s="4" t="inlineStr">
        <is>
          <t>G007</t>
        </is>
      </c>
      <c r="B1481" s="3" t="inlineStr">
        <is>
          <t>海岸辦公室</t>
        </is>
      </c>
      <c r="C1481" s="4" t="n">
        <v>117</v>
      </c>
      <c r="D1481" s="10">
        <f>J1480</f>
        <v/>
      </c>
      <c r="E1481" s="4">
        <f>SUMIFS('01_異動主檔'!$F:$F,'01_異動主檔'!$B:$B,117,'01_異動主檔'!$D:$D,B1481,'01_異動主檔'!$E:$E,"移入")</f>
        <v/>
      </c>
      <c r="F1481" s="4">
        <f>-SUMIFS('01_異動主檔'!$F:$F,'01_異動主檔'!$B:$B,117,'01_異動主檔'!$D:$D,B1481,'01_異動主檔'!$E:$E,"移出")</f>
        <v/>
      </c>
      <c r="G1481" s="4">
        <f>SUMIFS('01_異動主檔'!$F:$F,'01_異動主檔'!$B:$B,117,'01_異動主檔'!$D:$D,B1481,'01_異動主檔'!$E:$E,"新增")</f>
        <v/>
      </c>
      <c r="H1481" s="4">
        <f>-SUMIFS('01_異動主檔'!$F:$F,'01_異動主檔'!$B:$B,117,'01_異動主檔'!$D:$D,B1481,'01_異動主檔'!$E:$E,"減列")</f>
        <v/>
      </c>
      <c r="I1481" s="4">
        <f>-SUMIFS('01_異動主檔'!$F:$F,'01_異動主檔'!$B:$B,117,'01_異動主檔'!$D:$D,B1481,'01_異動主檔'!$E:$E,"精簡")</f>
        <v/>
      </c>
      <c r="J1481" s="10">
        <f>D1481+E1481+F1481+G1481+H1481+I1481</f>
        <v/>
      </c>
    </row>
    <row r="1482" ht="18" customHeight="1">
      <c r="A1482" s="6" t="inlineStr">
        <is>
          <t>G007</t>
        </is>
      </c>
      <c r="B1482" s="5" t="inlineStr">
        <is>
          <t>海岸辦公室</t>
        </is>
      </c>
      <c r="C1482" s="6" t="n">
        <v>118</v>
      </c>
      <c r="D1482" s="10">
        <f>J1481</f>
        <v/>
      </c>
      <c r="E1482" s="4">
        <f>SUMIFS('01_異動主檔'!$F:$F,'01_異動主檔'!$B:$B,118,'01_異動主檔'!$D:$D,B1482,'01_異動主檔'!$E:$E,"移入")</f>
        <v/>
      </c>
      <c r="F1482" s="4">
        <f>-SUMIFS('01_異動主檔'!$F:$F,'01_異動主檔'!$B:$B,118,'01_異動主檔'!$D:$D,B1482,'01_異動主檔'!$E:$E,"移出")</f>
        <v/>
      </c>
      <c r="G1482" s="4">
        <f>SUMIFS('01_異動主檔'!$F:$F,'01_異動主檔'!$B:$B,118,'01_異動主檔'!$D:$D,B1482,'01_異動主檔'!$E:$E,"新增")</f>
        <v/>
      </c>
      <c r="H1482" s="4">
        <f>-SUMIFS('01_異動主檔'!$F:$F,'01_異動主檔'!$B:$B,118,'01_異動主檔'!$D:$D,B1482,'01_異動主檔'!$E:$E,"減列")</f>
        <v/>
      </c>
      <c r="I1482" s="4">
        <f>-SUMIFS('01_異動主檔'!$F:$F,'01_異動主檔'!$B:$B,118,'01_異動主檔'!$D:$D,B1482,'01_異動主檔'!$E:$E,"精簡")</f>
        <v/>
      </c>
      <c r="J1482" s="10">
        <f>D1482+E1482+F1482+G1482+H1482+I1482</f>
        <v/>
      </c>
    </row>
    <row r="1483" ht="18" customHeight="1">
      <c r="A1483" s="4" t="inlineStr">
        <is>
          <t>G007</t>
        </is>
      </c>
      <c r="B1483" s="3" t="inlineStr">
        <is>
          <t>海岸辦公室</t>
        </is>
      </c>
      <c r="C1483" s="4" t="n">
        <v>119</v>
      </c>
      <c r="D1483" s="10">
        <f>J1482</f>
        <v/>
      </c>
      <c r="E1483" s="4">
        <f>SUMIFS('01_異動主檔'!$F:$F,'01_異動主檔'!$B:$B,119,'01_異動主檔'!$D:$D,B1483,'01_異動主檔'!$E:$E,"移入")</f>
        <v/>
      </c>
      <c r="F1483" s="4">
        <f>-SUMIFS('01_異動主檔'!$F:$F,'01_異動主檔'!$B:$B,119,'01_異動主檔'!$D:$D,B1483,'01_異動主檔'!$E:$E,"移出")</f>
        <v/>
      </c>
      <c r="G1483" s="4">
        <f>SUMIFS('01_異動主檔'!$F:$F,'01_異動主檔'!$B:$B,119,'01_異動主檔'!$D:$D,B1483,'01_異動主檔'!$E:$E,"新增")</f>
        <v/>
      </c>
      <c r="H1483" s="4">
        <f>-SUMIFS('01_異動主檔'!$F:$F,'01_異動主檔'!$B:$B,119,'01_異動主檔'!$D:$D,B1483,'01_異動主檔'!$E:$E,"減列")</f>
        <v/>
      </c>
      <c r="I1483" s="4">
        <f>-SUMIFS('01_異動主檔'!$F:$F,'01_異動主檔'!$B:$B,119,'01_異動主檔'!$D:$D,B1483,'01_異動主檔'!$E:$E,"精簡")</f>
        <v/>
      </c>
      <c r="J1483" s="10">
        <f>D1483+E1483+F1483+G1483+H1483+I1483</f>
        <v/>
      </c>
    </row>
    <row r="1484" ht="18" customHeight="1">
      <c r="A1484" s="6" t="inlineStr">
        <is>
          <t>G007</t>
        </is>
      </c>
      <c r="B1484" s="5" t="inlineStr">
        <is>
          <t>海岸辦公室</t>
        </is>
      </c>
      <c r="C1484" s="6" t="n">
        <v>120</v>
      </c>
      <c r="D1484" s="10">
        <f>J1483</f>
        <v/>
      </c>
      <c r="E1484" s="4">
        <f>SUMIFS('01_異動主檔'!$F:$F,'01_異動主檔'!$B:$B,120,'01_異動主檔'!$D:$D,B1484,'01_異動主檔'!$E:$E,"移入")</f>
        <v/>
      </c>
      <c r="F1484" s="4">
        <f>-SUMIFS('01_異動主檔'!$F:$F,'01_異動主檔'!$B:$B,120,'01_異動主檔'!$D:$D,B1484,'01_異動主檔'!$E:$E,"移出")</f>
        <v/>
      </c>
      <c r="G1484" s="4">
        <f>SUMIFS('01_異動主檔'!$F:$F,'01_異動主檔'!$B:$B,120,'01_異動主檔'!$D:$D,B1484,'01_異動主檔'!$E:$E,"新增")</f>
        <v/>
      </c>
      <c r="H1484" s="4">
        <f>-SUMIFS('01_異動主檔'!$F:$F,'01_異動主檔'!$B:$B,120,'01_異動主檔'!$D:$D,B1484,'01_異動主檔'!$E:$E,"減列")</f>
        <v/>
      </c>
      <c r="I1484" s="4">
        <f>-SUMIFS('01_異動主檔'!$F:$F,'01_異動主檔'!$B:$B,120,'01_異動主檔'!$D:$D,B1484,'01_異動主檔'!$E:$E,"精簡")</f>
        <v/>
      </c>
      <c r="J1484" s="10">
        <f>D1484+E1484+F1484+G1484+H1484+I1484</f>
        <v/>
      </c>
    </row>
    <row r="1485" ht="18" customHeight="1">
      <c r="A1485" s="4" t="inlineStr">
        <is>
          <t>G007</t>
        </is>
      </c>
      <c r="B1485" s="3" t="inlineStr">
        <is>
          <t>海岸辦公室</t>
        </is>
      </c>
      <c r="C1485" s="4" t="n">
        <v>121</v>
      </c>
      <c r="D1485" s="10">
        <f>J1484</f>
        <v/>
      </c>
      <c r="E1485" s="4">
        <f>SUMIFS('01_異動主檔'!$F:$F,'01_異動主檔'!$B:$B,121,'01_異動主檔'!$D:$D,B1485,'01_異動主檔'!$E:$E,"移入")</f>
        <v/>
      </c>
      <c r="F1485" s="4">
        <f>-SUMIFS('01_異動主檔'!$F:$F,'01_異動主檔'!$B:$B,121,'01_異動主檔'!$D:$D,B1485,'01_異動主檔'!$E:$E,"移出")</f>
        <v/>
      </c>
      <c r="G1485" s="4">
        <f>SUMIFS('01_異動主檔'!$F:$F,'01_異動主檔'!$B:$B,121,'01_異動主檔'!$D:$D,B1485,'01_異動主檔'!$E:$E,"新增")</f>
        <v/>
      </c>
      <c r="H1485" s="4">
        <f>-SUMIFS('01_異動主檔'!$F:$F,'01_異動主檔'!$B:$B,121,'01_異動主檔'!$D:$D,B1485,'01_異動主檔'!$E:$E,"減列")</f>
        <v/>
      </c>
      <c r="I1485" s="4">
        <f>-SUMIFS('01_異動主檔'!$F:$F,'01_異動主檔'!$B:$B,121,'01_異動主檔'!$D:$D,B1485,'01_異動主檔'!$E:$E,"精簡")</f>
        <v/>
      </c>
      <c r="J1485" s="10">
        <f>D1485+E1485+F1485+G1485+H1485+I1485</f>
        <v/>
      </c>
    </row>
    <row r="1486" ht="18" customHeight="1">
      <c r="A1486" s="6" t="inlineStr">
        <is>
          <t>G007</t>
        </is>
      </c>
      <c r="B1486" s="5" t="inlineStr">
        <is>
          <t>海岸辦公室</t>
        </is>
      </c>
      <c r="C1486" s="6" t="n">
        <v>122</v>
      </c>
      <c r="D1486" s="10">
        <f>J1485</f>
        <v/>
      </c>
      <c r="E1486" s="4">
        <f>SUMIFS('01_異動主檔'!$F:$F,'01_異動主檔'!$B:$B,122,'01_異動主檔'!$D:$D,B1486,'01_異動主檔'!$E:$E,"移入")</f>
        <v/>
      </c>
      <c r="F1486" s="4">
        <f>-SUMIFS('01_異動主檔'!$F:$F,'01_異動主檔'!$B:$B,122,'01_異動主檔'!$D:$D,B1486,'01_異動主檔'!$E:$E,"移出")</f>
        <v/>
      </c>
      <c r="G1486" s="4">
        <f>SUMIFS('01_異動主檔'!$F:$F,'01_異動主檔'!$B:$B,122,'01_異動主檔'!$D:$D,B1486,'01_異動主檔'!$E:$E,"新增")</f>
        <v/>
      </c>
      <c r="H1486" s="4">
        <f>-SUMIFS('01_異動主檔'!$F:$F,'01_異動主檔'!$B:$B,122,'01_異動主檔'!$D:$D,B1486,'01_異動主檔'!$E:$E,"減列")</f>
        <v/>
      </c>
      <c r="I1486" s="4">
        <f>-SUMIFS('01_異動主檔'!$F:$F,'01_異動主檔'!$B:$B,122,'01_異動主檔'!$D:$D,B1486,'01_異動主檔'!$E:$E,"精簡")</f>
        <v/>
      </c>
      <c r="J1486" s="10">
        <f>D1486+E1486+F1486+G1486+H1486+I1486</f>
        <v/>
      </c>
    </row>
    <row r="1487" ht="18" customHeight="1">
      <c r="A1487" s="4" t="inlineStr">
        <is>
          <t>G007</t>
        </is>
      </c>
      <c r="B1487" s="3" t="inlineStr">
        <is>
          <t>海岸辦公室</t>
        </is>
      </c>
      <c r="C1487" s="4" t="n">
        <v>123</v>
      </c>
      <c r="D1487" s="10">
        <f>J1486</f>
        <v/>
      </c>
      <c r="E1487" s="4">
        <f>SUMIFS('01_異動主檔'!$F:$F,'01_異動主檔'!$B:$B,123,'01_異動主檔'!$D:$D,B1487,'01_異動主檔'!$E:$E,"移入")</f>
        <v/>
      </c>
      <c r="F1487" s="4">
        <f>-SUMIFS('01_異動主檔'!$F:$F,'01_異動主檔'!$B:$B,123,'01_異動主檔'!$D:$D,B1487,'01_異動主檔'!$E:$E,"移出")</f>
        <v/>
      </c>
      <c r="G1487" s="4">
        <f>SUMIFS('01_異動主檔'!$F:$F,'01_異動主檔'!$B:$B,123,'01_異動主檔'!$D:$D,B1487,'01_異動主檔'!$E:$E,"新增")</f>
        <v/>
      </c>
      <c r="H1487" s="4">
        <f>-SUMIFS('01_異動主檔'!$F:$F,'01_異動主檔'!$B:$B,123,'01_異動主檔'!$D:$D,B1487,'01_異動主檔'!$E:$E,"減列")</f>
        <v/>
      </c>
      <c r="I1487" s="4">
        <f>-SUMIFS('01_異動主檔'!$F:$F,'01_異動主檔'!$B:$B,123,'01_異動主檔'!$D:$D,B1487,'01_異動主檔'!$E:$E,"精簡")</f>
        <v/>
      </c>
      <c r="J1487" s="10">
        <f>D1487+E1487+F1487+G1487+H1487+I1487</f>
        <v/>
      </c>
    </row>
    <row r="1488" ht="18" customHeight="1">
      <c r="A1488" s="6" t="inlineStr">
        <is>
          <t>G007</t>
        </is>
      </c>
      <c r="B1488" s="5" t="inlineStr">
        <is>
          <t>海岸辦公室</t>
        </is>
      </c>
      <c r="C1488" s="6" t="n">
        <v>124</v>
      </c>
      <c r="D1488" s="10">
        <f>J1487</f>
        <v/>
      </c>
      <c r="E1488" s="4">
        <f>SUMIFS('01_異動主檔'!$F:$F,'01_異動主檔'!$B:$B,124,'01_異動主檔'!$D:$D,B1488,'01_異動主檔'!$E:$E,"移入")</f>
        <v/>
      </c>
      <c r="F1488" s="4">
        <f>-SUMIFS('01_異動主檔'!$F:$F,'01_異動主檔'!$B:$B,124,'01_異動主檔'!$D:$D,B1488,'01_異動主檔'!$E:$E,"移出")</f>
        <v/>
      </c>
      <c r="G1488" s="4">
        <f>SUMIFS('01_異動主檔'!$F:$F,'01_異動主檔'!$B:$B,124,'01_異動主檔'!$D:$D,B1488,'01_異動主檔'!$E:$E,"新增")</f>
        <v/>
      </c>
      <c r="H1488" s="4">
        <f>-SUMIFS('01_異動主檔'!$F:$F,'01_異動主檔'!$B:$B,124,'01_異動主檔'!$D:$D,B1488,'01_異動主檔'!$E:$E,"減列")</f>
        <v/>
      </c>
      <c r="I1488" s="4">
        <f>-SUMIFS('01_異動主檔'!$F:$F,'01_異動主檔'!$B:$B,124,'01_異動主檔'!$D:$D,B1488,'01_異動主檔'!$E:$E,"精簡")</f>
        <v/>
      </c>
      <c r="J1488" s="10">
        <f>D1488+E1488+F1488+G1488+H1488+I1488</f>
        <v/>
      </c>
    </row>
    <row r="1489" ht="18" customHeight="1">
      <c r="A1489" s="4" t="inlineStr">
        <is>
          <t>G007</t>
        </is>
      </c>
      <c r="B1489" s="3" t="inlineStr">
        <is>
          <t>海岸辦公室</t>
        </is>
      </c>
      <c r="C1489" s="4" t="n">
        <v>125</v>
      </c>
      <c r="D1489" s="10">
        <f>J1488</f>
        <v/>
      </c>
      <c r="E1489" s="4">
        <f>SUMIFS('01_異動主檔'!$F:$F,'01_異動主檔'!$B:$B,125,'01_異動主檔'!$D:$D,B1489,'01_異動主檔'!$E:$E,"移入")</f>
        <v/>
      </c>
      <c r="F1489" s="4">
        <f>-SUMIFS('01_異動主檔'!$F:$F,'01_異動主檔'!$B:$B,125,'01_異動主檔'!$D:$D,B1489,'01_異動主檔'!$E:$E,"移出")</f>
        <v/>
      </c>
      <c r="G1489" s="4">
        <f>SUMIFS('01_異動主檔'!$F:$F,'01_異動主檔'!$B:$B,125,'01_異動主檔'!$D:$D,B1489,'01_異動主檔'!$E:$E,"新增")</f>
        <v/>
      </c>
      <c r="H1489" s="4">
        <f>-SUMIFS('01_異動主檔'!$F:$F,'01_異動主檔'!$B:$B,125,'01_異動主檔'!$D:$D,B1489,'01_異動主檔'!$E:$E,"減列")</f>
        <v/>
      </c>
      <c r="I1489" s="4">
        <f>-SUMIFS('01_異動主檔'!$F:$F,'01_異動主檔'!$B:$B,125,'01_異動主檔'!$D:$D,B1489,'01_異動主檔'!$E:$E,"精簡")</f>
        <v/>
      </c>
      <c r="J1489" s="10">
        <f>D1489+E1489+F1489+G1489+H1489+I1489</f>
        <v/>
      </c>
    </row>
    <row r="1490" ht="18" customHeight="1">
      <c r="A1490" s="6" t="inlineStr">
        <is>
          <t>G008</t>
        </is>
      </c>
      <c r="B1490" s="5" t="inlineStr">
        <is>
          <t>城區辦公室</t>
        </is>
      </c>
      <c r="C1490" s="6" t="n">
        <v>99</v>
      </c>
      <c r="D1490" s="10">
        <f>'02_年初員額設定'!C60</f>
        <v/>
      </c>
      <c r="E1490" s="4">
        <f>SUMIFS('01_異動主檔'!$F:$F,'01_異動主檔'!$B:$B,99,'01_異動主檔'!$D:$D,B1490,'01_異動主檔'!$E:$E,"移入")</f>
        <v/>
      </c>
      <c r="F1490" s="4">
        <f>-SUMIFS('01_異動主檔'!$F:$F,'01_異動主檔'!$B:$B,99,'01_異動主檔'!$D:$D,B1490,'01_異動主檔'!$E:$E,"移出")</f>
        <v/>
      </c>
      <c r="G1490" s="4">
        <f>SUMIFS('01_異動主檔'!$F:$F,'01_異動主檔'!$B:$B,99,'01_異動主檔'!$D:$D,B1490,'01_異動主檔'!$E:$E,"新增")</f>
        <v/>
      </c>
      <c r="H1490" s="4">
        <f>-SUMIFS('01_異動主檔'!$F:$F,'01_異動主檔'!$B:$B,99,'01_異動主檔'!$D:$D,B1490,'01_異動主檔'!$E:$E,"減列")</f>
        <v/>
      </c>
      <c r="I1490" s="4">
        <f>-SUMIFS('01_異動主檔'!$F:$F,'01_異動主檔'!$B:$B,99,'01_異動主檔'!$D:$D,B1490,'01_異動主檔'!$E:$E,"精簡")</f>
        <v/>
      </c>
      <c r="J1490" s="10">
        <f>D1490+E1490+F1490+G1490+H1490+I1490</f>
        <v/>
      </c>
    </row>
    <row r="1491" ht="18" customHeight="1">
      <c r="A1491" s="4" t="inlineStr">
        <is>
          <t>G008</t>
        </is>
      </c>
      <c r="B1491" s="3" t="inlineStr">
        <is>
          <t>城區辦公室</t>
        </is>
      </c>
      <c r="C1491" s="4" t="n">
        <v>100</v>
      </c>
      <c r="D1491" s="10">
        <f>J1490</f>
        <v/>
      </c>
      <c r="E1491" s="4">
        <f>SUMIFS('01_異動主檔'!$F:$F,'01_異動主檔'!$B:$B,100,'01_異動主檔'!$D:$D,B1491,'01_異動主檔'!$E:$E,"移入")</f>
        <v/>
      </c>
      <c r="F1491" s="4">
        <f>-SUMIFS('01_異動主檔'!$F:$F,'01_異動主檔'!$B:$B,100,'01_異動主檔'!$D:$D,B1491,'01_異動主檔'!$E:$E,"移出")</f>
        <v/>
      </c>
      <c r="G1491" s="4">
        <f>SUMIFS('01_異動主檔'!$F:$F,'01_異動主檔'!$B:$B,100,'01_異動主檔'!$D:$D,B1491,'01_異動主檔'!$E:$E,"新增")</f>
        <v/>
      </c>
      <c r="H1491" s="4">
        <f>-SUMIFS('01_異動主檔'!$F:$F,'01_異動主檔'!$B:$B,100,'01_異動主檔'!$D:$D,B1491,'01_異動主檔'!$E:$E,"減列")</f>
        <v/>
      </c>
      <c r="I1491" s="4">
        <f>-SUMIFS('01_異動主檔'!$F:$F,'01_異動主檔'!$B:$B,100,'01_異動主檔'!$D:$D,B1491,'01_異動主檔'!$E:$E,"精簡")</f>
        <v/>
      </c>
      <c r="J1491" s="10">
        <f>D1491+E1491+F1491+G1491+H1491+I1491</f>
        <v/>
      </c>
    </row>
    <row r="1492" ht="18" customHeight="1">
      <c r="A1492" s="6" t="inlineStr">
        <is>
          <t>G008</t>
        </is>
      </c>
      <c r="B1492" s="5" t="inlineStr">
        <is>
          <t>城區辦公室</t>
        </is>
      </c>
      <c r="C1492" s="6" t="n">
        <v>101</v>
      </c>
      <c r="D1492" s="10">
        <f>J1491</f>
        <v/>
      </c>
      <c r="E1492" s="4">
        <f>SUMIFS('01_異動主檔'!$F:$F,'01_異動主檔'!$B:$B,101,'01_異動主檔'!$D:$D,B1492,'01_異動主檔'!$E:$E,"移入")</f>
        <v/>
      </c>
      <c r="F1492" s="4">
        <f>-SUMIFS('01_異動主檔'!$F:$F,'01_異動主檔'!$B:$B,101,'01_異動主檔'!$D:$D,B1492,'01_異動主檔'!$E:$E,"移出")</f>
        <v/>
      </c>
      <c r="G1492" s="4">
        <f>SUMIFS('01_異動主檔'!$F:$F,'01_異動主檔'!$B:$B,101,'01_異動主檔'!$D:$D,B1492,'01_異動主檔'!$E:$E,"新增")</f>
        <v/>
      </c>
      <c r="H1492" s="4">
        <f>-SUMIFS('01_異動主檔'!$F:$F,'01_異動主檔'!$B:$B,101,'01_異動主檔'!$D:$D,B1492,'01_異動主檔'!$E:$E,"減列")</f>
        <v/>
      </c>
      <c r="I1492" s="4">
        <f>-SUMIFS('01_異動主檔'!$F:$F,'01_異動主檔'!$B:$B,101,'01_異動主檔'!$D:$D,B1492,'01_異動主檔'!$E:$E,"精簡")</f>
        <v/>
      </c>
      <c r="J1492" s="10">
        <f>D1492+E1492+F1492+G1492+H1492+I1492</f>
        <v/>
      </c>
    </row>
    <row r="1493" ht="18" customHeight="1">
      <c r="A1493" s="4" t="inlineStr">
        <is>
          <t>G008</t>
        </is>
      </c>
      <c r="B1493" s="3" t="inlineStr">
        <is>
          <t>城區辦公室</t>
        </is>
      </c>
      <c r="C1493" s="4" t="n">
        <v>102</v>
      </c>
      <c r="D1493" s="10">
        <f>J1492</f>
        <v/>
      </c>
      <c r="E1493" s="4">
        <f>SUMIFS('01_異動主檔'!$F:$F,'01_異動主檔'!$B:$B,102,'01_異動主檔'!$D:$D,B1493,'01_異動主檔'!$E:$E,"移入")</f>
        <v/>
      </c>
      <c r="F1493" s="4">
        <f>-SUMIFS('01_異動主檔'!$F:$F,'01_異動主檔'!$B:$B,102,'01_異動主檔'!$D:$D,B1493,'01_異動主檔'!$E:$E,"移出")</f>
        <v/>
      </c>
      <c r="G1493" s="4">
        <f>SUMIFS('01_異動主檔'!$F:$F,'01_異動主檔'!$B:$B,102,'01_異動主檔'!$D:$D,B1493,'01_異動主檔'!$E:$E,"新增")</f>
        <v/>
      </c>
      <c r="H1493" s="4">
        <f>-SUMIFS('01_異動主檔'!$F:$F,'01_異動主檔'!$B:$B,102,'01_異動主檔'!$D:$D,B1493,'01_異動主檔'!$E:$E,"減列")</f>
        <v/>
      </c>
      <c r="I1493" s="4">
        <f>-SUMIFS('01_異動主檔'!$F:$F,'01_異動主檔'!$B:$B,102,'01_異動主檔'!$D:$D,B1493,'01_異動主檔'!$E:$E,"精簡")</f>
        <v/>
      </c>
      <c r="J1493" s="10">
        <f>D1493+E1493+F1493+G1493+H1493+I1493</f>
        <v/>
      </c>
    </row>
    <row r="1494" ht="18" customHeight="1">
      <c r="A1494" s="6" t="inlineStr">
        <is>
          <t>G008</t>
        </is>
      </c>
      <c r="B1494" s="5" t="inlineStr">
        <is>
          <t>城區辦公室</t>
        </is>
      </c>
      <c r="C1494" s="6" t="n">
        <v>103</v>
      </c>
      <c r="D1494" s="10">
        <f>J1493</f>
        <v/>
      </c>
      <c r="E1494" s="4">
        <f>SUMIFS('01_異動主檔'!$F:$F,'01_異動主檔'!$B:$B,103,'01_異動主檔'!$D:$D,B1494,'01_異動主檔'!$E:$E,"移入")</f>
        <v/>
      </c>
      <c r="F1494" s="4">
        <f>-SUMIFS('01_異動主檔'!$F:$F,'01_異動主檔'!$B:$B,103,'01_異動主檔'!$D:$D,B1494,'01_異動主檔'!$E:$E,"移出")</f>
        <v/>
      </c>
      <c r="G1494" s="4">
        <f>SUMIFS('01_異動主檔'!$F:$F,'01_異動主檔'!$B:$B,103,'01_異動主檔'!$D:$D,B1494,'01_異動主檔'!$E:$E,"新增")</f>
        <v/>
      </c>
      <c r="H1494" s="4">
        <f>-SUMIFS('01_異動主檔'!$F:$F,'01_異動主檔'!$B:$B,103,'01_異動主檔'!$D:$D,B1494,'01_異動主檔'!$E:$E,"減列")</f>
        <v/>
      </c>
      <c r="I1494" s="4">
        <f>-SUMIFS('01_異動主檔'!$F:$F,'01_異動主檔'!$B:$B,103,'01_異動主檔'!$D:$D,B1494,'01_異動主檔'!$E:$E,"精簡")</f>
        <v/>
      </c>
      <c r="J1494" s="10">
        <f>D1494+E1494+F1494+G1494+H1494+I1494</f>
        <v/>
      </c>
    </row>
    <row r="1495" ht="18" customHeight="1">
      <c r="A1495" s="4" t="inlineStr">
        <is>
          <t>G008</t>
        </is>
      </c>
      <c r="B1495" s="3" t="inlineStr">
        <is>
          <t>城區辦公室</t>
        </is>
      </c>
      <c r="C1495" s="4" t="n">
        <v>104</v>
      </c>
      <c r="D1495" s="10">
        <f>J1494</f>
        <v/>
      </c>
      <c r="E1495" s="4">
        <f>SUMIFS('01_異動主檔'!$F:$F,'01_異動主檔'!$B:$B,104,'01_異動主檔'!$D:$D,B1495,'01_異動主檔'!$E:$E,"移入")</f>
        <v/>
      </c>
      <c r="F1495" s="4">
        <f>-SUMIFS('01_異動主檔'!$F:$F,'01_異動主檔'!$B:$B,104,'01_異動主檔'!$D:$D,B1495,'01_異動主檔'!$E:$E,"移出")</f>
        <v/>
      </c>
      <c r="G1495" s="4">
        <f>SUMIFS('01_異動主檔'!$F:$F,'01_異動主檔'!$B:$B,104,'01_異動主檔'!$D:$D,B1495,'01_異動主檔'!$E:$E,"新增")</f>
        <v/>
      </c>
      <c r="H1495" s="4">
        <f>-SUMIFS('01_異動主檔'!$F:$F,'01_異動主檔'!$B:$B,104,'01_異動主檔'!$D:$D,B1495,'01_異動主檔'!$E:$E,"減列")</f>
        <v/>
      </c>
      <c r="I1495" s="4">
        <f>-SUMIFS('01_異動主檔'!$F:$F,'01_異動主檔'!$B:$B,104,'01_異動主檔'!$D:$D,B1495,'01_異動主檔'!$E:$E,"精簡")</f>
        <v/>
      </c>
      <c r="J1495" s="10">
        <f>D1495+E1495+F1495+G1495+H1495+I1495</f>
        <v/>
      </c>
    </row>
    <row r="1496" ht="18" customHeight="1">
      <c r="A1496" s="6" t="inlineStr">
        <is>
          <t>G008</t>
        </is>
      </c>
      <c r="B1496" s="5" t="inlineStr">
        <is>
          <t>城區辦公室</t>
        </is>
      </c>
      <c r="C1496" s="6" t="n">
        <v>105</v>
      </c>
      <c r="D1496" s="10">
        <f>J1495</f>
        <v/>
      </c>
      <c r="E1496" s="4">
        <f>SUMIFS('01_異動主檔'!$F:$F,'01_異動主檔'!$B:$B,105,'01_異動主檔'!$D:$D,B1496,'01_異動主檔'!$E:$E,"移入")</f>
        <v/>
      </c>
      <c r="F1496" s="4">
        <f>-SUMIFS('01_異動主檔'!$F:$F,'01_異動主檔'!$B:$B,105,'01_異動主檔'!$D:$D,B1496,'01_異動主檔'!$E:$E,"移出")</f>
        <v/>
      </c>
      <c r="G1496" s="4">
        <f>SUMIFS('01_異動主檔'!$F:$F,'01_異動主檔'!$B:$B,105,'01_異動主檔'!$D:$D,B1496,'01_異動主檔'!$E:$E,"新增")</f>
        <v/>
      </c>
      <c r="H1496" s="4">
        <f>-SUMIFS('01_異動主檔'!$F:$F,'01_異動主檔'!$B:$B,105,'01_異動主檔'!$D:$D,B1496,'01_異動主檔'!$E:$E,"減列")</f>
        <v/>
      </c>
      <c r="I1496" s="4">
        <f>-SUMIFS('01_異動主檔'!$F:$F,'01_異動主檔'!$B:$B,105,'01_異動主檔'!$D:$D,B1496,'01_異動主檔'!$E:$E,"精簡")</f>
        <v/>
      </c>
      <c r="J1496" s="10">
        <f>D1496+E1496+F1496+G1496+H1496+I1496</f>
        <v/>
      </c>
    </row>
    <row r="1497" ht="18" customHeight="1">
      <c r="A1497" s="4" t="inlineStr">
        <is>
          <t>G008</t>
        </is>
      </c>
      <c r="B1497" s="3" t="inlineStr">
        <is>
          <t>城區辦公室</t>
        </is>
      </c>
      <c r="C1497" s="4" t="n">
        <v>106</v>
      </c>
      <c r="D1497" s="10">
        <f>J1496</f>
        <v/>
      </c>
      <c r="E1497" s="4">
        <f>SUMIFS('01_異動主檔'!$F:$F,'01_異動主檔'!$B:$B,106,'01_異動主檔'!$D:$D,B1497,'01_異動主檔'!$E:$E,"移入")</f>
        <v/>
      </c>
      <c r="F1497" s="4">
        <f>-SUMIFS('01_異動主檔'!$F:$F,'01_異動主檔'!$B:$B,106,'01_異動主檔'!$D:$D,B1497,'01_異動主檔'!$E:$E,"移出")</f>
        <v/>
      </c>
      <c r="G1497" s="4">
        <f>SUMIFS('01_異動主檔'!$F:$F,'01_異動主檔'!$B:$B,106,'01_異動主檔'!$D:$D,B1497,'01_異動主檔'!$E:$E,"新增")</f>
        <v/>
      </c>
      <c r="H1497" s="4">
        <f>-SUMIFS('01_異動主檔'!$F:$F,'01_異動主檔'!$B:$B,106,'01_異動主檔'!$D:$D,B1497,'01_異動主檔'!$E:$E,"減列")</f>
        <v/>
      </c>
      <c r="I1497" s="4">
        <f>-SUMIFS('01_異動主檔'!$F:$F,'01_異動主檔'!$B:$B,106,'01_異動主檔'!$D:$D,B1497,'01_異動主檔'!$E:$E,"精簡")</f>
        <v/>
      </c>
      <c r="J1497" s="10">
        <f>D1497+E1497+F1497+G1497+H1497+I1497</f>
        <v/>
      </c>
    </row>
    <row r="1498" ht="18" customHeight="1">
      <c r="A1498" s="6" t="inlineStr">
        <is>
          <t>G008</t>
        </is>
      </c>
      <c r="B1498" s="5" t="inlineStr">
        <is>
          <t>城區辦公室</t>
        </is>
      </c>
      <c r="C1498" s="6" t="n">
        <v>107</v>
      </c>
      <c r="D1498" s="10">
        <f>J1497</f>
        <v/>
      </c>
      <c r="E1498" s="4">
        <f>SUMIFS('01_異動主檔'!$F:$F,'01_異動主檔'!$B:$B,107,'01_異動主檔'!$D:$D,B1498,'01_異動主檔'!$E:$E,"移入")</f>
        <v/>
      </c>
      <c r="F1498" s="4">
        <f>-SUMIFS('01_異動主檔'!$F:$F,'01_異動主檔'!$B:$B,107,'01_異動主檔'!$D:$D,B1498,'01_異動主檔'!$E:$E,"移出")</f>
        <v/>
      </c>
      <c r="G1498" s="4">
        <f>SUMIFS('01_異動主檔'!$F:$F,'01_異動主檔'!$B:$B,107,'01_異動主檔'!$D:$D,B1498,'01_異動主檔'!$E:$E,"新增")</f>
        <v/>
      </c>
      <c r="H1498" s="4">
        <f>-SUMIFS('01_異動主檔'!$F:$F,'01_異動主檔'!$B:$B,107,'01_異動主檔'!$D:$D,B1498,'01_異動主檔'!$E:$E,"減列")</f>
        <v/>
      </c>
      <c r="I1498" s="4">
        <f>-SUMIFS('01_異動主檔'!$F:$F,'01_異動主檔'!$B:$B,107,'01_異動主檔'!$D:$D,B1498,'01_異動主檔'!$E:$E,"精簡")</f>
        <v/>
      </c>
      <c r="J1498" s="10">
        <f>D1498+E1498+F1498+G1498+H1498+I1498</f>
        <v/>
      </c>
    </row>
    <row r="1499" ht="18" customHeight="1">
      <c r="A1499" s="4" t="inlineStr">
        <is>
          <t>G008</t>
        </is>
      </c>
      <c r="B1499" s="3" t="inlineStr">
        <is>
          <t>城區辦公室</t>
        </is>
      </c>
      <c r="C1499" s="4" t="n">
        <v>108</v>
      </c>
      <c r="D1499" s="10">
        <f>J1498</f>
        <v/>
      </c>
      <c r="E1499" s="4">
        <f>SUMIFS('01_異動主檔'!$F:$F,'01_異動主檔'!$B:$B,108,'01_異動主檔'!$D:$D,B1499,'01_異動主檔'!$E:$E,"移入")</f>
        <v/>
      </c>
      <c r="F1499" s="4">
        <f>-SUMIFS('01_異動主檔'!$F:$F,'01_異動主檔'!$B:$B,108,'01_異動主檔'!$D:$D,B1499,'01_異動主檔'!$E:$E,"移出")</f>
        <v/>
      </c>
      <c r="G1499" s="4">
        <f>SUMIFS('01_異動主檔'!$F:$F,'01_異動主檔'!$B:$B,108,'01_異動主檔'!$D:$D,B1499,'01_異動主檔'!$E:$E,"新增")</f>
        <v/>
      </c>
      <c r="H1499" s="4">
        <f>-SUMIFS('01_異動主檔'!$F:$F,'01_異動主檔'!$B:$B,108,'01_異動主檔'!$D:$D,B1499,'01_異動主檔'!$E:$E,"減列")</f>
        <v/>
      </c>
      <c r="I1499" s="4">
        <f>-SUMIFS('01_異動主檔'!$F:$F,'01_異動主檔'!$B:$B,108,'01_異動主檔'!$D:$D,B1499,'01_異動主檔'!$E:$E,"精簡")</f>
        <v/>
      </c>
      <c r="J1499" s="10">
        <f>D1499+E1499+F1499+G1499+H1499+I1499</f>
        <v/>
      </c>
    </row>
    <row r="1500" ht="18" customHeight="1">
      <c r="A1500" s="6" t="inlineStr">
        <is>
          <t>G008</t>
        </is>
      </c>
      <c r="B1500" s="5" t="inlineStr">
        <is>
          <t>城區辦公室</t>
        </is>
      </c>
      <c r="C1500" s="6" t="n">
        <v>109</v>
      </c>
      <c r="D1500" s="10">
        <f>J1499</f>
        <v/>
      </c>
      <c r="E1500" s="4">
        <f>SUMIFS('01_異動主檔'!$F:$F,'01_異動主檔'!$B:$B,109,'01_異動主檔'!$D:$D,B1500,'01_異動主檔'!$E:$E,"移入")</f>
        <v/>
      </c>
      <c r="F1500" s="4">
        <f>-SUMIFS('01_異動主檔'!$F:$F,'01_異動主檔'!$B:$B,109,'01_異動主檔'!$D:$D,B1500,'01_異動主檔'!$E:$E,"移出")</f>
        <v/>
      </c>
      <c r="G1500" s="4">
        <f>SUMIFS('01_異動主檔'!$F:$F,'01_異動主檔'!$B:$B,109,'01_異動主檔'!$D:$D,B1500,'01_異動主檔'!$E:$E,"新增")</f>
        <v/>
      </c>
      <c r="H1500" s="4">
        <f>-SUMIFS('01_異動主檔'!$F:$F,'01_異動主檔'!$B:$B,109,'01_異動主檔'!$D:$D,B1500,'01_異動主檔'!$E:$E,"減列")</f>
        <v/>
      </c>
      <c r="I1500" s="4">
        <f>-SUMIFS('01_異動主檔'!$F:$F,'01_異動主檔'!$B:$B,109,'01_異動主檔'!$D:$D,B1500,'01_異動主檔'!$E:$E,"精簡")</f>
        <v/>
      </c>
      <c r="J1500" s="10">
        <f>D1500+E1500+F1500+G1500+H1500+I1500</f>
        <v/>
      </c>
    </row>
    <row r="1501" ht="18" customHeight="1">
      <c r="A1501" s="4" t="inlineStr">
        <is>
          <t>G008</t>
        </is>
      </c>
      <c r="B1501" s="3" t="inlineStr">
        <is>
          <t>城區辦公室</t>
        </is>
      </c>
      <c r="C1501" s="4" t="n">
        <v>110</v>
      </c>
      <c r="D1501" s="10">
        <f>J1500</f>
        <v/>
      </c>
      <c r="E1501" s="4">
        <f>SUMIFS('01_異動主檔'!$F:$F,'01_異動主檔'!$B:$B,110,'01_異動主檔'!$D:$D,B1501,'01_異動主檔'!$E:$E,"移入")</f>
        <v/>
      </c>
      <c r="F1501" s="4">
        <f>-SUMIFS('01_異動主檔'!$F:$F,'01_異動主檔'!$B:$B,110,'01_異動主檔'!$D:$D,B1501,'01_異動主檔'!$E:$E,"移出")</f>
        <v/>
      </c>
      <c r="G1501" s="4">
        <f>SUMIFS('01_異動主檔'!$F:$F,'01_異動主檔'!$B:$B,110,'01_異動主檔'!$D:$D,B1501,'01_異動主檔'!$E:$E,"新增")</f>
        <v/>
      </c>
      <c r="H1501" s="4">
        <f>-SUMIFS('01_異動主檔'!$F:$F,'01_異動主檔'!$B:$B,110,'01_異動主檔'!$D:$D,B1501,'01_異動主檔'!$E:$E,"減列")</f>
        <v/>
      </c>
      <c r="I1501" s="4">
        <f>-SUMIFS('01_異動主檔'!$F:$F,'01_異動主檔'!$B:$B,110,'01_異動主檔'!$D:$D,B1501,'01_異動主檔'!$E:$E,"精簡")</f>
        <v/>
      </c>
      <c r="J1501" s="10">
        <f>D1501+E1501+F1501+G1501+H1501+I1501</f>
        <v/>
      </c>
    </row>
    <row r="1502" ht="18" customHeight="1">
      <c r="A1502" s="6" t="inlineStr">
        <is>
          <t>G008</t>
        </is>
      </c>
      <c r="B1502" s="5" t="inlineStr">
        <is>
          <t>城區辦公室</t>
        </is>
      </c>
      <c r="C1502" s="6" t="n">
        <v>111</v>
      </c>
      <c r="D1502" s="10">
        <f>J1501</f>
        <v/>
      </c>
      <c r="E1502" s="4">
        <f>SUMIFS('01_異動主檔'!$F:$F,'01_異動主檔'!$B:$B,111,'01_異動主檔'!$D:$D,B1502,'01_異動主檔'!$E:$E,"移入")</f>
        <v/>
      </c>
      <c r="F1502" s="4">
        <f>-SUMIFS('01_異動主檔'!$F:$F,'01_異動主檔'!$B:$B,111,'01_異動主檔'!$D:$D,B1502,'01_異動主檔'!$E:$E,"移出")</f>
        <v/>
      </c>
      <c r="G1502" s="4">
        <f>SUMIFS('01_異動主檔'!$F:$F,'01_異動主檔'!$B:$B,111,'01_異動主檔'!$D:$D,B1502,'01_異動主檔'!$E:$E,"新增")</f>
        <v/>
      </c>
      <c r="H1502" s="4">
        <f>-SUMIFS('01_異動主檔'!$F:$F,'01_異動主檔'!$B:$B,111,'01_異動主檔'!$D:$D,B1502,'01_異動主檔'!$E:$E,"減列")</f>
        <v/>
      </c>
      <c r="I1502" s="4">
        <f>-SUMIFS('01_異動主檔'!$F:$F,'01_異動主檔'!$B:$B,111,'01_異動主檔'!$D:$D,B1502,'01_異動主檔'!$E:$E,"精簡")</f>
        <v/>
      </c>
      <c r="J1502" s="10">
        <f>D1502+E1502+F1502+G1502+H1502+I1502</f>
        <v/>
      </c>
    </row>
    <row r="1503" ht="18" customHeight="1">
      <c r="A1503" s="4" t="inlineStr">
        <is>
          <t>G008</t>
        </is>
      </c>
      <c r="B1503" s="3" t="inlineStr">
        <is>
          <t>城區辦公室</t>
        </is>
      </c>
      <c r="C1503" s="4" t="n">
        <v>112</v>
      </c>
      <c r="D1503" s="10">
        <f>J1502</f>
        <v/>
      </c>
      <c r="E1503" s="4">
        <f>SUMIFS('01_異動主檔'!$F:$F,'01_異動主檔'!$B:$B,112,'01_異動主檔'!$D:$D,B1503,'01_異動主檔'!$E:$E,"移入")</f>
        <v/>
      </c>
      <c r="F1503" s="4">
        <f>-SUMIFS('01_異動主檔'!$F:$F,'01_異動主檔'!$B:$B,112,'01_異動主檔'!$D:$D,B1503,'01_異動主檔'!$E:$E,"移出")</f>
        <v/>
      </c>
      <c r="G1503" s="4">
        <f>SUMIFS('01_異動主檔'!$F:$F,'01_異動主檔'!$B:$B,112,'01_異動主檔'!$D:$D,B1503,'01_異動主檔'!$E:$E,"新增")</f>
        <v/>
      </c>
      <c r="H1503" s="4">
        <f>-SUMIFS('01_異動主檔'!$F:$F,'01_異動主檔'!$B:$B,112,'01_異動主檔'!$D:$D,B1503,'01_異動主檔'!$E:$E,"減列")</f>
        <v/>
      </c>
      <c r="I1503" s="4">
        <f>-SUMIFS('01_異動主檔'!$F:$F,'01_異動主檔'!$B:$B,112,'01_異動主檔'!$D:$D,B1503,'01_異動主檔'!$E:$E,"精簡")</f>
        <v/>
      </c>
      <c r="J1503" s="10">
        <f>D1503+E1503+F1503+G1503+H1503+I1503</f>
        <v/>
      </c>
    </row>
    <row r="1504" ht="18" customHeight="1">
      <c r="A1504" s="6" t="inlineStr">
        <is>
          <t>G008</t>
        </is>
      </c>
      <c r="B1504" s="5" t="inlineStr">
        <is>
          <t>城區辦公室</t>
        </is>
      </c>
      <c r="C1504" s="6" t="n">
        <v>113</v>
      </c>
      <c r="D1504" s="10">
        <f>J1503</f>
        <v/>
      </c>
      <c r="E1504" s="4">
        <f>SUMIFS('01_異動主檔'!$F:$F,'01_異動主檔'!$B:$B,113,'01_異動主檔'!$D:$D,B1504,'01_異動主檔'!$E:$E,"移入")</f>
        <v/>
      </c>
      <c r="F1504" s="4">
        <f>-SUMIFS('01_異動主檔'!$F:$F,'01_異動主檔'!$B:$B,113,'01_異動主檔'!$D:$D,B1504,'01_異動主檔'!$E:$E,"移出")</f>
        <v/>
      </c>
      <c r="G1504" s="4">
        <f>SUMIFS('01_異動主檔'!$F:$F,'01_異動主檔'!$B:$B,113,'01_異動主檔'!$D:$D,B1504,'01_異動主檔'!$E:$E,"新增")</f>
        <v/>
      </c>
      <c r="H1504" s="4">
        <f>-SUMIFS('01_異動主檔'!$F:$F,'01_異動主檔'!$B:$B,113,'01_異動主檔'!$D:$D,B1504,'01_異動主檔'!$E:$E,"減列")</f>
        <v/>
      </c>
      <c r="I1504" s="4">
        <f>-SUMIFS('01_異動主檔'!$F:$F,'01_異動主檔'!$B:$B,113,'01_異動主檔'!$D:$D,B1504,'01_異動主檔'!$E:$E,"精簡")</f>
        <v/>
      </c>
      <c r="J1504" s="10">
        <f>D1504+E1504+F1504+G1504+H1504+I1504</f>
        <v/>
      </c>
    </row>
    <row r="1505" ht="18" customHeight="1">
      <c r="A1505" s="4" t="inlineStr">
        <is>
          <t>G008</t>
        </is>
      </c>
      <c r="B1505" s="3" t="inlineStr">
        <is>
          <t>城區辦公室</t>
        </is>
      </c>
      <c r="C1505" s="4" t="n">
        <v>114</v>
      </c>
      <c r="D1505" s="10">
        <f>J1504</f>
        <v/>
      </c>
      <c r="E1505" s="4">
        <f>SUMIFS('01_異動主檔'!$F:$F,'01_異動主檔'!$B:$B,114,'01_異動主檔'!$D:$D,B1505,'01_異動主檔'!$E:$E,"移入")</f>
        <v/>
      </c>
      <c r="F1505" s="4">
        <f>-SUMIFS('01_異動主檔'!$F:$F,'01_異動主檔'!$B:$B,114,'01_異動主檔'!$D:$D,B1505,'01_異動主檔'!$E:$E,"移出")</f>
        <v/>
      </c>
      <c r="G1505" s="4">
        <f>SUMIFS('01_異動主檔'!$F:$F,'01_異動主檔'!$B:$B,114,'01_異動主檔'!$D:$D,B1505,'01_異動主檔'!$E:$E,"新增")</f>
        <v/>
      </c>
      <c r="H1505" s="4">
        <f>-SUMIFS('01_異動主檔'!$F:$F,'01_異動主檔'!$B:$B,114,'01_異動主檔'!$D:$D,B1505,'01_異動主檔'!$E:$E,"減列")</f>
        <v/>
      </c>
      <c r="I1505" s="4">
        <f>-SUMIFS('01_異動主檔'!$F:$F,'01_異動主檔'!$B:$B,114,'01_異動主檔'!$D:$D,B1505,'01_異動主檔'!$E:$E,"精簡")</f>
        <v/>
      </c>
      <c r="J1505" s="10">
        <f>D1505+E1505+F1505+G1505+H1505+I1505</f>
        <v/>
      </c>
    </row>
    <row r="1506" ht="18" customHeight="1">
      <c r="A1506" s="6" t="inlineStr">
        <is>
          <t>G008</t>
        </is>
      </c>
      <c r="B1506" s="5" t="inlineStr">
        <is>
          <t>城區辦公室</t>
        </is>
      </c>
      <c r="C1506" s="6" t="n">
        <v>115</v>
      </c>
      <c r="D1506" s="10">
        <f>J1505</f>
        <v/>
      </c>
      <c r="E1506" s="4">
        <f>SUMIFS('01_異動主檔'!$F:$F,'01_異動主檔'!$B:$B,115,'01_異動主檔'!$D:$D,B1506,'01_異動主檔'!$E:$E,"移入")</f>
        <v/>
      </c>
      <c r="F1506" s="4">
        <f>-SUMIFS('01_異動主檔'!$F:$F,'01_異動主檔'!$B:$B,115,'01_異動主檔'!$D:$D,B1506,'01_異動主檔'!$E:$E,"移出")</f>
        <v/>
      </c>
      <c r="G1506" s="4">
        <f>SUMIFS('01_異動主檔'!$F:$F,'01_異動主檔'!$B:$B,115,'01_異動主檔'!$D:$D,B1506,'01_異動主檔'!$E:$E,"新增")</f>
        <v/>
      </c>
      <c r="H1506" s="4">
        <f>-SUMIFS('01_異動主檔'!$F:$F,'01_異動主檔'!$B:$B,115,'01_異動主檔'!$D:$D,B1506,'01_異動主檔'!$E:$E,"減列")</f>
        <v/>
      </c>
      <c r="I1506" s="4">
        <f>-SUMIFS('01_異動主檔'!$F:$F,'01_異動主檔'!$B:$B,115,'01_異動主檔'!$D:$D,B1506,'01_異動主檔'!$E:$E,"精簡")</f>
        <v/>
      </c>
      <c r="J1506" s="10">
        <f>D1506+E1506+F1506+G1506+H1506+I1506</f>
        <v/>
      </c>
    </row>
    <row r="1507" ht="18" customHeight="1">
      <c r="A1507" s="4" t="inlineStr">
        <is>
          <t>G008</t>
        </is>
      </c>
      <c r="B1507" s="3" t="inlineStr">
        <is>
          <t>城區辦公室</t>
        </is>
      </c>
      <c r="C1507" s="4" t="n">
        <v>116</v>
      </c>
      <c r="D1507" s="10">
        <f>J1506</f>
        <v/>
      </c>
      <c r="E1507" s="4">
        <f>SUMIFS('01_異動主檔'!$F:$F,'01_異動主檔'!$B:$B,116,'01_異動主檔'!$D:$D,B1507,'01_異動主檔'!$E:$E,"移入")</f>
        <v/>
      </c>
      <c r="F1507" s="4">
        <f>-SUMIFS('01_異動主檔'!$F:$F,'01_異動主檔'!$B:$B,116,'01_異動主檔'!$D:$D,B1507,'01_異動主檔'!$E:$E,"移出")</f>
        <v/>
      </c>
      <c r="G1507" s="4">
        <f>SUMIFS('01_異動主檔'!$F:$F,'01_異動主檔'!$B:$B,116,'01_異動主檔'!$D:$D,B1507,'01_異動主檔'!$E:$E,"新增")</f>
        <v/>
      </c>
      <c r="H1507" s="4">
        <f>-SUMIFS('01_異動主檔'!$F:$F,'01_異動主檔'!$B:$B,116,'01_異動主檔'!$D:$D,B1507,'01_異動主檔'!$E:$E,"減列")</f>
        <v/>
      </c>
      <c r="I1507" s="4">
        <f>-SUMIFS('01_異動主檔'!$F:$F,'01_異動主檔'!$B:$B,116,'01_異動主檔'!$D:$D,B1507,'01_異動主檔'!$E:$E,"精簡")</f>
        <v/>
      </c>
      <c r="J1507" s="10">
        <f>D1507+E1507+F1507+G1507+H1507+I1507</f>
        <v/>
      </c>
    </row>
    <row r="1508" ht="18" customHeight="1">
      <c r="A1508" s="6" t="inlineStr">
        <is>
          <t>G008</t>
        </is>
      </c>
      <c r="B1508" s="5" t="inlineStr">
        <is>
          <t>城區辦公室</t>
        </is>
      </c>
      <c r="C1508" s="6" t="n">
        <v>117</v>
      </c>
      <c r="D1508" s="10">
        <f>J1507</f>
        <v/>
      </c>
      <c r="E1508" s="4">
        <f>SUMIFS('01_異動主檔'!$F:$F,'01_異動主檔'!$B:$B,117,'01_異動主檔'!$D:$D,B1508,'01_異動主檔'!$E:$E,"移入")</f>
        <v/>
      </c>
      <c r="F1508" s="4">
        <f>-SUMIFS('01_異動主檔'!$F:$F,'01_異動主檔'!$B:$B,117,'01_異動主檔'!$D:$D,B1508,'01_異動主檔'!$E:$E,"移出")</f>
        <v/>
      </c>
      <c r="G1508" s="4">
        <f>SUMIFS('01_異動主檔'!$F:$F,'01_異動主檔'!$B:$B,117,'01_異動主檔'!$D:$D,B1508,'01_異動主檔'!$E:$E,"新增")</f>
        <v/>
      </c>
      <c r="H1508" s="4">
        <f>-SUMIFS('01_異動主檔'!$F:$F,'01_異動主檔'!$B:$B,117,'01_異動主檔'!$D:$D,B1508,'01_異動主檔'!$E:$E,"減列")</f>
        <v/>
      </c>
      <c r="I1508" s="4">
        <f>-SUMIFS('01_異動主檔'!$F:$F,'01_異動主檔'!$B:$B,117,'01_異動主檔'!$D:$D,B1508,'01_異動主檔'!$E:$E,"精簡")</f>
        <v/>
      </c>
      <c r="J1508" s="10">
        <f>D1508+E1508+F1508+G1508+H1508+I1508</f>
        <v/>
      </c>
    </row>
    <row r="1509" ht="18" customHeight="1">
      <c r="A1509" s="4" t="inlineStr">
        <is>
          <t>G008</t>
        </is>
      </c>
      <c r="B1509" s="3" t="inlineStr">
        <is>
          <t>城區辦公室</t>
        </is>
      </c>
      <c r="C1509" s="4" t="n">
        <v>118</v>
      </c>
      <c r="D1509" s="10">
        <f>J1508</f>
        <v/>
      </c>
      <c r="E1509" s="4">
        <f>SUMIFS('01_異動主檔'!$F:$F,'01_異動主檔'!$B:$B,118,'01_異動主檔'!$D:$D,B1509,'01_異動主檔'!$E:$E,"移入")</f>
        <v/>
      </c>
      <c r="F1509" s="4">
        <f>-SUMIFS('01_異動主檔'!$F:$F,'01_異動主檔'!$B:$B,118,'01_異動主檔'!$D:$D,B1509,'01_異動主檔'!$E:$E,"移出")</f>
        <v/>
      </c>
      <c r="G1509" s="4">
        <f>SUMIFS('01_異動主檔'!$F:$F,'01_異動主檔'!$B:$B,118,'01_異動主檔'!$D:$D,B1509,'01_異動主檔'!$E:$E,"新增")</f>
        <v/>
      </c>
      <c r="H1509" s="4">
        <f>-SUMIFS('01_異動主檔'!$F:$F,'01_異動主檔'!$B:$B,118,'01_異動主檔'!$D:$D,B1509,'01_異動主檔'!$E:$E,"減列")</f>
        <v/>
      </c>
      <c r="I1509" s="4">
        <f>-SUMIFS('01_異動主檔'!$F:$F,'01_異動主檔'!$B:$B,118,'01_異動主檔'!$D:$D,B1509,'01_異動主檔'!$E:$E,"精簡")</f>
        <v/>
      </c>
      <c r="J1509" s="10">
        <f>D1509+E1509+F1509+G1509+H1509+I1509</f>
        <v/>
      </c>
    </row>
    <row r="1510" ht="18" customHeight="1">
      <c r="A1510" s="6" t="inlineStr">
        <is>
          <t>G008</t>
        </is>
      </c>
      <c r="B1510" s="5" t="inlineStr">
        <is>
          <t>城區辦公室</t>
        </is>
      </c>
      <c r="C1510" s="6" t="n">
        <v>119</v>
      </c>
      <c r="D1510" s="10">
        <f>J1509</f>
        <v/>
      </c>
      <c r="E1510" s="4">
        <f>SUMIFS('01_異動主檔'!$F:$F,'01_異動主檔'!$B:$B,119,'01_異動主檔'!$D:$D,B1510,'01_異動主檔'!$E:$E,"移入")</f>
        <v/>
      </c>
      <c r="F1510" s="4">
        <f>-SUMIFS('01_異動主檔'!$F:$F,'01_異動主檔'!$B:$B,119,'01_異動主檔'!$D:$D,B1510,'01_異動主檔'!$E:$E,"移出")</f>
        <v/>
      </c>
      <c r="G1510" s="4">
        <f>SUMIFS('01_異動主檔'!$F:$F,'01_異動主檔'!$B:$B,119,'01_異動主檔'!$D:$D,B1510,'01_異動主檔'!$E:$E,"新增")</f>
        <v/>
      </c>
      <c r="H1510" s="4">
        <f>-SUMIFS('01_異動主檔'!$F:$F,'01_異動主檔'!$B:$B,119,'01_異動主檔'!$D:$D,B1510,'01_異動主檔'!$E:$E,"減列")</f>
        <v/>
      </c>
      <c r="I1510" s="4">
        <f>-SUMIFS('01_異動主檔'!$F:$F,'01_異動主檔'!$B:$B,119,'01_異動主檔'!$D:$D,B1510,'01_異動主檔'!$E:$E,"精簡")</f>
        <v/>
      </c>
      <c r="J1510" s="10">
        <f>D1510+E1510+F1510+G1510+H1510+I1510</f>
        <v/>
      </c>
    </row>
    <row r="1511" ht="18" customHeight="1">
      <c r="A1511" s="4" t="inlineStr">
        <is>
          <t>G008</t>
        </is>
      </c>
      <c r="B1511" s="3" t="inlineStr">
        <is>
          <t>城區辦公室</t>
        </is>
      </c>
      <c r="C1511" s="4" t="n">
        <v>120</v>
      </c>
      <c r="D1511" s="10">
        <f>J1510</f>
        <v/>
      </c>
      <c r="E1511" s="4">
        <f>SUMIFS('01_異動主檔'!$F:$F,'01_異動主檔'!$B:$B,120,'01_異動主檔'!$D:$D,B1511,'01_異動主檔'!$E:$E,"移入")</f>
        <v/>
      </c>
      <c r="F1511" s="4">
        <f>-SUMIFS('01_異動主檔'!$F:$F,'01_異動主檔'!$B:$B,120,'01_異動主檔'!$D:$D,B1511,'01_異動主檔'!$E:$E,"移出")</f>
        <v/>
      </c>
      <c r="G1511" s="4">
        <f>SUMIFS('01_異動主檔'!$F:$F,'01_異動主檔'!$B:$B,120,'01_異動主檔'!$D:$D,B1511,'01_異動主檔'!$E:$E,"新增")</f>
        <v/>
      </c>
      <c r="H1511" s="4">
        <f>-SUMIFS('01_異動主檔'!$F:$F,'01_異動主檔'!$B:$B,120,'01_異動主檔'!$D:$D,B1511,'01_異動主檔'!$E:$E,"減列")</f>
        <v/>
      </c>
      <c r="I1511" s="4">
        <f>-SUMIFS('01_異動主檔'!$F:$F,'01_異動主檔'!$B:$B,120,'01_異動主檔'!$D:$D,B1511,'01_異動主檔'!$E:$E,"精簡")</f>
        <v/>
      </c>
      <c r="J1511" s="10">
        <f>D1511+E1511+F1511+G1511+H1511+I1511</f>
        <v/>
      </c>
    </row>
    <row r="1512" ht="18" customHeight="1">
      <c r="A1512" s="6" t="inlineStr">
        <is>
          <t>G008</t>
        </is>
      </c>
      <c r="B1512" s="5" t="inlineStr">
        <is>
          <t>城區辦公室</t>
        </is>
      </c>
      <c r="C1512" s="6" t="n">
        <v>121</v>
      </c>
      <c r="D1512" s="10">
        <f>J1511</f>
        <v/>
      </c>
      <c r="E1512" s="4">
        <f>SUMIFS('01_異動主檔'!$F:$F,'01_異動主檔'!$B:$B,121,'01_異動主檔'!$D:$D,B1512,'01_異動主檔'!$E:$E,"移入")</f>
        <v/>
      </c>
      <c r="F1512" s="4">
        <f>-SUMIFS('01_異動主檔'!$F:$F,'01_異動主檔'!$B:$B,121,'01_異動主檔'!$D:$D,B1512,'01_異動主檔'!$E:$E,"移出")</f>
        <v/>
      </c>
      <c r="G1512" s="4">
        <f>SUMIFS('01_異動主檔'!$F:$F,'01_異動主檔'!$B:$B,121,'01_異動主檔'!$D:$D,B1512,'01_異動主檔'!$E:$E,"新增")</f>
        <v/>
      </c>
      <c r="H1512" s="4">
        <f>-SUMIFS('01_異動主檔'!$F:$F,'01_異動主檔'!$B:$B,121,'01_異動主檔'!$D:$D,B1512,'01_異動主檔'!$E:$E,"減列")</f>
        <v/>
      </c>
      <c r="I1512" s="4">
        <f>-SUMIFS('01_異動主檔'!$F:$F,'01_異動主檔'!$B:$B,121,'01_異動主檔'!$D:$D,B1512,'01_異動主檔'!$E:$E,"精簡")</f>
        <v/>
      </c>
      <c r="J1512" s="10">
        <f>D1512+E1512+F1512+G1512+H1512+I1512</f>
        <v/>
      </c>
    </row>
    <row r="1513" ht="18" customHeight="1">
      <c r="A1513" s="4" t="inlineStr">
        <is>
          <t>G008</t>
        </is>
      </c>
      <c r="B1513" s="3" t="inlineStr">
        <is>
          <t>城區辦公室</t>
        </is>
      </c>
      <c r="C1513" s="4" t="n">
        <v>122</v>
      </c>
      <c r="D1513" s="10">
        <f>J1512</f>
        <v/>
      </c>
      <c r="E1513" s="4">
        <f>SUMIFS('01_異動主檔'!$F:$F,'01_異動主檔'!$B:$B,122,'01_異動主檔'!$D:$D,B1513,'01_異動主檔'!$E:$E,"移入")</f>
        <v/>
      </c>
      <c r="F1513" s="4">
        <f>-SUMIFS('01_異動主檔'!$F:$F,'01_異動主檔'!$B:$B,122,'01_異動主檔'!$D:$D,B1513,'01_異動主檔'!$E:$E,"移出")</f>
        <v/>
      </c>
      <c r="G1513" s="4">
        <f>SUMIFS('01_異動主檔'!$F:$F,'01_異動主檔'!$B:$B,122,'01_異動主檔'!$D:$D,B1513,'01_異動主檔'!$E:$E,"新增")</f>
        <v/>
      </c>
      <c r="H1513" s="4">
        <f>-SUMIFS('01_異動主檔'!$F:$F,'01_異動主檔'!$B:$B,122,'01_異動主檔'!$D:$D,B1513,'01_異動主檔'!$E:$E,"減列")</f>
        <v/>
      </c>
      <c r="I1513" s="4">
        <f>-SUMIFS('01_異動主檔'!$F:$F,'01_異動主檔'!$B:$B,122,'01_異動主檔'!$D:$D,B1513,'01_異動主檔'!$E:$E,"精簡")</f>
        <v/>
      </c>
      <c r="J1513" s="10">
        <f>D1513+E1513+F1513+G1513+H1513+I1513</f>
        <v/>
      </c>
    </row>
    <row r="1514" ht="18" customHeight="1">
      <c r="A1514" s="6" t="inlineStr">
        <is>
          <t>G008</t>
        </is>
      </c>
      <c r="B1514" s="5" t="inlineStr">
        <is>
          <t>城區辦公室</t>
        </is>
      </c>
      <c r="C1514" s="6" t="n">
        <v>123</v>
      </c>
      <c r="D1514" s="10">
        <f>J1513</f>
        <v/>
      </c>
      <c r="E1514" s="4">
        <f>SUMIFS('01_異動主檔'!$F:$F,'01_異動主檔'!$B:$B,123,'01_異動主檔'!$D:$D,B1514,'01_異動主檔'!$E:$E,"移入")</f>
        <v/>
      </c>
      <c r="F1514" s="4">
        <f>-SUMIFS('01_異動主檔'!$F:$F,'01_異動主檔'!$B:$B,123,'01_異動主檔'!$D:$D,B1514,'01_異動主檔'!$E:$E,"移出")</f>
        <v/>
      </c>
      <c r="G1514" s="4">
        <f>SUMIFS('01_異動主檔'!$F:$F,'01_異動主檔'!$B:$B,123,'01_異動主檔'!$D:$D,B1514,'01_異動主檔'!$E:$E,"新增")</f>
        <v/>
      </c>
      <c r="H1514" s="4">
        <f>-SUMIFS('01_異動主檔'!$F:$F,'01_異動主檔'!$B:$B,123,'01_異動主檔'!$D:$D,B1514,'01_異動主檔'!$E:$E,"減列")</f>
        <v/>
      </c>
      <c r="I1514" s="4">
        <f>-SUMIFS('01_異動主檔'!$F:$F,'01_異動主檔'!$B:$B,123,'01_異動主檔'!$D:$D,B1514,'01_異動主檔'!$E:$E,"精簡")</f>
        <v/>
      </c>
      <c r="J1514" s="10">
        <f>D1514+E1514+F1514+G1514+H1514+I1514</f>
        <v/>
      </c>
    </row>
    <row r="1515" ht="18" customHeight="1">
      <c r="A1515" s="4" t="inlineStr">
        <is>
          <t>G008</t>
        </is>
      </c>
      <c r="B1515" s="3" t="inlineStr">
        <is>
          <t>城區辦公室</t>
        </is>
      </c>
      <c r="C1515" s="4" t="n">
        <v>124</v>
      </c>
      <c r="D1515" s="10">
        <f>J1514</f>
        <v/>
      </c>
      <c r="E1515" s="4">
        <f>SUMIFS('01_異動主檔'!$F:$F,'01_異動主檔'!$B:$B,124,'01_異動主檔'!$D:$D,B1515,'01_異動主檔'!$E:$E,"移入")</f>
        <v/>
      </c>
      <c r="F1515" s="4">
        <f>-SUMIFS('01_異動主檔'!$F:$F,'01_異動主檔'!$B:$B,124,'01_異動主檔'!$D:$D,B1515,'01_異動主檔'!$E:$E,"移出")</f>
        <v/>
      </c>
      <c r="G1515" s="4">
        <f>SUMIFS('01_異動主檔'!$F:$F,'01_異動主檔'!$B:$B,124,'01_異動主檔'!$D:$D,B1515,'01_異動主檔'!$E:$E,"新增")</f>
        <v/>
      </c>
      <c r="H1515" s="4">
        <f>-SUMIFS('01_異動主檔'!$F:$F,'01_異動主檔'!$B:$B,124,'01_異動主檔'!$D:$D,B1515,'01_異動主檔'!$E:$E,"減列")</f>
        <v/>
      </c>
      <c r="I1515" s="4">
        <f>-SUMIFS('01_異動主檔'!$F:$F,'01_異動主檔'!$B:$B,124,'01_異動主檔'!$D:$D,B1515,'01_異動主檔'!$E:$E,"精簡")</f>
        <v/>
      </c>
      <c r="J1515" s="10">
        <f>D1515+E1515+F1515+G1515+H1515+I1515</f>
        <v/>
      </c>
    </row>
    <row r="1516" ht="18" customHeight="1">
      <c r="A1516" s="6" t="inlineStr">
        <is>
          <t>G008</t>
        </is>
      </c>
      <c r="B1516" s="5" t="inlineStr">
        <is>
          <t>城區辦公室</t>
        </is>
      </c>
      <c r="C1516" s="6" t="n">
        <v>125</v>
      </c>
      <c r="D1516" s="10">
        <f>J1515</f>
        <v/>
      </c>
      <c r="E1516" s="4">
        <f>SUMIFS('01_異動主檔'!$F:$F,'01_異動主檔'!$B:$B,125,'01_異動主檔'!$D:$D,B1516,'01_異動主檔'!$E:$E,"移入")</f>
        <v/>
      </c>
      <c r="F1516" s="4">
        <f>-SUMIFS('01_異動主檔'!$F:$F,'01_異動主檔'!$B:$B,125,'01_異動主檔'!$D:$D,B1516,'01_異動主檔'!$E:$E,"移出")</f>
        <v/>
      </c>
      <c r="G1516" s="4">
        <f>SUMIFS('01_異動主檔'!$F:$F,'01_異動主檔'!$B:$B,125,'01_異動主檔'!$D:$D,B1516,'01_異動主檔'!$E:$E,"新增")</f>
        <v/>
      </c>
      <c r="H1516" s="4">
        <f>-SUMIFS('01_異動主檔'!$F:$F,'01_異動主檔'!$B:$B,125,'01_異動主檔'!$D:$D,B1516,'01_異動主檔'!$E:$E,"減列")</f>
        <v/>
      </c>
      <c r="I1516" s="4">
        <f>-SUMIFS('01_異動主檔'!$F:$F,'01_異動主檔'!$B:$B,125,'01_異動主檔'!$D:$D,B1516,'01_異動主檔'!$E:$E,"精簡")</f>
        <v/>
      </c>
      <c r="J1516" s="10">
        <f>D1516+E1516+F1516+G1516+H1516+I1516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2" customWidth="1" min="5" max="5"/>
    <col width="8" customWidth="1" min="6" max="6"/>
    <col width="18" customWidth="1" min="7" max="7"/>
    <col width="20" customWidth="1" min="8" max="8"/>
  </cols>
  <sheetData>
    <row r="1">
      <c r="A1" s="1" t="inlineStr">
        <is>
          <t>📋 異動明細（選擇機關名稱查看所有異動記錄）</t>
        </is>
      </c>
    </row>
    <row r="2">
      <c r="A2" s="11" t="inlineStr">
        <is>
          <t>查詢機關：</t>
        </is>
      </c>
      <c r="B2" s="7" t="inlineStr">
        <is>
          <t>（留空顯示全部）</t>
        </is>
      </c>
      <c r="D2" t="inlineStr">
        <is>
          <t>← 請輸入機關名稱</t>
        </is>
      </c>
    </row>
    <row r="3">
      <c r="A3" s="2" t="inlineStr">
        <is>
          <t>流水號</t>
        </is>
      </c>
      <c r="B3" s="2" t="inlineStr">
        <is>
          <t>年度</t>
        </is>
      </c>
      <c r="C3" s="2" t="inlineStr">
        <is>
          <t>修正日期</t>
        </is>
      </c>
      <c r="D3" s="2" t="inlineStr">
        <is>
          <t>機關名稱</t>
        </is>
      </c>
      <c r="E3" s="2" t="inlineStr">
        <is>
          <t>調整類型</t>
        </is>
      </c>
      <c r="F3" s="2" t="inlineStr">
        <is>
          <t>人數</t>
        </is>
      </c>
      <c r="G3" s="2" t="inlineStr">
        <is>
          <t>事由</t>
        </is>
      </c>
      <c r="H3" s="2" t="inlineStr">
        <is>
          <t>備註</t>
        </is>
      </c>
    </row>
    <row r="5">
      <c r="A5" s="3" t="n">
        <v>1</v>
      </c>
      <c r="B5" s="4" t="n">
        <v>99</v>
      </c>
      <c r="C5" s="4" t="inlineStr">
        <is>
          <t>99/01</t>
        </is>
      </c>
      <c r="D5" s="4" t="inlineStr">
        <is>
          <t>人事處</t>
        </is>
      </c>
      <c r="E5" s="4" t="inlineStr">
        <is>
          <t>移入</t>
        </is>
      </c>
      <c r="F5" s="4" t="n">
        <v>5</v>
      </c>
      <c r="G5" s="4" t="inlineStr">
        <is>
          <t>業務調整</t>
        </is>
      </c>
      <c r="H5" s="4" t="inlineStr"/>
    </row>
    <row r="6">
      <c r="A6" s="5" t="n">
        <v>2</v>
      </c>
      <c r="B6" s="6" t="n">
        <v>99</v>
      </c>
      <c r="C6" s="6" t="inlineStr">
        <is>
          <t>99/03</t>
        </is>
      </c>
      <c r="D6" s="6" t="inlineStr">
        <is>
          <t>人事處</t>
        </is>
      </c>
      <c r="E6" s="6" t="inlineStr">
        <is>
          <t>移出</t>
        </is>
      </c>
      <c r="F6" s="6" t="n">
        <v>2</v>
      </c>
      <c r="G6" s="6" t="inlineStr">
        <is>
          <t>屆齡退休</t>
        </is>
      </c>
      <c r="H6" s="6" t="inlineStr"/>
    </row>
    <row r="7">
      <c r="A7" s="3" t="n">
        <v>3</v>
      </c>
      <c r="B7" s="4" t="n">
        <v>99</v>
      </c>
      <c r="C7" s="4" t="inlineStr">
        <is>
          <t>99/06</t>
        </is>
      </c>
      <c r="D7" s="4" t="inlineStr">
        <is>
          <t>第一組</t>
        </is>
      </c>
      <c r="E7" s="4" t="inlineStr">
        <is>
          <t>新增</t>
        </is>
      </c>
      <c r="F7" s="4" t="n">
        <v>3</v>
      </c>
      <c r="G7" s="4" t="inlineStr">
        <is>
          <t>編制調整</t>
        </is>
      </c>
      <c r="H7" s="4" t="inlineStr">
        <is>
          <t>新增一個科室</t>
        </is>
      </c>
    </row>
    <row r="8">
      <c r="A8" s="5" t="n">
        <v>4</v>
      </c>
      <c r="B8" s="6" t="n">
        <v>99</v>
      </c>
      <c r="C8" s="6" t="inlineStr">
        <is>
          <t>99/09</t>
        </is>
      </c>
      <c r="D8" s="6" t="inlineStr">
        <is>
          <t>台北分局</t>
        </is>
      </c>
      <c r="E8" s="6" t="inlineStr">
        <is>
          <t>移入</t>
        </is>
      </c>
      <c r="F8" s="6" t="n">
        <v>4</v>
      </c>
      <c r="G8" s="6" t="inlineStr">
        <is>
          <t>業務移撥</t>
        </is>
      </c>
      <c r="H8" s="6" t="inlineStr"/>
    </row>
    <row r="9">
      <c r="A9" s="3" t="n">
        <v>5</v>
      </c>
      <c r="B9" s="4" t="n">
        <v>100</v>
      </c>
      <c r="C9" s="4" t="inlineStr">
        <is>
          <t>100/02</t>
        </is>
      </c>
      <c r="D9" s="4" t="inlineStr">
        <is>
          <t>人事處</t>
        </is>
      </c>
      <c r="E9" s="4" t="inlineStr">
        <is>
          <t>移入</t>
        </is>
      </c>
      <c r="F9" s="4" t="n">
        <v>2</v>
      </c>
      <c r="G9" s="4" t="inlineStr">
        <is>
          <t>考試分發</t>
        </is>
      </c>
      <c r="H9" s="4" t="inlineStr"/>
    </row>
    <row r="10">
      <c r="A10" s="5" t="n">
        <v>6</v>
      </c>
      <c r="B10" s="6" t="n">
        <v>100</v>
      </c>
      <c r="C10" s="6" t="inlineStr">
        <is>
          <t>100/05</t>
        </is>
      </c>
      <c r="D10" s="6" t="inlineStr">
        <is>
          <t>會計處</t>
        </is>
      </c>
      <c r="E10" s="6" t="inlineStr">
        <is>
          <t>減列</t>
        </is>
      </c>
      <c r="F10" s="6" t="n">
        <v>1</v>
      </c>
      <c r="G10" s="6" t="inlineStr">
        <is>
          <t>組織精簡</t>
        </is>
      </c>
      <c r="H10" s="6" t="inlineStr"/>
    </row>
    <row r="11">
      <c r="A11" s="3" t="n">
        <v>7</v>
      </c>
      <c r="B11" s="4" t="n">
        <v>100</v>
      </c>
      <c r="C11" s="4" t="inlineStr">
        <is>
          <t>100/08</t>
        </is>
      </c>
      <c r="D11" s="4" t="inlineStr">
        <is>
          <t>第二組</t>
        </is>
      </c>
      <c r="E11" s="4" t="inlineStr">
        <is>
          <t>移出</t>
        </is>
      </c>
      <c r="F11" s="4" t="n">
        <v>3</v>
      </c>
      <c r="G11" s="4" t="inlineStr">
        <is>
          <t>業務移撥</t>
        </is>
      </c>
      <c r="H11" s="4" t="inlineStr">
        <is>
          <t>調至其他單位</t>
        </is>
      </c>
    </row>
    <row r="12">
      <c r="A12" s="5" t="n">
        <v>8</v>
      </c>
      <c r="B12" s="6" t="n">
        <v>101</v>
      </c>
      <c r="C12" s="6" t="inlineStr">
        <is>
          <t>101/03</t>
        </is>
      </c>
      <c r="D12" s="6" t="inlineStr">
        <is>
          <t>人事處</t>
        </is>
      </c>
      <c r="E12" s="6" t="inlineStr">
        <is>
          <t>精簡</t>
        </is>
      </c>
      <c r="F12" s="6" t="n">
        <v>2</v>
      </c>
      <c r="G12" s="6" t="inlineStr">
        <is>
          <t>優退</t>
        </is>
      </c>
      <c r="H12" s="6" t="inlineStr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6" customWidth="1" min="4" max="4"/>
    <col width="14" customWidth="1" min="5" max="5"/>
    <col width="10" customWidth="1" min="6" max="6"/>
    <col width="20" customWidth="1" min="7" max="7"/>
    <col width="22" customWidth="1" min="8" max="8"/>
  </cols>
  <sheetData>
    <row r="1">
      <c r="A1" s="1" t="inlineStr">
        <is>
          <t>🔍 篩選查詢（選擇條件快速篩選資料）</t>
        </is>
      </c>
    </row>
    <row r="3">
      <c r="A3" s="11" t="inlineStr">
        <is>
          <t>選擇年度：</t>
        </is>
      </c>
      <c r="B3" s="12" t="inlineStr">
        <is>
          <t>全部</t>
        </is>
      </c>
      <c r="C3" t="inlineStr">
        <is>
          <t>← 留空或輸入民國年（如：99、114）</t>
        </is>
      </c>
    </row>
    <row r="4">
      <c r="A4" s="11" t="inlineStr">
        <is>
          <t>選擇機關：</t>
        </is>
      </c>
      <c r="B4" s="12" t="inlineStr">
        <is>
          <t>全部</t>
        </is>
      </c>
      <c r="D4" t="inlineStr">
        <is>
          <t>← 留空顯示全部，或輸入機關名稱</t>
        </is>
      </c>
    </row>
    <row r="5">
      <c r="A5" s="11" t="inlineStr">
        <is>
          <t>調整類型：</t>
        </is>
      </c>
      <c r="B5" s="12" t="inlineStr">
        <is>
          <t>全部</t>
        </is>
      </c>
      <c r="D5" t="inlineStr">
        <is>
          <t>← 留空或輸入：移入/移出/新增/減列/精簡</t>
        </is>
      </c>
    </row>
    <row r="6">
      <c r="A6" s="7" t="inlineStr">
        <is>
          <t>※ 建議使用 Excel 篩選功能（Ctrl+Shift+L）或樞紐分析表進行更彈性的查詢</t>
        </is>
      </c>
    </row>
    <row r="7">
      <c r="A7" s="2" t="inlineStr">
        <is>
          <t>流水號</t>
        </is>
      </c>
      <c r="B7" s="2" t="inlineStr">
        <is>
          <t>年度</t>
        </is>
      </c>
      <c r="C7" s="2" t="inlineStr">
        <is>
          <t>修正日期</t>
        </is>
      </c>
      <c r="D7" s="2" t="inlineStr">
        <is>
          <t>機關名稱</t>
        </is>
      </c>
      <c r="E7" s="2" t="inlineStr">
        <is>
          <t>調整類型</t>
        </is>
      </c>
      <c r="F7" s="2" t="inlineStr">
        <is>
          <t>人數</t>
        </is>
      </c>
      <c r="G7" s="2" t="inlineStr">
        <is>
          <t>事由</t>
        </is>
      </c>
      <c r="H7" s="2" t="inlineStr">
        <is>
          <t>備註</t>
        </is>
      </c>
    </row>
    <row r="8">
      <c r="A8" s="3" t="n">
        <v>1</v>
      </c>
      <c r="B8" s="4" t="n">
        <v>99</v>
      </c>
      <c r="C8" s="4" t="inlineStr">
        <is>
          <t>99/01</t>
        </is>
      </c>
      <c r="D8" s="4" t="inlineStr">
        <is>
          <t>人事處</t>
        </is>
      </c>
      <c r="E8" s="4" t="inlineStr">
        <is>
          <t>移入</t>
        </is>
      </c>
      <c r="F8" s="4" t="n">
        <v>5</v>
      </c>
      <c r="G8" s="4" t="inlineStr">
        <is>
          <t>業務調整</t>
        </is>
      </c>
      <c r="H8" s="4" t="inlineStr"/>
    </row>
    <row r="9">
      <c r="A9" s="5" t="n">
        <v>2</v>
      </c>
      <c r="B9" s="6" t="n">
        <v>99</v>
      </c>
      <c r="C9" s="6" t="inlineStr">
        <is>
          <t>99/03</t>
        </is>
      </c>
      <c r="D9" s="6" t="inlineStr">
        <is>
          <t>人事處</t>
        </is>
      </c>
      <c r="E9" s="6" t="inlineStr">
        <is>
          <t>移出</t>
        </is>
      </c>
      <c r="F9" s="6" t="n">
        <v>2</v>
      </c>
      <c r="G9" s="6" t="inlineStr">
        <is>
          <t>屆齡退休</t>
        </is>
      </c>
      <c r="H9" s="6" t="inlineStr"/>
    </row>
    <row r="10">
      <c r="A10" s="3" t="n">
        <v>3</v>
      </c>
      <c r="B10" s="4" t="n">
        <v>99</v>
      </c>
      <c r="C10" s="4" t="inlineStr">
        <is>
          <t>99/06</t>
        </is>
      </c>
      <c r="D10" s="4" t="inlineStr">
        <is>
          <t>第一組</t>
        </is>
      </c>
      <c r="E10" s="4" t="inlineStr">
        <is>
          <t>新增</t>
        </is>
      </c>
      <c r="F10" s="4" t="n">
        <v>3</v>
      </c>
      <c r="G10" s="4" t="inlineStr">
        <is>
          <t>編制調整</t>
        </is>
      </c>
      <c r="H10" s="4" t="inlineStr">
        <is>
          <t>新增一個科室</t>
        </is>
      </c>
    </row>
    <row r="11">
      <c r="A11" s="5" t="n">
        <v>4</v>
      </c>
      <c r="B11" s="6" t="n">
        <v>99</v>
      </c>
      <c r="C11" s="6" t="inlineStr">
        <is>
          <t>99/09</t>
        </is>
      </c>
      <c r="D11" s="6" t="inlineStr">
        <is>
          <t>台北分局</t>
        </is>
      </c>
      <c r="E11" s="6" t="inlineStr">
        <is>
          <t>移入</t>
        </is>
      </c>
      <c r="F11" s="6" t="n">
        <v>4</v>
      </c>
      <c r="G11" s="6" t="inlineStr">
        <is>
          <t>業務移撥</t>
        </is>
      </c>
      <c r="H11" s="6" t="inlineStr"/>
    </row>
    <row r="12">
      <c r="A12" s="3" t="n">
        <v>5</v>
      </c>
      <c r="B12" s="4" t="n">
        <v>100</v>
      </c>
      <c r="C12" s="4" t="inlineStr">
        <is>
          <t>100/02</t>
        </is>
      </c>
      <c r="D12" s="4" t="inlineStr">
        <is>
          <t>人事處</t>
        </is>
      </c>
      <c r="E12" s="4" t="inlineStr">
        <is>
          <t>移入</t>
        </is>
      </c>
      <c r="F12" s="4" t="n">
        <v>2</v>
      </c>
      <c r="G12" s="4" t="inlineStr">
        <is>
          <t>考試分發</t>
        </is>
      </c>
      <c r="H12" s="4" t="inlineStr"/>
    </row>
    <row r="13">
      <c r="A13" s="5" t="n">
        <v>6</v>
      </c>
      <c r="B13" s="6" t="n">
        <v>100</v>
      </c>
      <c r="C13" s="6" t="inlineStr">
        <is>
          <t>100/05</t>
        </is>
      </c>
      <c r="D13" s="6" t="inlineStr">
        <is>
          <t>會計處</t>
        </is>
      </c>
      <c r="E13" s="6" t="inlineStr">
        <is>
          <t>減列</t>
        </is>
      </c>
      <c r="F13" s="6" t="n">
        <v>1</v>
      </c>
      <c r="G13" s="6" t="inlineStr">
        <is>
          <t>組織精簡</t>
        </is>
      </c>
      <c r="H13" s="6" t="inlineStr"/>
    </row>
    <row r="14">
      <c r="A14" s="3" t="n">
        <v>7</v>
      </c>
      <c r="B14" s="4" t="n">
        <v>100</v>
      </c>
      <c r="C14" s="4" t="inlineStr">
        <is>
          <t>100/08</t>
        </is>
      </c>
      <c r="D14" s="4" t="inlineStr">
        <is>
          <t>第二組</t>
        </is>
      </c>
      <c r="E14" s="4" t="inlineStr">
        <is>
          <t>移出</t>
        </is>
      </c>
      <c r="F14" s="4" t="n">
        <v>3</v>
      </c>
      <c r="G14" s="4" t="inlineStr">
        <is>
          <t>業務移撥</t>
        </is>
      </c>
      <c r="H14" s="4" t="inlineStr">
        <is>
          <t>調至其他單位</t>
        </is>
      </c>
    </row>
    <row r="15">
      <c r="A15" s="5" t="n">
        <v>8</v>
      </c>
      <c r="B15" s="6" t="n">
        <v>101</v>
      </c>
      <c r="C15" s="6" t="inlineStr">
        <is>
          <t>101/03</t>
        </is>
      </c>
      <c r="D15" s="6" t="inlineStr">
        <is>
          <t>人事處</t>
        </is>
      </c>
      <c r="E15" s="6" t="inlineStr">
        <is>
          <t>精簡</t>
        </is>
      </c>
      <c r="F15" s="6" t="n">
        <v>2</v>
      </c>
      <c r="G15" s="6" t="inlineStr">
        <is>
          <t>優退</t>
        </is>
      </c>
      <c r="H15" s="6" t="inlineStr"/>
    </row>
  </sheetData>
  <mergeCells count="2">
    <mergeCell ref="A1:I1"/>
    <mergeCell ref="A6:I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1" t="inlineStr">
        <is>
          <t>📖 人事員額管理系統 使用手冊</t>
        </is>
      </c>
    </row>
    <row r="2" ht="20" customHeight="1"/>
    <row r="3" ht="20" customHeight="1">
      <c r="A3" s="13" t="inlineStr">
        <is>
          <t>【一、系統架構】</t>
        </is>
      </c>
    </row>
    <row r="4" ht="20" customHeight="1">
      <c r="A4" s="13" t="inlineStr">
        <is>
          <t>本系統包含以下工作表：</t>
        </is>
      </c>
    </row>
    <row r="5" ht="20" customHeight="1">
      <c r="A5" s="13" t="inlineStr">
        <is>
          <t>• 00_機關清冊：60個機關的基本資料（代碼+名稱）</t>
        </is>
      </c>
    </row>
    <row r="6" ht="20" customHeight="1">
      <c r="A6" s="13" t="inlineStr">
        <is>
          <t>• 01_異動主檔：新增所有異動記錄（主要輸入區）</t>
        </is>
      </c>
    </row>
    <row r="7" ht="20" customHeight="1">
      <c r="A7" s="13" t="inlineStr">
        <is>
          <t>• 02_年初員額設定：99年度請手動輸入，100年度起自動連動</t>
        </is>
      </c>
    </row>
    <row r="8" ht="20" customHeight="1">
      <c r="A8" s="13" t="inlineStr">
        <is>
          <t>• 03_年度彙總：自動計算各機關各年度的員額變化</t>
        </is>
      </c>
    </row>
    <row r="9" ht="20" customHeight="1">
      <c r="A9" s="13" t="inlineStr">
        <is>
          <t>• 04_異動明細：查詢特定機關的所有異動歷史</t>
        </is>
      </c>
    </row>
    <row r="10" ht="20" customHeight="1">
      <c r="A10" s="13" t="inlineStr">
        <is>
          <t>• 05_篾選器：快速篩選特定條件的資料</t>
        </is>
      </c>
    </row>
    <row r="11" ht="20" customHeight="1">
      <c r="A11" s="13" t="inlineStr">
        <is>
          <t>• 06_使用手冊：本說明文件</t>
        </is>
      </c>
    </row>
    <row r="12" ht="20" customHeight="1"/>
    <row r="13" ht="20" customHeight="1">
      <c r="A13" s="13" t="inlineStr">
        <is>
          <t>【二、如何新增資料】</t>
        </is>
      </c>
    </row>
    <row r="14" ht="20" customHeight="1">
      <c r="A14" s="13" t="inlineStr">
        <is>
          <t>1. 切換到「01_異動主檔」工作表</t>
        </is>
      </c>
    </row>
    <row r="15" ht="20" customHeight="1">
      <c r="A15" s="13" t="inlineStr">
        <is>
          <t>2. 找到空白的列（黃色區域以下）</t>
        </is>
      </c>
    </row>
    <row r="16" ht="20" customHeight="1">
      <c r="A16" s="13" t="inlineStr">
        <is>
          <t>3. 依序填入：年度、修正日期（選或輸入）、機關名稱（從下拉選單選）、調整類型（從下拉選單選）、人數、事由</t>
        </is>
      </c>
    </row>
    <row r="17" ht="20" customHeight="1">
      <c r="A17" s="13" t="inlineStr">
        <is>
          <t>4. 流水號會自動編列</t>
        </is>
      </c>
    </row>
    <row r="18" ht="20" customHeight="1"/>
    <row r="19" ht="20" customHeight="1">
      <c r="A19" s="13" t="inlineStr">
        <is>
          <t>【三、如何新增年度】</t>
        </is>
      </c>
    </row>
    <row r="20" ht="20" customHeight="1">
      <c r="A20" s="13" t="inlineStr">
        <is>
          <t>當需要新增年度（如116年）時：</t>
        </is>
      </c>
    </row>
    <row r="21" ht="20" customHeight="1">
      <c r="A21" s="13" t="inlineStr">
        <is>
          <t>1. 在「02_年初員額設定」工作表：</t>
        </is>
      </c>
    </row>
    <row r="22" ht="20" customHeight="1">
      <c r="A22" s="13" t="inlineStr">
        <is>
          <t xml:space="preserve">   - 在99年欄位右側新增一欄，命名為「116年」</t>
        </is>
      </c>
    </row>
    <row r="23" ht="20" customHeight="1">
      <c r="A23" s="13" t="inlineStr">
        <is>
          <t xml:space="preserve">   - 公式設為：='03_年度彙總'!J{該機關115年年底所在列}</t>
        </is>
      </c>
    </row>
    <row r="24" ht="20" customHeight="1">
      <c r="A24" s="13" t="inlineStr">
        <is>
          <t>2. 在「03_年度彙總」工作表：</t>
        </is>
      </c>
    </row>
    <row r="25" ht="20" customHeight="1">
      <c r="A25" s="13" t="inlineStr">
        <is>
          <t xml:space="preserve">   - 在現有年度資料下方新增116年的列</t>
        </is>
      </c>
    </row>
    <row r="26" ht="20" customHeight="1">
      <c r="A26" s="13" t="inlineStr">
        <is>
          <t xml:space="preserve">   - 年初公式：='02_年初員額設定'!{116年欄}{機關列}</t>
        </is>
      </c>
    </row>
    <row r="27" ht="20" customHeight="1">
      <c r="A27" s="13" t="inlineStr">
        <is>
          <t>3. 公式會自動計算移入、移出、新增、減列、精簡</t>
        </is>
      </c>
    </row>
    <row r="28" ht="20" customHeight="1">
      <c r="A28" s="13" t="inlineStr">
        <is>
          <t>4. 年底 = 年初 + 移入 + 移出 + 新增 + 減列 + 精簡</t>
        </is>
      </c>
    </row>
    <row r="29" ht="20" customHeight="1"/>
    <row r="30" ht="20" customHeight="1">
      <c r="A30" s="13" t="inlineStr">
        <is>
          <t>【四、年度連動邏輯】</t>
        </is>
      </c>
    </row>
    <row r="31" ht="20" customHeight="1">
      <c r="A31" s="13" t="inlineStr">
        <is>
          <t>• 99年：年初員額需手動輸入（黃色格子）</t>
        </is>
      </c>
    </row>
    <row r="32" ht="20" customHeight="1">
      <c r="A32" s="13" t="inlineStr">
        <is>
          <t>• 100年起：年初員額 = 上年度年底員額（自動連動）</t>
        </is>
      </c>
    </row>
    <row r="33" ht="20" customHeight="1">
      <c r="A33" s="13" t="inlineStr">
        <is>
          <t>• 年底員額 = 年初 + 移入 + 新增 - 移出 - 減列 - 精簡</t>
        </is>
      </c>
    </row>
    <row r="34" ht="20" customHeight="1"/>
    <row r="35" ht="20" customHeight="1">
      <c r="A35" s="13" t="inlineStr">
        <is>
          <t>【五、下拉選單說明】</t>
        </is>
      </c>
    </row>
    <row r="36" ht="20" customHeight="1">
      <c r="A36" s="13" t="inlineStr">
        <is>
          <t>• 機關名稱：從「00_機關清冊」帶入，60個機關可選</t>
        </is>
      </c>
    </row>
    <row r="37" ht="20" customHeight="1">
      <c r="A37" s="13" t="inlineStr">
        <is>
          <t>• 調整類型：移入、移出、新增、減列、精簡</t>
        </is>
      </c>
    </row>
    <row r="38" ht="20" customHeight="1">
      <c r="A38" s="13" t="inlineStr">
        <is>
          <t>• 年度：99年～125年</t>
        </is>
      </c>
    </row>
    <row r="39" ht="20" customHeight="1"/>
    <row r="40" ht="20" customHeight="1">
      <c r="A40" s="13" t="inlineStr">
        <is>
          <t>【六、顏色代碼】</t>
        </is>
      </c>
    </row>
    <row r="41" ht="20" customHeight="1">
      <c r="A41" s="13" t="inlineStr">
        <is>
          <t>• 黃色：需手動輸入的資料</t>
        </is>
      </c>
    </row>
    <row r="42" ht="20" customHeight="1">
      <c r="A42" s="13" t="inlineStr">
        <is>
          <t>• 綠色：公式自動計算（請勿直接修改）</t>
        </is>
      </c>
    </row>
    <row r="43" ht="20" customHeight="1">
      <c r="A43" s="13" t="inlineStr">
        <is>
          <t>• 淺灰：交替填色，方便閱讀</t>
        </is>
      </c>
    </row>
    <row r="44" ht="20" customHeight="1"/>
    <row r="45" ht="20" customHeight="1">
      <c r="A45" s="13" t="inlineStr">
        <is>
          <t>【七、注意事項】</t>
        </is>
      </c>
    </row>
    <row r="46" ht="20" customHeight="1">
      <c r="A46" s="13" t="inlineStr">
        <is>
          <t>• 請勿刪除或修改「03_年度彙總」中的公式</t>
        </is>
      </c>
    </row>
    <row r="47" ht="20" customHeight="1">
      <c r="A47" s="13" t="inlineStr">
        <is>
          <t>• 資料有誤請回「01_異動主檔」修正</t>
        </is>
      </c>
    </row>
    <row r="48" ht="20" customHeight="1">
      <c r="A48" s="13" t="inlineStr">
        <is>
          <t>• 建議定期備份檔案</t>
        </is>
      </c>
    </row>
    <row r="49" ht="20" customHeight="1">
      <c r="A49" s="13" t="inlineStr">
        <is>
          <t>• 系統已擴充至125年度，足夠使用到民國125年（2036年）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2026-07-01T04:39:19Z</dcterms:created>
  <dcterms:modified xmlns:dcterms="http://purl.org/dc/terms/" xmlns:xsi="http://www.w3.org/2001/XMLSchema-instance" xsi:type="dcterms:W3CDTF">2026-07-01T04:39:20Z</dcterms:modified>
</cp:coreProperties>
</file>