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機關清冊" sheetId="1" state="visible" r:id="rId1"/>
    <sheet xmlns:r="http://schemas.openxmlformats.org/officeDocument/2006/relationships" name="01_異動主檔" sheetId="2" state="visible" r:id="rId2"/>
    <sheet xmlns:r="http://schemas.openxmlformats.org/officeDocument/2006/relationships" name="03_年度彙總" sheetId="3" state="visible" r:id="rId3"/>
    <sheet xmlns:r="http://schemas.openxmlformats.org/officeDocument/2006/relationships" name="02_年初員額設定" sheetId="4" state="visible" r:id="rId4"/>
    <sheet xmlns:r="http://schemas.openxmlformats.org/officeDocument/2006/relationships" name="04_異動明細" sheetId="5" state="visible" r:id="rId5"/>
    <sheet xmlns:r="http://schemas.openxmlformats.org/officeDocument/2006/relationships" name="05_篾選器" sheetId="6" state="visible" r:id="rId6"/>
    <sheet xmlns:r="http://schemas.openxmlformats.org/officeDocument/2006/relationships" name="06_使用手冊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JhengHei"/>
      <b val="1"/>
      <color rgb="00FFFFFF"/>
      <sz val="14"/>
    </font>
    <font>
      <name val="Microsoft JhengHei"/>
      <b val="1"/>
      <color rgb="00FFFFFF"/>
      <sz val="11"/>
    </font>
    <font>
      <name val="Microsoft JhengHei"/>
      <sz val="10"/>
    </font>
    <font>
      <name val="Microsoft JhengHei"/>
      <i val="1"/>
      <color rgb="00666666"/>
      <sz val="9"/>
    </font>
    <font>
      <name val="Microsoft JhengHei"/>
      <color rgb="00006600"/>
      <sz val="10"/>
    </font>
    <font>
      <name val="Microsoft JhengHei"/>
      <b val="1"/>
      <color rgb="001F4E79"/>
      <sz val="11"/>
    </font>
    <font>
      <name val="Microsoft JhengHei"/>
      <b val="1"/>
      <sz val="10"/>
    </font>
    <font>
      <name val="Microsoft JhengHei"/>
      <color rgb="00CCCCCC"/>
      <sz val="9"/>
    </font>
    <font>
      <name val="Microsoft JhengHei"/>
      <color rgb="00666666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</cols>
  <sheetData>
    <row r="1">
      <c r="A1" s="1" t="inlineStr">
        <is>
          <t>📌 機關清冊（系統唯一定義，請勿刪除）</t>
        </is>
      </c>
    </row>
    <row r="2">
      <c r="A2" s="2" t="inlineStr">
        <is>
          <t>機關代碼</t>
        </is>
      </c>
      <c r="B2" s="2" t="inlineStr">
        <is>
          <t>機關名稱</t>
        </is>
      </c>
      <c r="C2" s="2" t="inlineStr">
        <is>
          <t>備註</t>
        </is>
      </c>
    </row>
    <row r="3">
      <c r="A3" s="3" t="inlineStr">
        <is>
          <t>A001</t>
        </is>
      </c>
      <c r="B3" s="4" t="inlineStr">
        <is>
          <t>人事處</t>
        </is>
      </c>
      <c r="C3" s="4" t="inlineStr"/>
    </row>
    <row r="4">
      <c r="A4" s="5" t="inlineStr">
        <is>
          <t>A002</t>
        </is>
      </c>
      <c r="B4" s="6" t="inlineStr">
        <is>
          <t>會計處</t>
        </is>
      </c>
      <c r="C4" s="6" t="inlineStr"/>
    </row>
    <row r="5">
      <c r="A5" s="3" t="inlineStr">
        <is>
          <t>A003</t>
        </is>
      </c>
      <c r="B5" s="4" t="inlineStr">
        <is>
          <t>政風處</t>
        </is>
      </c>
      <c r="C5" s="4" t="inlineStr"/>
    </row>
    <row r="6">
      <c r="A6" s="5" t="inlineStr">
        <is>
          <t>A004</t>
        </is>
      </c>
      <c r="B6" s="6" t="inlineStr">
        <is>
          <t>總務處</t>
        </is>
      </c>
      <c r="C6" s="6" t="inlineStr"/>
    </row>
    <row r="7">
      <c r="A7" s="3" t="inlineStr">
        <is>
          <t>A005</t>
        </is>
      </c>
      <c r="B7" s="4" t="inlineStr">
        <is>
          <t>資訊處</t>
        </is>
      </c>
      <c r="C7" s="4" t="inlineStr"/>
    </row>
    <row r="8">
      <c r="A8" s="5" t="inlineStr">
        <is>
          <t>A006</t>
        </is>
      </c>
      <c r="B8" s="6" t="inlineStr">
        <is>
          <t>法制處</t>
        </is>
      </c>
      <c r="C8" s="6" t="inlineStr"/>
    </row>
    <row r="9">
      <c r="A9" s="3" t="inlineStr">
        <is>
          <t>A007</t>
        </is>
      </c>
      <c r="B9" s="4" t="inlineStr">
        <is>
          <t>秘書處</t>
        </is>
      </c>
      <c r="C9" s="4" t="inlineStr"/>
    </row>
    <row r="10">
      <c r="A10" s="5" t="inlineStr">
        <is>
          <t>A008</t>
        </is>
      </c>
      <c r="B10" s="6" t="inlineStr">
        <is>
          <t>公關室</t>
        </is>
      </c>
      <c r="C10" s="6" t="inlineStr"/>
    </row>
    <row r="11">
      <c r="A11" s="3" t="inlineStr">
        <is>
          <t>B001</t>
        </is>
      </c>
      <c r="B11" s="4" t="inlineStr">
        <is>
          <t>第一組</t>
        </is>
      </c>
      <c r="C11" s="4" t="inlineStr"/>
    </row>
    <row r="12">
      <c r="A12" s="5" t="inlineStr">
        <is>
          <t>B002</t>
        </is>
      </c>
      <c r="B12" s="6" t="inlineStr">
        <is>
          <t>第二組</t>
        </is>
      </c>
      <c r="C12" s="6" t="inlineStr"/>
    </row>
    <row r="13">
      <c r="A13" s="3" t="inlineStr">
        <is>
          <t>B003</t>
        </is>
      </c>
      <c r="B13" s="4" t="inlineStr">
        <is>
          <t>第三組</t>
        </is>
      </c>
      <c r="C13" s="4" t="inlineStr"/>
    </row>
    <row r="14">
      <c r="A14" s="5" t="inlineStr">
        <is>
          <t>B004</t>
        </is>
      </c>
      <c r="B14" s="6" t="inlineStr">
        <is>
          <t>第四組</t>
        </is>
      </c>
      <c r="C14" s="6" t="inlineStr"/>
    </row>
    <row r="15">
      <c r="A15" s="3" t="inlineStr">
        <is>
          <t>B005</t>
        </is>
      </c>
      <c r="B15" s="4" t="inlineStr">
        <is>
          <t>第五組</t>
        </is>
      </c>
      <c r="C15" s="4" t="inlineStr"/>
    </row>
    <row r="16">
      <c r="A16" s="5" t="inlineStr">
        <is>
          <t>B006</t>
        </is>
      </c>
      <c r="B16" s="6" t="inlineStr">
        <is>
          <t>第六組</t>
        </is>
      </c>
      <c r="C16" s="6" t="inlineStr"/>
    </row>
    <row r="17">
      <c r="A17" s="3" t="inlineStr">
        <is>
          <t>B007</t>
        </is>
      </c>
      <c r="B17" s="4" t="inlineStr">
        <is>
          <t>第七組</t>
        </is>
      </c>
      <c r="C17" s="4" t="inlineStr"/>
    </row>
    <row r="18">
      <c r="A18" s="5" t="inlineStr">
        <is>
          <t>B008</t>
        </is>
      </c>
      <c r="B18" s="6" t="inlineStr">
        <is>
          <t>第八組</t>
        </is>
      </c>
      <c r="C18" s="6" t="inlineStr"/>
    </row>
    <row r="19">
      <c r="A19" s="3" t="inlineStr">
        <is>
          <t>C001</t>
        </is>
      </c>
      <c r="B19" s="4" t="inlineStr">
        <is>
          <t>台北分局</t>
        </is>
      </c>
      <c r="C19" s="4" t="inlineStr"/>
    </row>
    <row r="20">
      <c r="A20" s="5" t="inlineStr">
        <is>
          <t>C002</t>
        </is>
      </c>
      <c r="B20" s="6" t="inlineStr">
        <is>
          <t>新北分局</t>
        </is>
      </c>
      <c r="C20" s="6" t="inlineStr"/>
    </row>
    <row r="21">
      <c r="A21" s="3" t="inlineStr">
        <is>
          <t>C003</t>
        </is>
      </c>
      <c r="B21" s="4" t="inlineStr">
        <is>
          <t>桃園分局</t>
        </is>
      </c>
      <c r="C21" s="4" t="inlineStr"/>
    </row>
    <row r="22">
      <c r="A22" s="5" t="inlineStr">
        <is>
          <t>C004</t>
        </is>
      </c>
      <c r="B22" s="6" t="inlineStr">
        <is>
          <t>台中分局</t>
        </is>
      </c>
      <c r="C22" s="6" t="inlineStr"/>
    </row>
    <row r="23">
      <c r="A23" s="3" t="inlineStr">
        <is>
          <t>C005</t>
        </is>
      </c>
      <c r="B23" s="4" t="inlineStr">
        <is>
          <t>台南分局</t>
        </is>
      </c>
      <c r="C23" s="4" t="inlineStr"/>
    </row>
    <row r="24">
      <c r="A24" s="5" t="inlineStr">
        <is>
          <t>C006</t>
        </is>
      </c>
      <c r="B24" s="6" t="inlineStr">
        <is>
          <t>高雄分局</t>
        </is>
      </c>
      <c r="C24" s="6" t="inlineStr"/>
    </row>
    <row r="25">
      <c r="A25" s="3" t="inlineStr">
        <is>
          <t>C007</t>
        </is>
      </c>
      <c r="B25" s="4" t="inlineStr">
        <is>
          <t>基隆分局</t>
        </is>
      </c>
      <c r="C25" s="4" t="inlineStr"/>
    </row>
    <row r="26">
      <c r="A26" s="5" t="inlineStr">
        <is>
          <t>C008</t>
        </is>
      </c>
      <c r="B26" s="6" t="inlineStr">
        <is>
          <t>花蓮分局</t>
        </is>
      </c>
      <c r="C26" s="6" t="inlineStr"/>
    </row>
    <row r="27">
      <c r="A27" s="3" t="inlineStr">
        <is>
          <t>D001</t>
        </is>
      </c>
      <c r="B27" s="4" t="inlineStr">
        <is>
          <t>綜合規劃科</t>
        </is>
      </c>
      <c r="C27" s="4" t="inlineStr"/>
    </row>
    <row r="28">
      <c r="A28" s="5" t="inlineStr">
        <is>
          <t>D002</t>
        </is>
      </c>
      <c r="B28" s="6" t="inlineStr">
        <is>
          <t>歲計科</t>
        </is>
      </c>
      <c r="C28" s="6" t="inlineStr"/>
    </row>
    <row r="29">
      <c r="A29" s="3" t="inlineStr">
        <is>
          <t>D003</t>
        </is>
      </c>
      <c r="B29" s="4" t="inlineStr">
        <is>
          <t>統計科</t>
        </is>
      </c>
      <c r="C29" s="4" t="inlineStr"/>
    </row>
    <row r="30">
      <c r="A30" s="5" t="inlineStr">
        <is>
          <t>D004</t>
        </is>
      </c>
      <c r="B30" s="6" t="inlineStr">
        <is>
          <t>文書科</t>
        </is>
      </c>
      <c r="C30" s="6" t="inlineStr"/>
    </row>
    <row r="31">
      <c r="A31" s="3" t="inlineStr">
        <is>
          <t>D005</t>
        </is>
      </c>
      <c r="B31" s="4" t="inlineStr">
        <is>
          <t>出納科</t>
        </is>
      </c>
      <c r="C31" s="4" t="inlineStr"/>
    </row>
    <row r="32">
      <c r="A32" s="5" t="inlineStr">
        <is>
          <t>D006</t>
        </is>
      </c>
      <c r="B32" s="6" t="inlineStr">
        <is>
          <t>採購科</t>
        </is>
      </c>
      <c r="C32" s="6" t="inlineStr"/>
    </row>
    <row r="33">
      <c r="A33" s="3" t="inlineStr">
        <is>
          <t>D007</t>
        </is>
      </c>
      <c r="B33" s="4" t="inlineStr">
        <is>
          <t>稽查科</t>
        </is>
      </c>
      <c r="C33" s="4" t="inlineStr"/>
    </row>
    <row r="34">
      <c r="A34" s="5" t="inlineStr">
        <is>
          <t>D008</t>
        </is>
      </c>
      <c r="B34" s="6" t="inlineStr">
        <is>
          <t>核稿科</t>
        </is>
      </c>
      <c r="C34" s="6" t="inlineStr"/>
    </row>
    <row r="35">
      <c r="A35" s="3" t="inlineStr">
        <is>
          <t>E001</t>
        </is>
      </c>
      <c r="B35" s="4" t="inlineStr">
        <is>
          <t>訓練中心</t>
        </is>
      </c>
      <c r="C35" s="4" t="inlineStr"/>
    </row>
    <row r="36">
      <c r="A36" s="5" t="inlineStr">
        <is>
          <t>E002</t>
        </is>
      </c>
      <c r="B36" s="6" t="inlineStr">
        <is>
          <t>研發中心</t>
        </is>
      </c>
      <c r="C36" s="6" t="inlineStr"/>
    </row>
    <row r="37">
      <c r="A37" s="3" t="inlineStr">
        <is>
          <t>E003</t>
        </is>
      </c>
      <c r="B37" s="4" t="inlineStr">
        <is>
          <t>服務中心</t>
        </is>
      </c>
      <c r="C37" s="4" t="inlineStr"/>
    </row>
    <row r="38">
      <c r="A38" s="5" t="inlineStr">
        <is>
          <t>E004</t>
        </is>
      </c>
      <c r="B38" s="6" t="inlineStr">
        <is>
          <t>管理中心</t>
        </is>
      </c>
      <c r="C38" s="6" t="inlineStr"/>
    </row>
    <row r="39">
      <c r="A39" s="3" t="inlineStr">
        <is>
          <t>E005</t>
        </is>
      </c>
      <c r="B39" s="4" t="inlineStr">
        <is>
          <t>審查中心</t>
        </is>
      </c>
      <c r="C39" s="4" t="inlineStr"/>
    </row>
    <row r="40">
      <c r="A40" s="5" t="inlineStr">
        <is>
          <t>E006</t>
        </is>
      </c>
      <c r="B40" s="6" t="inlineStr">
        <is>
          <t>監理中心</t>
        </is>
      </c>
      <c r="C40" s="6" t="inlineStr"/>
    </row>
    <row r="41">
      <c r="A41" s="3" t="inlineStr">
        <is>
          <t>E007</t>
        </is>
      </c>
      <c r="B41" s="4" t="inlineStr">
        <is>
          <t>稽核中心</t>
        </is>
      </c>
      <c r="C41" s="4" t="inlineStr"/>
    </row>
    <row r="42">
      <c r="A42" s="5" t="inlineStr">
        <is>
          <t>E008</t>
        </is>
      </c>
      <c r="B42" s="6" t="inlineStr">
        <is>
          <t>協調中心</t>
        </is>
      </c>
      <c r="C42" s="6" t="inlineStr"/>
    </row>
    <row r="43">
      <c r="A43" s="3" t="inlineStr">
        <is>
          <t>F001</t>
        </is>
      </c>
      <c r="B43" s="4" t="inlineStr">
        <is>
          <t>企劃組</t>
        </is>
      </c>
      <c r="C43" s="4" t="inlineStr"/>
    </row>
    <row r="44">
      <c r="A44" s="5" t="inlineStr">
        <is>
          <t>F002</t>
        </is>
      </c>
      <c r="B44" s="6" t="inlineStr">
        <is>
          <t>管理組</t>
        </is>
      </c>
      <c r="C44" s="6" t="inlineStr"/>
    </row>
    <row r="45">
      <c r="A45" s="3" t="inlineStr">
        <is>
          <t>F003</t>
        </is>
      </c>
      <c r="B45" s="4" t="inlineStr">
        <is>
          <t>業務組</t>
        </is>
      </c>
      <c r="C45" s="4" t="inlineStr"/>
    </row>
    <row r="46">
      <c r="A46" s="5" t="inlineStr">
        <is>
          <t>F004</t>
        </is>
      </c>
      <c r="B46" s="6" t="inlineStr">
        <is>
          <t>技術組</t>
        </is>
      </c>
      <c r="C46" s="6" t="inlineStr"/>
    </row>
    <row r="47">
      <c r="A47" s="3" t="inlineStr">
        <is>
          <t>F005</t>
        </is>
      </c>
      <c r="B47" s="4" t="inlineStr">
        <is>
          <t>行政組</t>
        </is>
      </c>
      <c r="C47" s="4" t="inlineStr"/>
    </row>
    <row r="48">
      <c r="A48" s="5" t="inlineStr">
        <is>
          <t>F006</t>
        </is>
      </c>
      <c r="B48" s="6" t="inlineStr">
        <is>
          <t>財務組</t>
        </is>
      </c>
      <c r="C48" s="6" t="inlineStr"/>
    </row>
    <row r="49">
      <c r="A49" s="3" t="inlineStr">
        <is>
          <t>F007</t>
        </is>
      </c>
      <c r="B49" s="4" t="inlineStr">
        <is>
          <t>法規組</t>
        </is>
      </c>
      <c r="C49" s="4" t="inlineStr"/>
    </row>
    <row r="50">
      <c r="A50" s="5" t="inlineStr">
        <is>
          <t>F008</t>
        </is>
      </c>
      <c r="B50" s="6" t="inlineStr">
        <is>
          <t>稽核組</t>
        </is>
      </c>
      <c r="C50" s="6" t="inlineStr"/>
    </row>
    <row r="51">
      <c r="A51" s="3" t="inlineStr">
        <is>
          <t>G001</t>
        </is>
      </c>
      <c r="B51" s="4" t="inlineStr">
        <is>
          <t>中部辦公室</t>
        </is>
      </c>
      <c r="C51" s="4" t="inlineStr"/>
    </row>
    <row r="52">
      <c r="A52" s="5" t="inlineStr">
        <is>
          <t>G002</t>
        </is>
      </c>
      <c r="B52" s="6" t="inlineStr">
        <is>
          <t>南部辦公室</t>
        </is>
      </c>
      <c r="C52" s="6" t="inlineStr"/>
    </row>
    <row r="53">
      <c r="A53" s="3" t="inlineStr">
        <is>
          <t>G003</t>
        </is>
      </c>
      <c r="B53" s="4" t="inlineStr">
        <is>
          <t>東部辦公室</t>
        </is>
      </c>
      <c r="C53" s="4" t="inlineStr"/>
    </row>
    <row r="54">
      <c r="A54" s="5" t="inlineStr">
        <is>
          <t>G004</t>
        </is>
      </c>
      <c r="B54" s="6" t="inlineStr">
        <is>
          <t>北部辦公室</t>
        </is>
      </c>
      <c r="C54" s="6" t="inlineStr"/>
    </row>
    <row r="55">
      <c r="A55" s="3" t="inlineStr">
        <is>
          <t>G005</t>
        </is>
      </c>
      <c r="B55" s="4" t="inlineStr">
        <is>
          <t>離島辦公室</t>
        </is>
      </c>
      <c r="C55" s="4" t="inlineStr"/>
    </row>
    <row r="56">
      <c r="A56" s="5" t="inlineStr">
        <is>
          <t>G006</t>
        </is>
      </c>
      <c r="B56" s="6" t="inlineStr">
        <is>
          <t>山區辦公室</t>
        </is>
      </c>
      <c r="C56" s="6" t="inlineStr"/>
    </row>
    <row r="57">
      <c r="A57" s="3" t="inlineStr">
        <is>
          <t>G007</t>
        </is>
      </c>
      <c r="B57" s="4" t="inlineStr">
        <is>
          <t>海岸辦公室</t>
        </is>
      </c>
      <c r="C57" s="4" t="inlineStr"/>
    </row>
    <row r="58">
      <c r="A58" s="5" t="inlineStr">
        <is>
          <t>G008</t>
        </is>
      </c>
      <c r="B58" s="6" t="inlineStr">
        <is>
          <t>城區辦公室</t>
        </is>
      </c>
      <c r="C58" s="6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6" customWidth="1" min="4" max="4"/>
    <col width="12" customWidth="1" min="5" max="5"/>
    <col width="8" customWidth="1" min="6" max="6"/>
    <col width="18" customWidth="1" min="7" max="7"/>
    <col width="20" customWidth="1" min="8" max="8"/>
  </cols>
  <sheetData>
    <row r="1">
      <c r="A1" s="1" t="inlineStr">
        <is>
          <t>📝 異動主檔（請在此新增資料）</t>
        </is>
      </c>
    </row>
    <row r="2">
      <c r="A2" s="2" t="inlineStr">
        <is>
          <t>流水號</t>
        </is>
      </c>
      <c r="B2" s="2" t="inlineStr">
        <is>
          <t>年度</t>
        </is>
      </c>
      <c r="C2" s="2" t="inlineStr">
        <is>
          <t>修正日期</t>
        </is>
      </c>
      <c r="D2" s="2" t="inlineStr">
        <is>
          <t>機關名稱</t>
        </is>
      </c>
      <c r="E2" s="2" t="inlineStr">
        <is>
          <t>調整類型</t>
        </is>
      </c>
      <c r="F2" s="2" t="inlineStr">
        <is>
          <t>人數</t>
        </is>
      </c>
      <c r="G2" s="2" t="inlineStr">
        <is>
          <t>事由</t>
        </is>
      </c>
      <c r="H2" s="2" t="inlineStr">
        <is>
          <t>備註</t>
        </is>
      </c>
    </row>
    <row r="3">
      <c r="A3" s="7" t="inlineStr">
        <is>
          <t>💡 提示：「機關名稱」和「調整類型」請從下拉選單選擇｜「年度」請輸入或選擇民國年</t>
        </is>
      </c>
    </row>
    <row r="4">
      <c r="A4" s="3" t="n">
        <v>1</v>
      </c>
      <c r="B4" s="4" t="n">
        <v>99</v>
      </c>
      <c r="C4" s="4" t="inlineStr">
        <is>
          <t>99/01</t>
        </is>
      </c>
      <c r="D4" s="4" t="inlineStr">
        <is>
          <t>人事處</t>
        </is>
      </c>
      <c r="E4" s="4" t="inlineStr">
        <is>
          <t>移入</t>
        </is>
      </c>
      <c r="F4" s="4" t="n">
        <v>5</v>
      </c>
      <c r="G4" s="4" t="inlineStr">
        <is>
          <t>業務調整</t>
        </is>
      </c>
      <c r="H4" s="4" t="inlineStr"/>
    </row>
    <row r="5">
      <c r="A5" s="5" t="n">
        <v>2</v>
      </c>
      <c r="B5" s="6" t="n">
        <v>99</v>
      </c>
      <c r="C5" s="6" t="inlineStr">
        <is>
          <t>99/03</t>
        </is>
      </c>
      <c r="D5" s="6" t="inlineStr">
        <is>
          <t>人事處</t>
        </is>
      </c>
      <c r="E5" s="6" t="inlineStr">
        <is>
          <t>移出</t>
        </is>
      </c>
      <c r="F5" s="6" t="n">
        <v>2</v>
      </c>
      <c r="G5" s="6" t="inlineStr">
        <is>
          <t>屆齡退休</t>
        </is>
      </c>
      <c r="H5" s="6" t="inlineStr"/>
    </row>
    <row r="6">
      <c r="A6" s="3" t="n">
        <v>3</v>
      </c>
      <c r="B6" s="4" t="n">
        <v>99</v>
      </c>
      <c r="C6" s="4" t="inlineStr">
        <is>
          <t>99/06</t>
        </is>
      </c>
      <c r="D6" s="4" t="inlineStr">
        <is>
          <t>第一組</t>
        </is>
      </c>
      <c r="E6" s="4" t="inlineStr">
        <is>
          <t>新增</t>
        </is>
      </c>
      <c r="F6" s="4" t="n">
        <v>3</v>
      </c>
      <c r="G6" s="4" t="inlineStr">
        <is>
          <t>編制調整</t>
        </is>
      </c>
      <c r="H6" s="4" t="inlineStr">
        <is>
          <t>新增一個科室</t>
        </is>
      </c>
    </row>
    <row r="7">
      <c r="A7" s="5" t="n">
        <v>4</v>
      </c>
      <c r="B7" s="6" t="n">
        <v>99</v>
      </c>
      <c r="C7" s="6" t="inlineStr">
        <is>
          <t>99/09</t>
        </is>
      </c>
      <c r="D7" s="6" t="inlineStr">
        <is>
          <t>台北分局</t>
        </is>
      </c>
      <c r="E7" s="6" t="inlineStr">
        <is>
          <t>移入</t>
        </is>
      </c>
      <c r="F7" s="6" t="n">
        <v>4</v>
      </c>
      <c r="G7" s="6" t="inlineStr">
        <is>
          <t>業務移撥</t>
        </is>
      </c>
      <c r="H7" s="6" t="inlineStr"/>
    </row>
    <row r="8">
      <c r="A8" s="3" t="n">
        <v>5</v>
      </c>
      <c r="B8" s="4" t="n">
        <v>100</v>
      </c>
      <c r="C8" s="4" t="inlineStr">
        <is>
          <t>100/02</t>
        </is>
      </c>
      <c r="D8" s="4" t="inlineStr">
        <is>
          <t>人事處</t>
        </is>
      </c>
      <c r="E8" s="4" t="inlineStr">
        <is>
          <t>移入</t>
        </is>
      </c>
      <c r="F8" s="4" t="n">
        <v>2</v>
      </c>
      <c r="G8" s="4" t="inlineStr">
        <is>
          <t>考試分發</t>
        </is>
      </c>
      <c r="H8" s="4" t="inlineStr"/>
    </row>
    <row r="9">
      <c r="A9" s="5" t="n">
        <v>6</v>
      </c>
      <c r="B9" s="6" t="n">
        <v>100</v>
      </c>
      <c r="C9" s="6" t="inlineStr">
        <is>
          <t>100/05</t>
        </is>
      </c>
      <c r="D9" s="6" t="inlineStr">
        <is>
          <t>會計處</t>
        </is>
      </c>
      <c r="E9" s="6" t="inlineStr">
        <is>
          <t>減列</t>
        </is>
      </c>
      <c r="F9" s="6" t="n">
        <v>1</v>
      </c>
      <c r="G9" s="6" t="inlineStr">
        <is>
          <t>組織精簡</t>
        </is>
      </c>
      <c r="H9" s="6" t="inlineStr"/>
    </row>
    <row r="10">
      <c r="A10" s="3" t="n">
        <v>7</v>
      </c>
      <c r="B10" s="4" t="n">
        <v>100</v>
      </c>
      <c r="C10" s="4" t="inlineStr">
        <is>
          <t>100/08</t>
        </is>
      </c>
      <c r="D10" s="4" t="inlineStr">
        <is>
          <t>第二組</t>
        </is>
      </c>
      <c r="E10" s="4" t="inlineStr">
        <is>
          <t>移出</t>
        </is>
      </c>
      <c r="F10" s="4" t="n">
        <v>3</v>
      </c>
      <c r="G10" s="4" t="inlineStr">
        <is>
          <t>業務移撥</t>
        </is>
      </c>
      <c r="H10" s="4" t="inlineStr">
        <is>
          <t>調至其他單位</t>
        </is>
      </c>
    </row>
    <row r="11">
      <c r="A11" s="5" t="n">
        <v>8</v>
      </c>
      <c r="B11" s="6" t="n">
        <v>101</v>
      </c>
      <c r="C11" s="6" t="inlineStr">
        <is>
          <t>101/03</t>
        </is>
      </c>
      <c r="D11" s="6" t="inlineStr">
        <is>
          <t>人事處</t>
        </is>
      </c>
      <c r="E11" s="6" t="inlineStr">
        <is>
          <t>精簡</t>
        </is>
      </c>
      <c r="F11" s="6" t="n">
        <v>2</v>
      </c>
      <c r="G11" s="6" t="inlineStr">
        <is>
          <t>優退</t>
        </is>
      </c>
      <c r="H11" s="6" t="inlineStr"/>
    </row>
    <row r="12">
      <c r="A12" s="3" t="n">
        <v>9</v>
      </c>
      <c r="B12" s="4" t="n">
        <v>101</v>
      </c>
      <c r="C12" s="4" t="inlineStr">
        <is>
          <t>101/07</t>
        </is>
      </c>
      <c r="D12" s="4" t="inlineStr">
        <is>
          <t>新北分局</t>
        </is>
      </c>
      <c r="E12" s="4" t="inlineStr">
        <is>
          <t>新增</t>
        </is>
      </c>
      <c r="F12" s="4" t="n">
        <v>5</v>
      </c>
      <c r="G12" s="4" t="inlineStr">
        <is>
          <t>新設置</t>
        </is>
      </c>
      <c r="H12" s="4" t="inlineStr">
        <is>
          <t>新增分局</t>
        </is>
      </c>
    </row>
    <row r="13">
      <c r="A13" s="5" t="n">
        <v>10</v>
      </c>
      <c r="B13" s="6" t="n">
        <v>102</v>
      </c>
      <c r="C13" s="6" t="inlineStr">
        <is>
          <t>102/01</t>
        </is>
      </c>
      <c r="D13" s="6" t="inlineStr">
        <is>
          <t>政風處</t>
        </is>
      </c>
      <c r="E13" s="6" t="inlineStr">
        <is>
          <t>移入</t>
        </is>
      </c>
      <c r="F13" s="6" t="n">
        <v>3</v>
      </c>
      <c r="G13" s="6" t="inlineStr">
        <is>
          <t>業務調整</t>
        </is>
      </c>
      <c r="H13" s="6" t="inlineStr"/>
    </row>
    <row r="14">
      <c r="A14" s="3" t="n">
        <v>11</v>
      </c>
      <c r="B14" s="4" t="n">
        <v>103</v>
      </c>
      <c r="C14" s="4" t="inlineStr">
        <is>
          <t>103/04</t>
        </is>
      </c>
      <c r="D14" s="4" t="inlineStr">
        <is>
          <t>第一組</t>
        </is>
      </c>
      <c r="E14" s="4" t="inlineStr">
        <is>
          <t>移出</t>
        </is>
      </c>
      <c r="F14" s="4" t="n">
        <v>1</v>
      </c>
      <c r="G14" s="4" t="inlineStr">
        <is>
          <t>屆齡退休</t>
        </is>
      </c>
      <c r="H14" s="4" t="inlineStr"/>
    </row>
    <row r="15">
      <c r="A15" s="5" t="n">
        <v>12</v>
      </c>
      <c r="B15" s="6" t="n">
        <v>104</v>
      </c>
      <c r="C15" s="6" t="inlineStr">
        <is>
          <t>104/06</t>
        </is>
      </c>
      <c r="D15" s="6" t="inlineStr">
        <is>
          <t>人事處</t>
        </is>
      </c>
      <c r="E15" s="6" t="inlineStr">
        <is>
          <t>新增</t>
        </is>
      </c>
      <c r="F15" s="6" t="n">
        <v>4</v>
      </c>
      <c r="G15" s="6" t="inlineStr">
        <is>
          <t>編制調整</t>
        </is>
      </c>
      <c r="H15" s="6" t="inlineStr">
        <is>
          <t>業務擴張</t>
        </is>
      </c>
    </row>
    <row r="16">
      <c r="A16" s="3" t="n">
        <v>13</v>
      </c>
      <c r="B16" s="4" t="n">
        <v>105</v>
      </c>
      <c r="C16" s="4" t="inlineStr">
        <is>
          <t>105/02</t>
        </is>
      </c>
      <c r="D16" s="4" t="inlineStr">
        <is>
          <t>台北分局</t>
        </is>
      </c>
      <c r="E16" s="4" t="inlineStr">
        <is>
          <t>減列</t>
        </is>
      </c>
      <c r="F16" s="4" t="n">
        <v>2</v>
      </c>
      <c r="G16" s="4" t="inlineStr">
        <is>
          <t>組織整併</t>
        </is>
      </c>
      <c r="H16" s="4" t="inlineStr"/>
    </row>
  </sheetData>
  <mergeCells count="2">
    <mergeCell ref="A3:G3"/>
    <mergeCell ref="A1:G1"/>
  </mergeCells>
  <dataValidations count="3">
    <dataValidation sqref="D4:D1000" showDropDown="0" showInputMessage="0" showErrorMessage="1" allowBlank="1" errorTitle="輸入錯誤" error="請從下拉選單中選擇機關名稱" type="list">
      <formula1>='00_機關清冊'!$B$3:$B$62</formula1>
    </dataValidation>
    <dataValidation sqref="E4:E1000" showDropDown="0" showInputMessage="0" showErrorMessage="1" allowBlank="1" errorTitle="輸入錯誤" error="請從下拉選單中選擇調整類型" type="list">
      <formula1>"移入,移出,新增,減列,精簡"</formula1>
    </dataValidation>
    <dataValidation sqref="B4:B1000" showDropDown="0" showInputMessage="0" showErrorMessage="0" allowBlank="1" type="list">
      <formula1>"99,100,101,102,103,104,105,106,107,108,109,110,111,112,113,114,115,116,117,118,119,120,121,122,123,124,125"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📈 年度彙總（自動計算，請勿直接修改）</t>
        </is>
      </c>
    </row>
    <row r="2">
      <c r="A2" s="7" t="inlineStr">
        <is>
          <t>※ 自動彙總「01_異動主檔」的資料｜本表為唯讀，資料有誤請回「01_異動主檔」修改</t>
        </is>
      </c>
    </row>
    <row r="4">
      <c r="A4" s="2" t="inlineStr">
        <is>
          <t>機關名稱</t>
        </is>
      </c>
      <c r="B4" s="2" t="inlineStr">
        <is>
          <t>年度</t>
        </is>
      </c>
      <c r="C4" s="2" t="inlineStr">
        <is>
          <t>年初</t>
        </is>
      </c>
      <c r="D4" s="2" t="inlineStr">
        <is>
          <t>移入</t>
        </is>
      </c>
      <c r="E4" s="2" t="inlineStr">
        <is>
          <t>移出</t>
        </is>
      </c>
      <c r="F4" s="2" t="inlineStr">
        <is>
          <t>新增</t>
        </is>
      </c>
      <c r="G4" s="2" t="inlineStr">
        <is>
          <t>減列</t>
        </is>
      </c>
      <c r="H4" s="2" t="inlineStr">
        <is>
          <t>精簡</t>
        </is>
      </c>
      <c r="I4" s="2" t="inlineStr">
        <is>
          <t>年底</t>
        </is>
      </c>
    </row>
    <row r="5" ht="18" customHeight="1">
      <c r="A5" s="3" t="inlineStr">
        <is>
          <t>人事處</t>
        </is>
      </c>
      <c r="B5" s="4" t="n">
        <v>99</v>
      </c>
      <c r="C5" s="8">
        <f>'02_年初員額設定'!B5</f>
        <v/>
      </c>
      <c r="D5" s="4">
        <f>SUMIFS('01_異動主檔'!$F:$F,'01_異動主檔'!$B:$B,99,'01_異動主檔'!$D:$D,A5,'01_異動主檔'!$E:$E,"移入")</f>
        <v/>
      </c>
      <c r="E5" s="4">
        <f>-SUMIFS('01_異動主檔'!$F:$F,'01_異動主檔'!$B:$B,99,'01_異動主檔'!$D:$D,A5,'01_異動主檔'!$E:$E,"移出")</f>
        <v/>
      </c>
      <c r="F5" s="4">
        <f>SUMIFS('01_異動主檔'!$F:$F,'01_異動主檔'!$B:$B,99,'01_異動主檔'!$D:$D,A5,'01_異動主檔'!$E:$E,"新增")</f>
        <v/>
      </c>
      <c r="G5" s="4">
        <f>-SUMIFS('01_異動主檔'!$F:$F,'01_異動主檔'!$B:$B,99,'01_異動主檔'!$D:$D,A5,'01_異動主檔'!$E:$E,"減列")</f>
        <v/>
      </c>
      <c r="H5" s="4">
        <f>-SUMIFS('01_異動主檔'!$F:$F,'01_異動主檔'!$B:$B,99,'01_異動主檔'!$D:$D,A5,'01_異動主檔'!$E:$E,"精簡")</f>
        <v/>
      </c>
      <c r="I5" s="8">
        <f>C5+D5+E5+F5+G5+H5</f>
        <v/>
      </c>
    </row>
    <row r="6" ht="18" customHeight="1">
      <c r="A6" s="5" t="inlineStr">
        <is>
          <t>人事處</t>
        </is>
      </c>
      <c r="B6" s="6" t="n">
        <v>100</v>
      </c>
      <c r="C6" s="8">
        <f>I5</f>
        <v/>
      </c>
      <c r="D6" s="4">
        <f>SUMIFS('01_異動主檔'!$F:$F,'01_異動主檔'!$B:$B,100,'01_異動主檔'!$D:$D,A6,'01_異動主檔'!$E:$E,"移入")</f>
        <v/>
      </c>
      <c r="E6" s="4">
        <f>-SUMIFS('01_異動主檔'!$F:$F,'01_異動主檔'!$B:$B,100,'01_異動主檔'!$D:$D,A6,'01_異動主檔'!$E:$E,"移出")</f>
        <v/>
      </c>
      <c r="F6" s="4">
        <f>SUMIFS('01_異動主檔'!$F:$F,'01_異動主檔'!$B:$B,100,'01_異動主檔'!$D:$D,A6,'01_異動主檔'!$E:$E,"新增")</f>
        <v/>
      </c>
      <c r="G6" s="4">
        <f>-SUMIFS('01_異動主檔'!$F:$F,'01_異動主檔'!$B:$B,100,'01_異動主檔'!$D:$D,A6,'01_異動主檔'!$E:$E,"減列")</f>
        <v/>
      </c>
      <c r="H6" s="4">
        <f>-SUMIFS('01_異動主檔'!$F:$F,'01_異動主檔'!$B:$B,100,'01_異動主檔'!$D:$D,A6,'01_異動主檔'!$E:$E,"精簡")</f>
        <v/>
      </c>
      <c r="I6" s="8">
        <f>C6+D6+E6+F6+G6+H6</f>
        <v/>
      </c>
    </row>
    <row r="7" ht="18" customHeight="1">
      <c r="A7" s="3" t="inlineStr">
        <is>
          <t>人事處</t>
        </is>
      </c>
      <c r="B7" s="4" t="n">
        <v>101</v>
      </c>
      <c r="C7" s="8">
        <f>I6</f>
        <v/>
      </c>
      <c r="D7" s="4">
        <f>SUMIFS('01_異動主檔'!$F:$F,'01_異動主檔'!$B:$B,101,'01_異動主檔'!$D:$D,A7,'01_異動主檔'!$E:$E,"移入")</f>
        <v/>
      </c>
      <c r="E7" s="4">
        <f>-SUMIFS('01_異動主檔'!$F:$F,'01_異動主檔'!$B:$B,101,'01_異動主檔'!$D:$D,A7,'01_異動主檔'!$E:$E,"移出")</f>
        <v/>
      </c>
      <c r="F7" s="4">
        <f>SUMIFS('01_異動主檔'!$F:$F,'01_異動主檔'!$B:$B,101,'01_異動主檔'!$D:$D,A7,'01_異動主檔'!$E:$E,"新增")</f>
        <v/>
      </c>
      <c r="G7" s="4">
        <f>-SUMIFS('01_異動主檔'!$F:$F,'01_異動主檔'!$B:$B,101,'01_異動主檔'!$D:$D,A7,'01_異動主檔'!$E:$E,"減列")</f>
        <v/>
      </c>
      <c r="H7" s="4">
        <f>-SUMIFS('01_異動主檔'!$F:$F,'01_異動主檔'!$B:$B,101,'01_異動主檔'!$D:$D,A7,'01_異動主檔'!$E:$E,"精簡")</f>
        <v/>
      </c>
      <c r="I7" s="8">
        <f>C7+D7+E7+F7+G7+H7</f>
        <v/>
      </c>
    </row>
    <row r="8" ht="18" customHeight="1">
      <c r="A8" s="5" t="inlineStr">
        <is>
          <t>人事處</t>
        </is>
      </c>
      <c r="B8" s="6" t="n">
        <v>102</v>
      </c>
      <c r="C8" s="8">
        <f>I7</f>
        <v/>
      </c>
      <c r="D8" s="4">
        <f>SUMIFS('01_異動主檔'!$F:$F,'01_異動主檔'!$B:$B,102,'01_異動主檔'!$D:$D,A8,'01_異動主檔'!$E:$E,"移入")</f>
        <v/>
      </c>
      <c r="E8" s="4">
        <f>-SUMIFS('01_異動主檔'!$F:$F,'01_異動主檔'!$B:$B,102,'01_異動主檔'!$D:$D,A8,'01_異動主檔'!$E:$E,"移出")</f>
        <v/>
      </c>
      <c r="F8" s="4">
        <f>SUMIFS('01_異動主檔'!$F:$F,'01_異動主檔'!$B:$B,102,'01_異動主檔'!$D:$D,A8,'01_異動主檔'!$E:$E,"新增")</f>
        <v/>
      </c>
      <c r="G8" s="4">
        <f>-SUMIFS('01_異動主檔'!$F:$F,'01_異動主檔'!$B:$B,102,'01_異動主檔'!$D:$D,A8,'01_異動主檔'!$E:$E,"減列")</f>
        <v/>
      </c>
      <c r="H8" s="4">
        <f>-SUMIFS('01_異動主檔'!$F:$F,'01_異動主檔'!$B:$B,102,'01_異動主檔'!$D:$D,A8,'01_異動主檔'!$E:$E,"精簡")</f>
        <v/>
      </c>
      <c r="I8" s="8">
        <f>C8+D8+E8+F8+G8+H8</f>
        <v/>
      </c>
    </row>
    <row r="9" ht="18" customHeight="1">
      <c r="A9" s="3" t="inlineStr">
        <is>
          <t>人事處</t>
        </is>
      </c>
      <c r="B9" s="4" t="n">
        <v>103</v>
      </c>
      <c r="C9" s="8">
        <f>I8</f>
        <v/>
      </c>
      <c r="D9" s="4">
        <f>SUMIFS('01_異動主檔'!$F:$F,'01_異動主檔'!$B:$B,103,'01_異動主檔'!$D:$D,A9,'01_異動主檔'!$E:$E,"移入")</f>
        <v/>
      </c>
      <c r="E9" s="4">
        <f>-SUMIFS('01_異動主檔'!$F:$F,'01_異動主檔'!$B:$B,103,'01_異動主檔'!$D:$D,A9,'01_異動主檔'!$E:$E,"移出")</f>
        <v/>
      </c>
      <c r="F9" s="4">
        <f>SUMIFS('01_異動主檔'!$F:$F,'01_異動主檔'!$B:$B,103,'01_異動主檔'!$D:$D,A9,'01_異動主檔'!$E:$E,"新增")</f>
        <v/>
      </c>
      <c r="G9" s="4">
        <f>-SUMIFS('01_異動主檔'!$F:$F,'01_異動主檔'!$B:$B,103,'01_異動主檔'!$D:$D,A9,'01_異動主檔'!$E:$E,"減列")</f>
        <v/>
      </c>
      <c r="H9" s="4">
        <f>-SUMIFS('01_異動主檔'!$F:$F,'01_異動主檔'!$B:$B,103,'01_異動主檔'!$D:$D,A9,'01_異動主檔'!$E:$E,"精簡")</f>
        <v/>
      </c>
      <c r="I9" s="8">
        <f>C9+D9+E9+F9+G9+H9</f>
        <v/>
      </c>
    </row>
    <row r="10" ht="18" customHeight="1">
      <c r="A10" s="5" t="inlineStr">
        <is>
          <t>人事處</t>
        </is>
      </c>
      <c r="B10" s="6" t="n">
        <v>104</v>
      </c>
      <c r="C10" s="8">
        <f>I9</f>
        <v/>
      </c>
      <c r="D10" s="4">
        <f>SUMIFS('01_異動主檔'!$F:$F,'01_異動主檔'!$B:$B,104,'01_異動主檔'!$D:$D,A10,'01_異動主檔'!$E:$E,"移入")</f>
        <v/>
      </c>
      <c r="E10" s="4">
        <f>-SUMIFS('01_異動主檔'!$F:$F,'01_異動主檔'!$B:$B,104,'01_異動主檔'!$D:$D,A10,'01_異動主檔'!$E:$E,"移出")</f>
        <v/>
      </c>
      <c r="F10" s="4">
        <f>SUMIFS('01_異動主檔'!$F:$F,'01_異動主檔'!$B:$B,104,'01_異動主檔'!$D:$D,A10,'01_異動主檔'!$E:$E,"新增")</f>
        <v/>
      </c>
      <c r="G10" s="4">
        <f>-SUMIFS('01_異動主檔'!$F:$F,'01_異動主檔'!$B:$B,104,'01_異動主檔'!$D:$D,A10,'01_異動主檔'!$E:$E,"減列")</f>
        <v/>
      </c>
      <c r="H10" s="4">
        <f>-SUMIFS('01_異動主檔'!$F:$F,'01_異動主檔'!$B:$B,104,'01_異動主檔'!$D:$D,A10,'01_異動主檔'!$E:$E,"精簡")</f>
        <v/>
      </c>
      <c r="I10" s="8">
        <f>C10+D10+E10+F10+G10+H10</f>
        <v/>
      </c>
    </row>
    <row r="11" ht="18" customHeight="1">
      <c r="A11" s="3" t="inlineStr">
        <is>
          <t>人事處</t>
        </is>
      </c>
      <c r="B11" s="4" t="n">
        <v>105</v>
      </c>
      <c r="C11" s="8">
        <f>I10</f>
        <v/>
      </c>
      <c r="D11" s="4">
        <f>SUMIFS('01_異動主檔'!$F:$F,'01_異動主檔'!$B:$B,105,'01_異動主檔'!$D:$D,A11,'01_異動主檔'!$E:$E,"移入")</f>
        <v/>
      </c>
      <c r="E11" s="4">
        <f>-SUMIFS('01_異動主檔'!$F:$F,'01_異動主檔'!$B:$B,105,'01_異動主檔'!$D:$D,A11,'01_異動主檔'!$E:$E,"移出")</f>
        <v/>
      </c>
      <c r="F11" s="4">
        <f>SUMIFS('01_異動主檔'!$F:$F,'01_異動主檔'!$B:$B,105,'01_異動主檔'!$D:$D,A11,'01_異動主檔'!$E:$E,"新增")</f>
        <v/>
      </c>
      <c r="G11" s="4">
        <f>-SUMIFS('01_異動主檔'!$F:$F,'01_異動主檔'!$B:$B,105,'01_異動主檔'!$D:$D,A11,'01_異動主檔'!$E:$E,"減列")</f>
        <v/>
      </c>
      <c r="H11" s="4">
        <f>-SUMIFS('01_異動主檔'!$F:$F,'01_異動主檔'!$B:$B,105,'01_異動主檔'!$D:$D,A11,'01_異動主檔'!$E:$E,"精簡")</f>
        <v/>
      </c>
      <c r="I11" s="8">
        <f>C11+D11+E11+F11+G11+H11</f>
        <v/>
      </c>
    </row>
    <row r="12" ht="18" customHeight="1">
      <c r="A12" s="5" t="inlineStr">
        <is>
          <t>人事處</t>
        </is>
      </c>
      <c r="B12" s="6" t="n">
        <v>106</v>
      </c>
      <c r="C12" s="8">
        <f>I11</f>
        <v/>
      </c>
      <c r="D12" s="4">
        <f>SUMIFS('01_異動主檔'!$F:$F,'01_異動主檔'!$B:$B,106,'01_異動主檔'!$D:$D,A12,'01_異動主檔'!$E:$E,"移入")</f>
        <v/>
      </c>
      <c r="E12" s="4">
        <f>-SUMIFS('01_異動主檔'!$F:$F,'01_異動主檔'!$B:$B,106,'01_異動主檔'!$D:$D,A12,'01_異動主檔'!$E:$E,"移出")</f>
        <v/>
      </c>
      <c r="F12" s="4">
        <f>SUMIFS('01_異動主檔'!$F:$F,'01_異動主檔'!$B:$B,106,'01_異動主檔'!$D:$D,A12,'01_異動主檔'!$E:$E,"新增")</f>
        <v/>
      </c>
      <c r="G12" s="4">
        <f>-SUMIFS('01_異動主檔'!$F:$F,'01_異動主檔'!$B:$B,106,'01_異動主檔'!$D:$D,A12,'01_異動主檔'!$E:$E,"減列")</f>
        <v/>
      </c>
      <c r="H12" s="4">
        <f>-SUMIFS('01_異動主檔'!$F:$F,'01_異動主檔'!$B:$B,106,'01_異動主檔'!$D:$D,A12,'01_異動主檔'!$E:$E,"精簡")</f>
        <v/>
      </c>
      <c r="I12" s="8">
        <f>C12+D12+E12+F12+G12+H12</f>
        <v/>
      </c>
    </row>
    <row r="13" ht="18" customHeight="1">
      <c r="A13" s="3" t="inlineStr">
        <is>
          <t>人事處</t>
        </is>
      </c>
      <c r="B13" s="4" t="n">
        <v>107</v>
      </c>
      <c r="C13" s="8">
        <f>I12</f>
        <v/>
      </c>
      <c r="D13" s="4">
        <f>SUMIFS('01_異動主檔'!$F:$F,'01_異動主檔'!$B:$B,107,'01_異動主檔'!$D:$D,A13,'01_異動主檔'!$E:$E,"移入")</f>
        <v/>
      </c>
      <c r="E13" s="4">
        <f>-SUMIFS('01_異動主檔'!$F:$F,'01_異動主檔'!$B:$B,107,'01_異動主檔'!$D:$D,A13,'01_異動主檔'!$E:$E,"移出")</f>
        <v/>
      </c>
      <c r="F13" s="4">
        <f>SUMIFS('01_異動主檔'!$F:$F,'01_異動主檔'!$B:$B,107,'01_異動主檔'!$D:$D,A13,'01_異動主檔'!$E:$E,"新增")</f>
        <v/>
      </c>
      <c r="G13" s="4">
        <f>-SUMIFS('01_異動主檔'!$F:$F,'01_異動主檔'!$B:$B,107,'01_異動主檔'!$D:$D,A13,'01_異動主檔'!$E:$E,"減列")</f>
        <v/>
      </c>
      <c r="H13" s="4">
        <f>-SUMIFS('01_異動主檔'!$F:$F,'01_異動主檔'!$B:$B,107,'01_異動主檔'!$D:$D,A13,'01_異動主檔'!$E:$E,"精簡")</f>
        <v/>
      </c>
      <c r="I13" s="8">
        <f>C13+D13+E13+F13+G13+H13</f>
        <v/>
      </c>
    </row>
    <row r="14" ht="18" customHeight="1">
      <c r="A14" s="5" t="inlineStr">
        <is>
          <t>人事處</t>
        </is>
      </c>
      <c r="B14" s="6" t="n">
        <v>108</v>
      </c>
      <c r="C14" s="8">
        <f>I13</f>
        <v/>
      </c>
      <c r="D14" s="4">
        <f>SUMIFS('01_異動主檔'!$F:$F,'01_異動主檔'!$B:$B,108,'01_異動主檔'!$D:$D,A14,'01_異動主檔'!$E:$E,"移入")</f>
        <v/>
      </c>
      <c r="E14" s="4">
        <f>-SUMIFS('01_異動主檔'!$F:$F,'01_異動主檔'!$B:$B,108,'01_異動主檔'!$D:$D,A14,'01_異動主檔'!$E:$E,"移出")</f>
        <v/>
      </c>
      <c r="F14" s="4">
        <f>SUMIFS('01_異動主檔'!$F:$F,'01_異動主檔'!$B:$B,108,'01_異動主檔'!$D:$D,A14,'01_異動主檔'!$E:$E,"新增")</f>
        <v/>
      </c>
      <c r="G14" s="4">
        <f>-SUMIFS('01_異動主檔'!$F:$F,'01_異動主檔'!$B:$B,108,'01_異動主檔'!$D:$D,A14,'01_異動主檔'!$E:$E,"減列")</f>
        <v/>
      </c>
      <c r="H14" s="4">
        <f>-SUMIFS('01_異動主檔'!$F:$F,'01_異動主檔'!$B:$B,108,'01_異動主檔'!$D:$D,A14,'01_異動主檔'!$E:$E,"精簡")</f>
        <v/>
      </c>
      <c r="I14" s="8">
        <f>C14+D14+E14+F14+G14+H14</f>
        <v/>
      </c>
    </row>
    <row r="15" ht="18" customHeight="1">
      <c r="A15" s="3" t="inlineStr">
        <is>
          <t>人事處</t>
        </is>
      </c>
      <c r="B15" s="4" t="n">
        <v>109</v>
      </c>
      <c r="C15" s="8">
        <f>I14</f>
        <v/>
      </c>
      <c r="D15" s="4">
        <f>SUMIFS('01_異動主檔'!$F:$F,'01_異動主檔'!$B:$B,109,'01_異動主檔'!$D:$D,A15,'01_異動主檔'!$E:$E,"移入")</f>
        <v/>
      </c>
      <c r="E15" s="4">
        <f>-SUMIFS('01_異動主檔'!$F:$F,'01_異動主檔'!$B:$B,109,'01_異動主檔'!$D:$D,A15,'01_異動主檔'!$E:$E,"移出")</f>
        <v/>
      </c>
      <c r="F15" s="4">
        <f>SUMIFS('01_異動主檔'!$F:$F,'01_異動主檔'!$B:$B,109,'01_異動主檔'!$D:$D,A15,'01_異動主檔'!$E:$E,"新增")</f>
        <v/>
      </c>
      <c r="G15" s="4">
        <f>-SUMIFS('01_異動主檔'!$F:$F,'01_異動主檔'!$B:$B,109,'01_異動主檔'!$D:$D,A15,'01_異動主檔'!$E:$E,"減列")</f>
        <v/>
      </c>
      <c r="H15" s="4">
        <f>-SUMIFS('01_異動主檔'!$F:$F,'01_異動主檔'!$B:$B,109,'01_異動主檔'!$D:$D,A15,'01_異動主檔'!$E:$E,"精簡")</f>
        <v/>
      </c>
      <c r="I15" s="8">
        <f>C15+D15+E15+F15+G15+H15</f>
        <v/>
      </c>
    </row>
    <row r="16" ht="18" customHeight="1">
      <c r="A16" s="5" t="inlineStr">
        <is>
          <t>人事處</t>
        </is>
      </c>
      <c r="B16" s="6" t="n">
        <v>110</v>
      </c>
      <c r="C16" s="8">
        <f>I15</f>
        <v/>
      </c>
      <c r="D16" s="4">
        <f>SUMIFS('01_異動主檔'!$F:$F,'01_異動主檔'!$B:$B,110,'01_異動主檔'!$D:$D,A16,'01_異動主檔'!$E:$E,"移入")</f>
        <v/>
      </c>
      <c r="E16" s="4">
        <f>-SUMIFS('01_異動主檔'!$F:$F,'01_異動主檔'!$B:$B,110,'01_異動主檔'!$D:$D,A16,'01_異動主檔'!$E:$E,"移出")</f>
        <v/>
      </c>
      <c r="F16" s="4">
        <f>SUMIFS('01_異動主檔'!$F:$F,'01_異動主檔'!$B:$B,110,'01_異動主檔'!$D:$D,A16,'01_異動主檔'!$E:$E,"新增")</f>
        <v/>
      </c>
      <c r="G16" s="4">
        <f>-SUMIFS('01_異動主檔'!$F:$F,'01_異動主檔'!$B:$B,110,'01_異動主檔'!$D:$D,A16,'01_異動主檔'!$E:$E,"減列")</f>
        <v/>
      </c>
      <c r="H16" s="4">
        <f>-SUMIFS('01_異動主檔'!$F:$F,'01_異動主檔'!$B:$B,110,'01_異動主檔'!$D:$D,A16,'01_異動主檔'!$E:$E,"精簡")</f>
        <v/>
      </c>
      <c r="I16" s="8">
        <f>C16+D16+E16+F16+G16+H16</f>
        <v/>
      </c>
    </row>
    <row r="17" ht="18" customHeight="1">
      <c r="A17" s="3" t="inlineStr">
        <is>
          <t>人事處</t>
        </is>
      </c>
      <c r="B17" s="4" t="n">
        <v>111</v>
      </c>
      <c r="C17" s="8">
        <f>I16</f>
        <v/>
      </c>
      <c r="D17" s="4">
        <f>SUMIFS('01_異動主檔'!$F:$F,'01_異動主檔'!$B:$B,111,'01_異動主檔'!$D:$D,A17,'01_異動主檔'!$E:$E,"移入")</f>
        <v/>
      </c>
      <c r="E17" s="4">
        <f>-SUMIFS('01_異動主檔'!$F:$F,'01_異動主檔'!$B:$B,111,'01_異動主檔'!$D:$D,A17,'01_異動主檔'!$E:$E,"移出")</f>
        <v/>
      </c>
      <c r="F17" s="4">
        <f>SUMIFS('01_異動主檔'!$F:$F,'01_異動主檔'!$B:$B,111,'01_異動主檔'!$D:$D,A17,'01_異動主檔'!$E:$E,"新增")</f>
        <v/>
      </c>
      <c r="G17" s="4">
        <f>-SUMIFS('01_異動主檔'!$F:$F,'01_異動主檔'!$B:$B,111,'01_異動主檔'!$D:$D,A17,'01_異動主檔'!$E:$E,"減列")</f>
        <v/>
      </c>
      <c r="H17" s="4">
        <f>-SUMIFS('01_異動主檔'!$F:$F,'01_異動主檔'!$B:$B,111,'01_異動主檔'!$D:$D,A17,'01_異動主檔'!$E:$E,"精簡")</f>
        <v/>
      </c>
      <c r="I17" s="8">
        <f>C17+D17+E17+F17+G17+H17</f>
        <v/>
      </c>
    </row>
    <row r="18" ht="18" customHeight="1">
      <c r="A18" s="5" t="inlineStr">
        <is>
          <t>人事處</t>
        </is>
      </c>
      <c r="B18" s="6" t="n">
        <v>112</v>
      </c>
      <c r="C18" s="8">
        <f>I17</f>
        <v/>
      </c>
      <c r="D18" s="4">
        <f>SUMIFS('01_異動主檔'!$F:$F,'01_異動主檔'!$B:$B,112,'01_異動主檔'!$D:$D,A18,'01_異動主檔'!$E:$E,"移入")</f>
        <v/>
      </c>
      <c r="E18" s="4">
        <f>-SUMIFS('01_異動主檔'!$F:$F,'01_異動主檔'!$B:$B,112,'01_異動主檔'!$D:$D,A18,'01_異動主檔'!$E:$E,"移出")</f>
        <v/>
      </c>
      <c r="F18" s="4">
        <f>SUMIFS('01_異動主檔'!$F:$F,'01_異動主檔'!$B:$B,112,'01_異動主檔'!$D:$D,A18,'01_異動主檔'!$E:$E,"新增")</f>
        <v/>
      </c>
      <c r="G18" s="4">
        <f>-SUMIFS('01_異動主檔'!$F:$F,'01_異動主檔'!$B:$B,112,'01_異動主檔'!$D:$D,A18,'01_異動主檔'!$E:$E,"減列")</f>
        <v/>
      </c>
      <c r="H18" s="4">
        <f>-SUMIFS('01_異動主檔'!$F:$F,'01_異動主檔'!$B:$B,112,'01_異動主檔'!$D:$D,A18,'01_異動主檔'!$E:$E,"精簡")</f>
        <v/>
      </c>
      <c r="I18" s="8">
        <f>C18+D18+E18+F18+G18+H18</f>
        <v/>
      </c>
    </row>
    <row r="19" ht="18" customHeight="1">
      <c r="A19" s="3" t="inlineStr">
        <is>
          <t>人事處</t>
        </is>
      </c>
      <c r="B19" s="4" t="n">
        <v>113</v>
      </c>
      <c r="C19" s="8">
        <f>I18</f>
        <v/>
      </c>
      <c r="D19" s="4">
        <f>SUMIFS('01_異動主檔'!$F:$F,'01_異動主檔'!$B:$B,113,'01_異動主檔'!$D:$D,A19,'01_異動主檔'!$E:$E,"移入")</f>
        <v/>
      </c>
      <c r="E19" s="4">
        <f>-SUMIFS('01_異動主檔'!$F:$F,'01_異動主檔'!$B:$B,113,'01_異動主檔'!$D:$D,A19,'01_異動主檔'!$E:$E,"移出")</f>
        <v/>
      </c>
      <c r="F19" s="4">
        <f>SUMIFS('01_異動主檔'!$F:$F,'01_異動主檔'!$B:$B,113,'01_異動主檔'!$D:$D,A19,'01_異動主檔'!$E:$E,"新增")</f>
        <v/>
      </c>
      <c r="G19" s="4">
        <f>-SUMIFS('01_異動主檔'!$F:$F,'01_異動主檔'!$B:$B,113,'01_異動主檔'!$D:$D,A19,'01_異動主檔'!$E:$E,"減列")</f>
        <v/>
      </c>
      <c r="H19" s="4">
        <f>-SUMIFS('01_異動主檔'!$F:$F,'01_異動主檔'!$B:$B,113,'01_異動主檔'!$D:$D,A19,'01_異動主檔'!$E:$E,"精簡")</f>
        <v/>
      </c>
      <c r="I19" s="8">
        <f>C19+D19+E19+F19+G19+H19</f>
        <v/>
      </c>
    </row>
    <row r="20" ht="18" customHeight="1">
      <c r="A20" s="5" t="inlineStr">
        <is>
          <t>人事處</t>
        </is>
      </c>
      <c r="B20" s="6" t="n">
        <v>114</v>
      </c>
      <c r="C20" s="8">
        <f>I19</f>
        <v/>
      </c>
      <c r="D20" s="4">
        <f>SUMIFS('01_異動主檔'!$F:$F,'01_異動主檔'!$B:$B,114,'01_異動主檔'!$D:$D,A20,'01_異動主檔'!$E:$E,"移入")</f>
        <v/>
      </c>
      <c r="E20" s="4">
        <f>-SUMIFS('01_異動主檔'!$F:$F,'01_異動主檔'!$B:$B,114,'01_異動主檔'!$D:$D,A20,'01_異動主檔'!$E:$E,"移出")</f>
        <v/>
      </c>
      <c r="F20" s="4">
        <f>SUMIFS('01_異動主檔'!$F:$F,'01_異動主檔'!$B:$B,114,'01_異動主檔'!$D:$D,A20,'01_異動主檔'!$E:$E,"新增")</f>
        <v/>
      </c>
      <c r="G20" s="4">
        <f>-SUMIFS('01_異動主檔'!$F:$F,'01_異動主檔'!$B:$B,114,'01_異動主檔'!$D:$D,A20,'01_異動主檔'!$E:$E,"減列")</f>
        <v/>
      </c>
      <c r="H20" s="4">
        <f>-SUMIFS('01_異動主檔'!$F:$F,'01_異動主檔'!$B:$B,114,'01_異動主檔'!$D:$D,A20,'01_異動主檔'!$E:$E,"精簡")</f>
        <v/>
      </c>
      <c r="I20" s="8">
        <f>C20+D20+E20+F20+G20+H20</f>
        <v/>
      </c>
    </row>
    <row r="21" ht="18" customHeight="1">
      <c r="A21" s="3" t="inlineStr">
        <is>
          <t>人事處</t>
        </is>
      </c>
      <c r="B21" s="4" t="n">
        <v>115</v>
      </c>
      <c r="C21" s="8">
        <f>I20</f>
        <v/>
      </c>
      <c r="D21" s="4">
        <f>SUMIFS('01_異動主檔'!$F:$F,'01_異動主檔'!$B:$B,115,'01_異動主檔'!$D:$D,A21,'01_異動主檔'!$E:$E,"移入")</f>
        <v/>
      </c>
      <c r="E21" s="4">
        <f>-SUMIFS('01_異動主檔'!$F:$F,'01_異動主檔'!$B:$B,115,'01_異動主檔'!$D:$D,A21,'01_異動主檔'!$E:$E,"移出")</f>
        <v/>
      </c>
      <c r="F21" s="4">
        <f>SUMIFS('01_異動主檔'!$F:$F,'01_異動主檔'!$B:$B,115,'01_異動主檔'!$D:$D,A21,'01_異動主檔'!$E:$E,"新增")</f>
        <v/>
      </c>
      <c r="G21" s="4">
        <f>-SUMIFS('01_異動主檔'!$F:$F,'01_異動主檔'!$B:$B,115,'01_異動主檔'!$D:$D,A21,'01_異動主檔'!$E:$E,"減列")</f>
        <v/>
      </c>
      <c r="H21" s="4">
        <f>-SUMIFS('01_異動主檔'!$F:$F,'01_異動主檔'!$B:$B,115,'01_異動主檔'!$D:$D,A21,'01_異動主檔'!$E:$E,"精簡")</f>
        <v/>
      </c>
      <c r="I21" s="8">
        <f>C21+D21+E21+F21+G21+H21</f>
        <v/>
      </c>
    </row>
    <row r="22" ht="18" customHeight="1">
      <c r="A22" s="5" t="inlineStr">
        <is>
          <t>人事處</t>
        </is>
      </c>
      <c r="B22" s="6" t="n">
        <v>116</v>
      </c>
      <c r="C22" s="8">
        <f>I21</f>
        <v/>
      </c>
      <c r="D22" s="4">
        <f>SUMIFS('01_異動主檔'!$F:$F,'01_異動主檔'!$B:$B,116,'01_異動主檔'!$D:$D,A22,'01_異動主檔'!$E:$E,"移入")</f>
        <v/>
      </c>
      <c r="E22" s="4">
        <f>-SUMIFS('01_異動主檔'!$F:$F,'01_異動主檔'!$B:$B,116,'01_異動主檔'!$D:$D,A22,'01_異動主檔'!$E:$E,"移出")</f>
        <v/>
      </c>
      <c r="F22" s="4">
        <f>SUMIFS('01_異動主檔'!$F:$F,'01_異動主檔'!$B:$B,116,'01_異動主檔'!$D:$D,A22,'01_異動主檔'!$E:$E,"新增")</f>
        <v/>
      </c>
      <c r="G22" s="4">
        <f>-SUMIFS('01_異動主檔'!$F:$F,'01_異動主檔'!$B:$B,116,'01_異動主檔'!$D:$D,A22,'01_異動主檔'!$E:$E,"減列")</f>
        <v/>
      </c>
      <c r="H22" s="4">
        <f>-SUMIFS('01_異動主檔'!$F:$F,'01_異動主檔'!$B:$B,116,'01_異動主檔'!$D:$D,A22,'01_異動主檔'!$E:$E,"精簡")</f>
        <v/>
      </c>
      <c r="I22" s="8">
        <f>C22+D22+E22+F22+G22+H22</f>
        <v/>
      </c>
    </row>
    <row r="23" ht="18" customHeight="1">
      <c r="A23" s="3" t="inlineStr">
        <is>
          <t>人事處</t>
        </is>
      </c>
      <c r="B23" s="4" t="n">
        <v>117</v>
      </c>
      <c r="C23" s="8">
        <f>I22</f>
        <v/>
      </c>
      <c r="D23" s="4">
        <f>SUMIFS('01_異動主檔'!$F:$F,'01_異動主檔'!$B:$B,117,'01_異動主檔'!$D:$D,A23,'01_異動主檔'!$E:$E,"移入")</f>
        <v/>
      </c>
      <c r="E23" s="4">
        <f>-SUMIFS('01_異動主檔'!$F:$F,'01_異動主檔'!$B:$B,117,'01_異動主檔'!$D:$D,A23,'01_異動主檔'!$E:$E,"移出")</f>
        <v/>
      </c>
      <c r="F23" s="4">
        <f>SUMIFS('01_異動主檔'!$F:$F,'01_異動主檔'!$B:$B,117,'01_異動主檔'!$D:$D,A23,'01_異動主檔'!$E:$E,"新增")</f>
        <v/>
      </c>
      <c r="G23" s="4">
        <f>-SUMIFS('01_異動主檔'!$F:$F,'01_異動主檔'!$B:$B,117,'01_異動主檔'!$D:$D,A23,'01_異動主檔'!$E:$E,"減列")</f>
        <v/>
      </c>
      <c r="H23" s="4">
        <f>-SUMIFS('01_異動主檔'!$F:$F,'01_異動主檔'!$B:$B,117,'01_異動主檔'!$D:$D,A23,'01_異動主檔'!$E:$E,"精簡")</f>
        <v/>
      </c>
      <c r="I23" s="8">
        <f>C23+D23+E23+F23+G23+H23</f>
        <v/>
      </c>
    </row>
    <row r="24" ht="18" customHeight="1">
      <c r="A24" s="5" t="inlineStr">
        <is>
          <t>人事處</t>
        </is>
      </c>
      <c r="B24" s="6" t="n">
        <v>118</v>
      </c>
      <c r="C24" s="8">
        <f>I23</f>
        <v/>
      </c>
      <c r="D24" s="4">
        <f>SUMIFS('01_異動主檔'!$F:$F,'01_異動主檔'!$B:$B,118,'01_異動主檔'!$D:$D,A24,'01_異動主檔'!$E:$E,"移入")</f>
        <v/>
      </c>
      <c r="E24" s="4">
        <f>-SUMIFS('01_異動主檔'!$F:$F,'01_異動主檔'!$B:$B,118,'01_異動主檔'!$D:$D,A24,'01_異動主檔'!$E:$E,"移出")</f>
        <v/>
      </c>
      <c r="F24" s="4">
        <f>SUMIFS('01_異動主檔'!$F:$F,'01_異動主檔'!$B:$B,118,'01_異動主檔'!$D:$D,A24,'01_異動主檔'!$E:$E,"新增")</f>
        <v/>
      </c>
      <c r="G24" s="4">
        <f>-SUMIFS('01_異動主檔'!$F:$F,'01_異動主檔'!$B:$B,118,'01_異動主檔'!$D:$D,A24,'01_異動主檔'!$E:$E,"減列")</f>
        <v/>
      </c>
      <c r="H24" s="4">
        <f>-SUMIFS('01_異動主檔'!$F:$F,'01_異動主檔'!$B:$B,118,'01_異動主檔'!$D:$D,A24,'01_異動主檔'!$E:$E,"精簡")</f>
        <v/>
      </c>
      <c r="I24" s="8">
        <f>C24+D24+E24+F24+G24+H24</f>
        <v/>
      </c>
    </row>
    <row r="25" ht="18" customHeight="1">
      <c r="A25" s="3" t="inlineStr">
        <is>
          <t>人事處</t>
        </is>
      </c>
      <c r="B25" s="4" t="n">
        <v>119</v>
      </c>
      <c r="C25" s="8">
        <f>I24</f>
        <v/>
      </c>
      <c r="D25" s="4">
        <f>SUMIFS('01_異動主檔'!$F:$F,'01_異動主檔'!$B:$B,119,'01_異動主檔'!$D:$D,A25,'01_異動主檔'!$E:$E,"移入")</f>
        <v/>
      </c>
      <c r="E25" s="4">
        <f>-SUMIFS('01_異動主檔'!$F:$F,'01_異動主檔'!$B:$B,119,'01_異動主檔'!$D:$D,A25,'01_異動主檔'!$E:$E,"移出")</f>
        <v/>
      </c>
      <c r="F25" s="4">
        <f>SUMIFS('01_異動主檔'!$F:$F,'01_異動主檔'!$B:$B,119,'01_異動主檔'!$D:$D,A25,'01_異動主檔'!$E:$E,"新增")</f>
        <v/>
      </c>
      <c r="G25" s="4">
        <f>-SUMIFS('01_異動主檔'!$F:$F,'01_異動主檔'!$B:$B,119,'01_異動主檔'!$D:$D,A25,'01_異動主檔'!$E:$E,"減列")</f>
        <v/>
      </c>
      <c r="H25" s="4">
        <f>-SUMIFS('01_異動主檔'!$F:$F,'01_異動主檔'!$B:$B,119,'01_異動主檔'!$D:$D,A25,'01_異動主檔'!$E:$E,"精簡")</f>
        <v/>
      </c>
      <c r="I25" s="8">
        <f>C25+D25+E25+F25+G25+H25</f>
        <v/>
      </c>
    </row>
    <row r="26" ht="18" customHeight="1">
      <c r="A26" s="5" t="inlineStr">
        <is>
          <t>人事處</t>
        </is>
      </c>
      <c r="B26" s="6" t="n">
        <v>120</v>
      </c>
      <c r="C26" s="8">
        <f>I25</f>
        <v/>
      </c>
      <c r="D26" s="4">
        <f>SUMIFS('01_異動主檔'!$F:$F,'01_異動主檔'!$B:$B,120,'01_異動主檔'!$D:$D,A26,'01_異動主檔'!$E:$E,"移入")</f>
        <v/>
      </c>
      <c r="E26" s="4">
        <f>-SUMIFS('01_異動主檔'!$F:$F,'01_異動主檔'!$B:$B,120,'01_異動主檔'!$D:$D,A26,'01_異動主檔'!$E:$E,"移出")</f>
        <v/>
      </c>
      <c r="F26" s="4">
        <f>SUMIFS('01_異動主檔'!$F:$F,'01_異動主檔'!$B:$B,120,'01_異動主檔'!$D:$D,A26,'01_異動主檔'!$E:$E,"新增")</f>
        <v/>
      </c>
      <c r="G26" s="4">
        <f>-SUMIFS('01_異動主檔'!$F:$F,'01_異動主檔'!$B:$B,120,'01_異動主檔'!$D:$D,A26,'01_異動主檔'!$E:$E,"減列")</f>
        <v/>
      </c>
      <c r="H26" s="4">
        <f>-SUMIFS('01_異動主檔'!$F:$F,'01_異動主檔'!$B:$B,120,'01_異動主檔'!$D:$D,A26,'01_異動主檔'!$E:$E,"精簡")</f>
        <v/>
      </c>
      <c r="I26" s="8">
        <f>C26+D26+E26+F26+G26+H26</f>
        <v/>
      </c>
    </row>
    <row r="27" ht="18" customHeight="1">
      <c r="A27" s="3" t="inlineStr">
        <is>
          <t>人事處</t>
        </is>
      </c>
      <c r="B27" s="4" t="n">
        <v>121</v>
      </c>
      <c r="C27" s="8">
        <f>I26</f>
        <v/>
      </c>
      <c r="D27" s="4">
        <f>SUMIFS('01_異動主檔'!$F:$F,'01_異動主檔'!$B:$B,121,'01_異動主檔'!$D:$D,A27,'01_異動主檔'!$E:$E,"移入")</f>
        <v/>
      </c>
      <c r="E27" s="4">
        <f>-SUMIFS('01_異動主檔'!$F:$F,'01_異動主檔'!$B:$B,121,'01_異動主檔'!$D:$D,A27,'01_異動主檔'!$E:$E,"移出")</f>
        <v/>
      </c>
      <c r="F27" s="4">
        <f>SUMIFS('01_異動主檔'!$F:$F,'01_異動主檔'!$B:$B,121,'01_異動主檔'!$D:$D,A27,'01_異動主檔'!$E:$E,"新增")</f>
        <v/>
      </c>
      <c r="G27" s="4">
        <f>-SUMIFS('01_異動主檔'!$F:$F,'01_異動主檔'!$B:$B,121,'01_異動主檔'!$D:$D,A27,'01_異動主檔'!$E:$E,"減列")</f>
        <v/>
      </c>
      <c r="H27" s="4">
        <f>-SUMIFS('01_異動主檔'!$F:$F,'01_異動主檔'!$B:$B,121,'01_異動主檔'!$D:$D,A27,'01_異動主檔'!$E:$E,"精簡")</f>
        <v/>
      </c>
      <c r="I27" s="8">
        <f>C27+D27+E27+F27+G27+H27</f>
        <v/>
      </c>
    </row>
    <row r="28" ht="18" customHeight="1">
      <c r="A28" s="5" t="inlineStr">
        <is>
          <t>人事處</t>
        </is>
      </c>
      <c r="B28" s="6" t="n">
        <v>122</v>
      </c>
      <c r="C28" s="8">
        <f>I27</f>
        <v/>
      </c>
      <c r="D28" s="4">
        <f>SUMIFS('01_異動主檔'!$F:$F,'01_異動主檔'!$B:$B,122,'01_異動主檔'!$D:$D,A28,'01_異動主檔'!$E:$E,"移入")</f>
        <v/>
      </c>
      <c r="E28" s="4">
        <f>-SUMIFS('01_異動主檔'!$F:$F,'01_異動主檔'!$B:$B,122,'01_異動主檔'!$D:$D,A28,'01_異動主檔'!$E:$E,"移出")</f>
        <v/>
      </c>
      <c r="F28" s="4">
        <f>SUMIFS('01_異動主檔'!$F:$F,'01_異動主檔'!$B:$B,122,'01_異動主檔'!$D:$D,A28,'01_異動主檔'!$E:$E,"新增")</f>
        <v/>
      </c>
      <c r="G28" s="4">
        <f>-SUMIFS('01_異動主檔'!$F:$F,'01_異動主檔'!$B:$B,122,'01_異動主檔'!$D:$D,A28,'01_異動主檔'!$E:$E,"減列")</f>
        <v/>
      </c>
      <c r="H28" s="4">
        <f>-SUMIFS('01_異動主檔'!$F:$F,'01_異動主檔'!$B:$B,122,'01_異動主檔'!$D:$D,A28,'01_異動主檔'!$E:$E,"精簡")</f>
        <v/>
      </c>
      <c r="I28" s="8">
        <f>C28+D28+E28+F28+G28+H28</f>
        <v/>
      </c>
    </row>
    <row r="29" ht="18" customHeight="1">
      <c r="A29" s="3" t="inlineStr">
        <is>
          <t>人事處</t>
        </is>
      </c>
      <c r="B29" s="4" t="n">
        <v>123</v>
      </c>
      <c r="C29" s="8">
        <f>I28</f>
        <v/>
      </c>
      <c r="D29" s="4">
        <f>SUMIFS('01_異動主檔'!$F:$F,'01_異動主檔'!$B:$B,123,'01_異動主檔'!$D:$D,A29,'01_異動主檔'!$E:$E,"移入")</f>
        <v/>
      </c>
      <c r="E29" s="4">
        <f>-SUMIFS('01_異動主檔'!$F:$F,'01_異動主檔'!$B:$B,123,'01_異動主檔'!$D:$D,A29,'01_異動主檔'!$E:$E,"移出")</f>
        <v/>
      </c>
      <c r="F29" s="4">
        <f>SUMIFS('01_異動主檔'!$F:$F,'01_異動主檔'!$B:$B,123,'01_異動主檔'!$D:$D,A29,'01_異動主檔'!$E:$E,"新增")</f>
        <v/>
      </c>
      <c r="G29" s="4">
        <f>-SUMIFS('01_異動主檔'!$F:$F,'01_異動主檔'!$B:$B,123,'01_異動主檔'!$D:$D,A29,'01_異動主檔'!$E:$E,"減列")</f>
        <v/>
      </c>
      <c r="H29" s="4">
        <f>-SUMIFS('01_異動主檔'!$F:$F,'01_異動主檔'!$B:$B,123,'01_異動主檔'!$D:$D,A29,'01_異動主檔'!$E:$E,"精簡")</f>
        <v/>
      </c>
      <c r="I29" s="8">
        <f>C29+D29+E29+F29+G29+H29</f>
        <v/>
      </c>
    </row>
    <row r="30" ht="18" customHeight="1">
      <c r="A30" s="5" t="inlineStr">
        <is>
          <t>人事處</t>
        </is>
      </c>
      <c r="B30" s="6" t="n">
        <v>124</v>
      </c>
      <c r="C30" s="8">
        <f>I29</f>
        <v/>
      </c>
      <c r="D30" s="4">
        <f>SUMIFS('01_異動主檔'!$F:$F,'01_異動主檔'!$B:$B,124,'01_異動主檔'!$D:$D,A30,'01_異動主檔'!$E:$E,"移入")</f>
        <v/>
      </c>
      <c r="E30" s="4">
        <f>-SUMIFS('01_異動主檔'!$F:$F,'01_異動主檔'!$B:$B,124,'01_異動主檔'!$D:$D,A30,'01_異動主檔'!$E:$E,"移出")</f>
        <v/>
      </c>
      <c r="F30" s="4">
        <f>SUMIFS('01_異動主檔'!$F:$F,'01_異動主檔'!$B:$B,124,'01_異動主檔'!$D:$D,A30,'01_異動主檔'!$E:$E,"新增")</f>
        <v/>
      </c>
      <c r="G30" s="4">
        <f>-SUMIFS('01_異動主檔'!$F:$F,'01_異動主檔'!$B:$B,124,'01_異動主檔'!$D:$D,A30,'01_異動主檔'!$E:$E,"減列")</f>
        <v/>
      </c>
      <c r="H30" s="4">
        <f>-SUMIFS('01_異動主檔'!$F:$F,'01_異動主檔'!$B:$B,124,'01_異動主檔'!$D:$D,A30,'01_異動主檔'!$E:$E,"精簡")</f>
        <v/>
      </c>
      <c r="I30" s="8">
        <f>C30+D30+E30+F30+G30+H30</f>
        <v/>
      </c>
    </row>
    <row r="31" ht="18" customHeight="1">
      <c r="A31" s="3" t="inlineStr">
        <is>
          <t>人事處</t>
        </is>
      </c>
      <c r="B31" s="4" t="n">
        <v>125</v>
      </c>
      <c r="C31" s="8">
        <f>I30</f>
        <v/>
      </c>
      <c r="D31" s="4">
        <f>SUMIFS('01_異動主檔'!$F:$F,'01_異動主檔'!$B:$B,125,'01_異動主檔'!$D:$D,A31,'01_異動主檔'!$E:$E,"移入")</f>
        <v/>
      </c>
      <c r="E31" s="4">
        <f>-SUMIFS('01_異動主檔'!$F:$F,'01_異動主檔'!$B:$B,125,'01_異動主檔'!$D:$D,A31,'01_異動主檔'!$E:$E,"移出")</f>
        <v/>
      </c>
      <c r="F31" s="4">
        <f>SUMIFS('01_異動主檔'!$F:$F,'01_異動主檔'!$B:$B,125,'01_異動主檔'!$D:$D,A31,'01_異動主檔'!$E:$E,"新增")</f>
        <v/>
      </c>
      <c r="G31" s="4">
        <f>-SUMIFS('01_異動主檔'!$F:$F,'01_異動主檔'!$B:$B,125,'01_異動主檔'!$D:$D,A31,'01_異動主檔'!$E:$E,"減列")</f>
        <v/>
      </c>
      <c r="H31" s="4">
        <f>-SUMIFS('01_異動主檔'!$F:$F,'01_異動主檔'!$B:$B,125,'01_異動主檔'!$D:$D,A31,'01_異動主檔'!$E:$E,"精簡")</f>
        <v/>
      </c>
      <c r="I31" s="8">
        <f>C31+D31+E31+F31+G31+H31</f>
        <v/>
      </c>
    </row>
    <row r="32" ht="18" customHeight="1">
      <c r="A32" s="5" t="inlineStr">
        <is>
          <t>會計處</t>
        </is>
      </c>
      <c r="B32" s="6" t="n">
        <v>99</v>
      </c>
      <c r="C32" s="8">
        <f>'02_年初員額設定'!B6</f>
        <v/>
      </c>
      <c r="D32" s="4">
        <f>SUMIFS('01_異動主檔'!$F:$F,'01_異動主檔'!$B:$B,99,'01_異動主檔'!$D:$D,A32,'01_異動主檔'!$E:$E,"移入")</f>
        <v/>
      </c>
      <c r="E32" s="4">
        <f>-SUMIFS('01_異動主檔'!$F:$F,'01_異動主檔'!$B:$B,99,'01_異動主檔'!$D:$D,A32,'01_異動主檔'!$E:$E,"移出")</f>
        <v/>
      </c>
      <c r="F32" s="4">
        <f>SUMIFS('01_異動主檔'!$F:$F,'01_異動主檔'!$B:$B,99,'01_異動主檔'!$D:$D,A32,'01_異動主檔'!$E:$E,"新增")</f>
        <v/>
      </c>
      <c r="G32" s="4">
        <f>-SUMIFS('01_異動主檔'!$F:$F,'01_異動主檔'!$B:$B,99,'01_異動主檔'!$D:$D,A32,'01_異動主檔'!$E:$E,"減列")</f>
        <v/>
      </c>
      <c r="H32" s="4">
        <f>-SUMIFS('01_異動主檔'!$F:$F,'01_異動主檔'!$B:$B,99,'01_異動主檔'!$D:$D,A32,'01_異動主檔'!$E:$E,"精簡")</f>
        <v/>
      </c>
      <c r="I32" s="8">
        <f>C32+D32+E32+F32+G32+H32</f>
        <v/>
      </c>
    </row>
    <row r="33" ht="18" customHeight="1">
      <c r="A33" s="3" t="inlineStr">
        <is>
          <t>會計處</t>
        </is>
      </c>
      <c r="B33" s="4" t="n">
        <v>100</v>
      </c>
      <c r="C33" s="8">
        <f>I32</f>
        <v/>
      </c>
      <c r="D33" s="4">
        <f>SUMIFS('01_異動主檔'!$F:$F,'01_異動主檔'!$B:$B,100,'01_異動主檔'!$D:$D,A33,'01_異動主檔'!$E:$E,"移入")</f>
        <v/>
      </c>
      <c r="E33" s="4">
        <f>-SUMIFS('01_異動主檔'!$F:$F,'01_異動主檔'!$B:$B,100,'01_異動主檔'!$D:$D,A33,'01_異動主檔'!$E:$E,"移出")</f>
        <v/>
      </c>
      <c r="F33" s="4">
        <f>SUMIFS('01_異動主檔'!$F:$F,'01_異動主檔'!$B:$B,100,'01_異動主檔'!$D:$D,A33,'01_異動主檔'!$E:$E,"新增")</f>
        <v/>
      </c>
      <c r="G33" s="4">
        <f>-SUMIFS('01_異動主檔'!$F:$F,'01_異動主檔'!$B:$B,100,'01_異動主檔'!$D:$D,A33,'01_異動主檔'!$E:$E,"減列")</f>
        <v/>
      </c>
      <c r="H33" s="4">
        <f>-SUMIFS('01_異動主檔'!$F:$F,'01_異動主檔'!$B:$B,100,'01_異動主檔'!$D:$D,A33,'01_異動主檔'!$E:$E,"精簡")</f>
        <v/>
      </c>
      <c r="I33" s="8">
        <f>C33+D33+E33+F33+G33+H33</f>
        <v/>
      </c>
    </row>
    <row r="34" ht="18" customHeight="1">
      <c r="A34" s="5" t="inlineStr">
        <is>
          <t>會計處</t>
        </is>
      </c>
      <c r="B34" s="6" t="n">
        <v>101</v>
      </c>
      <c r="C34" s="8">
        <f>I33</f>
        <v/>
      </c>
      <c r="D34" s="4">
        <f>SUMIFS('01_異動主檔'!$F:$F,'01_異動主檔'!$B:$B,101,'01_異動主檔'!$D:$D,A34,'01_異動主檔'!$E:$E,"移入")</f>
        <v/>
      </c>
      <c r="E34" s="4">
        <f>-SUMIFS('01_異動主檔'!$F:$F,'01_異動主檔'!$B:$B,101,'01_異動主檔'!$D:$D,A34,'01_異動主檔'!$E:$E,"移出")</f>
        <v/>
      </c>
      <c r="F34" s="4">
        <f>SUMIFS('01_異動主檔'!$F:$F,'01_異動主檔'!$B:$B,101,'01_異動主檔'!$D:$D,A34,'01_異動主檔'!$E:$E,"新增")</f>
        <v/>
      </c>
      <c r="G34" s="4">
        <f>-SUMIFS('01_異動主檔'!$F:$F,'01_異動主檔'!$B:$B,101,'01_異動主檔'!$D:$D,A34,'01_異動主檔'!$E:$E,"減列")</f>
        <v/>
      </c>
      <c r="H34" s="4">
        <f>-SUMIFS('01_異動主檔'!$F:$F,'01_異動主檔'!$B:$B,101,'01_異動主檔'!$D:$D,A34,'01_異動主檔'!$E:$E,"精簡")</f>
        <v/>
      </c>
      <c r="I34" s="8">
        <f>C34+D34+E34+F34+G34+H34</f>
        <v/>
      </c>
    </row>
    <row r="35" ht="18" customHeight="1">
      <c r="A35" s="3" t="inlineStr">
        <is>
          <t>會計處</t>
        </is>
      </c>
      <c r="B35" s="4" t="n">
        <v>102</v>
      </c>
      <c r="C35" s="8">
        <f>I34</f>
        <v/>
      </c>
      <c r="D35" s="4">
        <f>SUMIFS('01_異動主檔'!$F:$F,'01_異動主檔'!$B:$B,102,'01_異動主檔'!$D:$D,A35,'01_異動主檔'!$E:$E,"移入")</f>
        <v/>
      </c>
      <c r="E35" s="4">
        <f>-SUMIFS('01_異動主檔'!$F:$F,'01_異動主檔'!$B:$B,102,'01_異動主檔'!$D:$D,A35,'01_異動主檔'!$E:$E,"移出")</f>
        <v/>
      </c>
      <c r="F35" s="4">
        <f>SUMIFS('01_異動主檔'!$F:$F,'01_異動主檔'!$B:$B,102,'01_異動主檔'!$D:$D,A35,'01_異動主檔'!$E:$E,"新增")</f>
        <v/>
      </c>
      <c r="G35" s="4">
        <f>-SUMIFS('01_異動主檔'!$F:$F,'01_異動主檔'!$B:$B,102,'01_異動主檔'!$D:$D,A35,'01_異動主檔'!$E:$E,"減列")</f>
        <v/>
      </c>
      <c r="H35" s="4">
        <f>-SUMIFS('01_異動主檔'!$F:$F,'01_異動主檔'!$B:$B,102,'01_異動主檔'!$D:$D,A35,'01_異動主檔'!$E:$E,"精簡")</f>
        <v/>
      </c>
      <c r="I35" s="8">
        <f>C35+D35+E35+F35+G35+H35</f>
        <v/>
      </c>
    </row>
    <row r="36" ht="18" customHeight="1">
      <c r="A36" s="5" t="inlineStr">
        <is>
          <t>會計處</t>
        </is>
      </c>
      <c r="B36" s="6" t="n">
        <v>103</v>
      </c>
      <c r="C36" s="8">
        <f>I35</f>
        <v/>
      </c>
      <c r="D36" s="4">
        <f>SUMIFS('01_異動主檔'!$F:$F,'01_異動主檔'!$B:$B,103,'01_異動主檔'!$D:$D,A36,'01_異動主檔'!$E:$E,"移入")</f>
        <v/>
      </c>
      <c r="E36" s="4">
        <f>-SUMIFS('01_異動主檔'!$F:$F,'01_異動主檔'!$B:$B,103,'01_異動主檔'!$D:$D,A36,'01_異動主檔'!$E:$E,"移出")</f>
        <v/>
      </c>
      <c r="F36" s="4">
        <f>SUMIFS('01_異動主檔'!$F:$F,'01_異動主檔'!$B:$B,103,'01_異動主檔'!$D:$D,A36,'01_異動主檔'!$E:$E,"新增")</f>
        <v/>
      </c>
      <c r="G36" s="4">
        <f>-SUMIFS('01_異動主檔'!$F:$F,'01_異動主檔'!$B:$B,103,'01_異動主檔'!$D:$D,A36,'01_異動主檔'!$E:$E,"減列")</f>
        <v/>
      </c>
      <c r="H36" s="4">
        <f>-SUMIFS('01_異動主檔'!$F:$F,'01_異動主檔'!$B:$B,103,'01_異動主檔'!$D:$D,A36,'01_異動主檔'!$E:$E,"精簡")</f>
        <v/>
      </c>
      <c r="I36" s="8">
        <f>C36+D36+E36+F36+G36+H36</f>
        <v/>
      </c>
    </row>
    <row r="37" ht="18" customHeight="1">
      <c r="A37" s="3" t="inlineStr">
        <is>
          <t>會計處</t>
        </is>
      </c>
      <c r="B37" s="4" t="n">
        <v>104</v>
      </c>
      <c r="C37" s="8">
        <f>I36</f>
        <v/>
      </c>
      <c r="D37" s="4">
        <f>SUMIFS('01_異動主檔'!$F:$F,'01_異動主檔'!$B:$B,104,'01_異動主檔'!$D:$D,A37,'01_異動主檔'!$E:$E,"移入")</f>
        <v/>
      </c>
      <c r="E37" s="4">
        <f>-SUMIFS('01_異動主檔'!$F:$F,'01_異動主檔'!$B:$B,104,'01_異動主檔'!$D:$D,A37,'01_異動主檔'!$E:$E,"移出")</f>
        <v/>
      </c>
      <c r="F37" s="4">
        <f>SUMIFS('01_異動主檔'!$F:$F,'01_異動主檔'!$B:$B,104,'01_異動主檔'!$D:$D,A37,'01_異動主檔'!$E:$E,"新增")</f>
        <v/>
      </c>
      <c r="G37" s="4">
        <f>-SUMIFS('01_異動主檔'!$F:$F,'01_異動主檔'!$B:$B,104,'01_異動主檔'!$D:$D,A37,'01_異動主檔'!$E:$E,"減列")</f>
        <v/>
      </c>
      <c r="H37" s="4">
        <f>-SUMIFS('01_異動主檔'!$F:$F,'01_異動主檔'!$B:$B,104,'01_異動主檔'!$D:$D,A37,'01_異動主檔'!$E:$E,"精簡")</f>
        <v/>
      </c>
      <c r="I37" s="8">
        <f>C37+D37+E37+F37+G37+H37</f>
        <v/>
      </c>
    </row>
    <row r="38" ht="18" customHeight="1">
      <c r="A38" s="5" t="inlineStr">
        <is>
          <t>會計處</t>
        </is>
      </c>
      <c r="B38" s="6" t="n">
        <v>105</v>
      </c>
      <c r="C38" s="8">
        <f>I37</f>
        <v/>
      </c>
      <c r="D38" s="4">
        <f>SUMIFS('01_異動主檔'!$F:$F,'01_異動主檔'!$B:$B,105,'01_異動主檔'!$D:$D,A38,'01_異動主檔'!$E:$E,"移入")</f>
        <v/>
      </c>
      <c r="E38" s="4">
        <f>-SUMIFS('01_異動主檔'!$F:$F,'01_異動主檔'!$B:$B,105,'01_異動主檔'!$D:$D,A38,'01_異動主檔'!$E:$E,"移出")</f>
        <v/>
      </c>
      <c r="F38" s="4">
        <f>SUMIFS('01_異動主檔'!$F:$F,'01_異動主檔'!$B:$B,105,'01_異動主檔'!$D:$D,A38,'01_異動主檔'!$E:$E,"新增")</f>
        <v/>
      </c>
      <c r="G38" s="4">
        <f>-SUMIFS('01_異動主檔'!$F:$F,'01_異動主檔'!$B:$B,105,'01_異動主檔'!$D:$D,A38,'01_異動主檔'!$E:$E,"減列")</f>
        <v/>
      </c>
      <c r="H38" s="4">
        <f>-SUMIFS('01_異動主檔'!$F:$F,'01_異動主檔'!$B:$B,105,'01_異動主檔'!$D:$D,A38,'01_異動主檔'!$E:$E,"精簡")</f>
        <v/>
      </c>
      <c r="I38" s="8">
        <f>C38+D38+E38+F38+G38+H38</f>
        <v/>
      </c>
    </row>
    <row r="39" ht="18" customHeight="1">
      <c r="A39" s="3" t="inlineStr">
        <is>
          <t>會計處</t>
        </is>
      </c>
      <c r="B39" s="4" t="n">
        <v>106</v>
      </c>
      <c r="C39" s="8">
        <f>I38</f>
        <v/>
      </c>
      <c r="D39" s="4">
        <f>SUMIFS('01_異動主檔'!$F:$F,'01_異動主檔'!$B:$B,106,'01_異動主檔'!$D:$D,A39,'01_異動主檔'!$E:$E,"移入")</f>
        <v/>
      </c>
      <c r="E39" s="4">
        <f>-SUMIFS('01_異動主檔'!$F:$F,'01_異動主檔'!$B:$B,106,'01_異動主檔'!$D:$D,A39,'01_異動主檔'!$E:$E,"移出")</f>
        <v/>
      </c>
      <c r="F39" s="4">
        <f>SUMIFS('01_異動主檔'!$F:$F,'01_異動主檔'!$B:$B,106,'01_異動主檔'!$D:$D,A39,'01_異動主檔'!$E:$E,"新增")</f>
        <v/>
      </c>
      <c r="G39" s="4">
        <f>-SUMIFS('01_異動主檔'!$F:$F,'01_異動主檔'!$B:$B,106,'01_異動主檔'!$D:$D,A39,'01_異動主檔'!$E:$E,"減列")</f>
        <v/>
      </c>
      <c r="H39" s="4">
        <f>-SUMIFS('01_異動主檔'!$F:$F,'01_異動主檔'!$B:$B,106,'01_異動主檔'!$D:$D,A39,'01_異動主檔'!$E:$E,"精簡")</f>
        <v/>
      </c>
      <c r="I39" s="8">
        <f>C39+D39+E39+F39+G39+H39</f>
        <v/>
      </c>
    </row>
    <row r="40" ht="18" customHeight="1">
      <c r="A40" s="5" t="inlineStr">
        <is>
          <t>會計處</t>
        </is>
      </c>
      <c r="B40" s="6" t="n">
        <v>107</v>
      </c>
      <c r="C40" s="8">
        <f>I39</f>
        <v/>
      </c>
      <c r="D40" s="4">
        <f>SUMIFS('01_異動主檔'!$F:$F,'01_異動主檔'!$B:$B,107,'01_異動主檔'!$D:$D,A40,'01_異動主檔'!$E:$E,"移入")</f>
        <v/>
      </c>
      <c r="E40" s="4">
        <f>-SUMIFS('01_異動主檔'!$F:$F,'01_異動主檔'!$B:$B,107,'01_異動主檔'!$D:$D,A40,'01_異動主檔'!$E:$E,"移出")</f>
        <v/>
      </c>
      <c r="F40" s="4">
        <f>SUMIFS('01_異動主檔'!$F:$F,'01_異動主檔'!$B:$B,107,'01_異動主檔'!$D:$D,A40,'01_異動主檔'!$E:$E,"新增")</f>
        <v/>
      </c>
      <c r="G40" s="4">
        <f>-SUMIFS('01_異動主檔'!$F:$F,'01_異動主檔'!$B:$B,107,'01_異動主檔'!$D:$D,A40,'01_異動主檔'!$E:$E,"減列")</f>
        <v/>
      </c>
      <c r="H40" s="4">
        <f>-SUMIFS('01_異動主檔'!$F:$F,'01_異動主檔'!$B:$B,107,'01_異動主檔'!$D:$D,A40,'01_異動主檔'!$E:$E,"精簡")</f>
        <v/>
      </c>
      <c r="I40" s="8">
        <f>C40+D40+E40+F40+G40+H40</f>
        <v/>
      </c>
    </row>
    <row r="41" ht="18" customHeight="1">
      <c r="A41" s="3" t="inlineStr">
        <is>
          <t>會計處</t>
        </is>
      </c>
      <c r="B41" s="4" t="n">
        <v>108</v>
      </c>
      <c r="C41" s="8">
        <f>I40</f>
        <v/>
      </c>
      <c r="D41" s="4">
        <f>SUMIFS('01_異動主檔'!$F:$F,'01_異動主檔'!$B:$B,108,'01_異動主檔'!$D:$D,A41,'01_異動主檔'!$E:$E,"移入")</f>
        <v/>
      </c>
      <c r="E41" s="4">
        <f>-SUMIFS('01_異動主檔'!$F:$F,'01_異動主檔'!$B:$B,108,'01_異動主檔'!$D:$D,A41,'01_異動主檔'!$E:$E,"移出")</f>
        <v/>
      </c>
      <c r="F41" s="4">
        <f>SUMIFS('01_異動主檔'!$F:$F,'01_異動主檔'!$B:$B,108,'01_異動主檔'!$D:$D,A41,'01_異動主檔'!$E:$E,"新增")</f>
        <v/>
      </c>
      <c r="G41" s="4">
        <f>-SUMIFS('01_異動主檔'!$F:$F,'01_異動主檔'!$B:$B,108,'01_異動主檔'!$D:$D,A41,'01_異動主檔'!$E:$E,"減列")</f>
        <v/>
      </c>
      <c r="H41" s="4">
        <f>-SUMIFS('01_異動主檔'!$F:$F,'01_異動主檔'!$B:$B,108,'01_異動主檔'!$D:$D,A41,'01_異動主檔'!$E:$E,"精簡")</f>
        <v/>
      </c>
      <c r="I41" s="8">
        <f>C41+D41+E41+F41+G41+H41</f>
        <v/>
      </c>
    </row>
    <row r="42" ht="18" customHeight="1">
      <c r="A42" s="5" t="inlineStr">
        <is>
          <t>會計處</t>
        </is>
      </c>
      <c r="B42" s="6" t="n">
        <v>109</v>
      </c>
      <c r="C42" s="8">
        <f>I41</f>
        <v/>
      </c>
      <c r="D42" s="4">
        <f>SUMIFS('01_異動主檔'!$F:$F,'01_異動主檔'!$B:$B,109,'01_異動主檔'!$D:$D,A42,'01_異動主檔'!$E:$E,"移入")</f>
        <v/>
      </c>
      <c r="E42" s="4">
        <f>-SUMIFS('01_異動主檔'!$F:$F,'01_異動主檔'!$B:$B,109,'01_異動主檔'!$D:$D,A42,'01_異動主檔'!$E:$E,"移出")</f>
        <v/>
      </c>
      <c r="F42" s="4">
        <f>SUMIFS('01_異動主檔'!$F:$F,'01_異動主檔'!$B:$B,109,'01_異動主檔'!$D:$D,A42,'01_異動主檔'!$E:$E,"新增")</f>
        <v/>
      </c>
      <c r="G42" s="4">
        <f>-SUMIFS('01_異動主檔'!$F:$F,'01_異動主檔'!$B:$B,109,'01_異動主檔'!$D:$D,A42,'01_異動主檔'!$E:$E,"減列")</f>
        <v/>
      </c>
      <c r="H42" s="4">
        <f>-SUMIFS('01_異動主檔'!$F:$F,'01_異動主檔'!$B:$B,109,'01_異動主檔'!$D:$D,A42,'01_異動主檔'!$E:$E,"精簡")</f>
        <v/>
      </c>
      <c r="I42" s="8">
        <f>C42+D42+E42+F42+G42+H42</f>
        <v/>
      </c>
    </row>
    <row r="43" ht="18" customHeight="1">
      <c r="A43" s="3" t="inlineStr">
        <is>
          <t>會計處</t>
        </is>
      </c>
      <c r="B43" s="4" t="n">
        <v>110</v>
      </c>
      <c r="C43" s="8">
        <f>I42</f>
        <v/>
      </c>
      <c r="D43" s="4">
        <f>SUMIFS('01_異動主檔'!$F:$F,'01_異動主檔'!$B:$B,110,'01_異動主檔'!$D:$D,A43,'01_異動主檔'!$E:$E,"移入")</f>
        <v/>
      </c>
      <c r="E43" s="4">
        <f>-SUMIFS('01_異動主檔'!$F:$F,'01_異動主檔'!$B:$B,110,'01_異動主檔'!$D:$D,A43,'01_異動主檔'!$E:$E,"移出")</f>
        <v/>
      </c>
      <c r="F43" s="4">
        <f>SUMIFS('01_異動主檔'!$F:$F,'01_異動主檔'!$B:$B,110,'01_異動主檔'!$D:$D,A43,'01_異動主檔'!$E:$E,"新增")</f>
        <v/>
      </c>
      <c r="G43" s="4">
        <f>-SUMIFS('01_異動主檔'!$F:$F,'01_異動主檔'!$B:$B,110,'01_異動主檔'!$D:$D,A43,'01_異動主檔'!$E:$E,"減列")</f>
        <v/>
      </c>
      <c r="H43" s="4">
        <f>-SUMIFS('01_異動主檔'!$F:$F,'01_異動主檔'!$B:$B,110,'01_異動主檔'!$D:$D,A43,'01_異動主檔'!$E:$E,"精簡")</f>
        <v/>
      </c>
      <c r="I43" s="8">
        <f>C43+D43+E43+F43+G43+H43</f>
        <v/>
      </c>
    </row>
    <row r="44" ht="18" customHeight="1">
      <c r="A44" s="5" t="inlineStr">
        <is>
          <t>會計處</t>
        </is>
      </c>
      <c r="B44" s="6" t="n">
        <v>111</v>
      </c>
      <c r="C44" s="8">
        <f>I43</f>
        <v/>
      </c>
      <c r="D44" s="4">
        <f>SUMIFS('01_異動主檔'!$F:$F,'01_異動主檔'!$B:$B,111,'01_異動主檔'!$D:$D,A44,'01_異動主檔'!$E:$E,"移入")</f>
        <v/>
      </c>
      <c r="E44" s="4">
        <f>-SUMIFS('01_異動主檔'!$F:$F,'01_異動主檔'!$B:$B,111,'01_異動主檔'!$D:$D,A44,'01_異動主檔'!$E:$E,"移出")</f>
        <v/>
      </c>
      <c r="F44" s="4">
        <f>SUMIFS('01_異動主檔'!$F:$F,'01_異動主檔'!$B:$B,111,'01_異動主檔'!$D:$D,A44,'01_異動主檔'!$E:$E,"新增")</f>
        <v/>
      </c>
      <c r="G44" s="4">
        <f>-SUMIFS('01_異動主檔'!$F:$F,'01_異動主檔'!$B:$B,111,'01_異動主檔'!$D:$D,A44,'01_異動主檔'!$E:$E,"減列")</f>
        <v/>
      </c>
      <c r="H44" s="4">
        <f>-SUMIFS('01_異動主檔'!$F:$F,'01_異動主檔'!$B:$B,111,'01_異動主檔'!$D:$D,A44,'01_異動主檔'!$E:$E,"精簡")</f>
        <v/>
      </c>
      <c r="I44" s="8">
        <f>C44+D44+E44+F44+G44+H44</f>
        <v/>
      </c>
    </row>
    <row r="45" ht="18" customHeight="1">
      <c r="A45" s="3" t="inlineStr">
        <is>
          <t>會計處</t>
        </is>
      </c>
      <c r="B45" s="4" t="n">
        <v>112</v>
      </c>
      <c r="C45" s="8">
        <f>I44</f>
        <v/>
      </c>
      <c r="D45" s="4">
        <f>SUMIFS('01_異動主檔'!$F:$F,'01_異動主檔'!$B:$B,112,'01_異動主檔'!$D:$D,A45,'01_異動主檔'!$E:$E,"移入")</f>
        <v/>
      </c>
      <c r="E45" s="4">
        <f>-SUMIFS('01_異動主檔'!$F:$F,'01_異動主檔'!$B:$B,112,'01_異動主檔'!$D:$D,A45,'01_異動主檔'!$E:$E,"移出")</f>
        <v/>
      </c>
      <c r="F45" s="4">
        <f>SUMIFS('01_異動主檔'!$F:$F,'01_異動主檔'!$B:$B,112,'01_異動主檔'!$D:$D,A45,'01_異動主檔'!$E:$E,"新增")</f>
        <v/>
      </c>
      <c r="G45" s="4">
        <f>-SUMIFS('01_異動主檔'!$F:$F,'01_異動主檔'!$B:$B,112,'01_異動主檔'!$D:$D,A45,'01_異動主檔'!$E:$E,"減列")</f>
        <v/>
      </c>
      <c r="H45" s="4">
        <f>-SUMIFS('01_異動主檔'!$F:$F,'01_異動主檔'!$B:$B,112,'01_異動主檔'!$D:$D,A45,'01_異動主檔'!$E:$E,"精簡")</f>
        <v/>
      </c>
      <c r="I45" s="8">
        <f>C45+D45+E45+F45+G45+H45</f>
        <v/>
      </c>
    </row>
    <row r="46" ht="18" customHeight="1">
      <c r="A46" s="5" t="inlineStr">
        <is>
          <t>會計處</t>
        </is>
      </c>
      <c r="B46" s="6" t="n">
        <v>113</v>
      </c>
      <c r="C46" s="8">
        <f>I45</f>
        <v/>
      </c>
      <c r="D46" s="4">
        <f>SUMIFS('01_異動主檔'!$F:$F,'01_異動主檔'!$B:$B,113,'01_異動主檔'!$D:$D,A46,'01_異動主檔'!$E:$E,"移入")</f>
        <v/>
      </c>
      <c r="E46" s="4">
        <f>-SUMIFS('01_異動主檔'!$F:$F,'01_異動主檔'!$B:$B,113,'01_異動主檔'!$D:$D,A46,'01_異動主檔'!$E:$E,"移出")</f>
        <v/>
      </c>
      <c r="F46" s="4">
        <f>SUMIFS('01_異動主檔'!$F:$F,'01_異動主檔'!$B:$B,113,'01_異動主檔'!$D:$D,A46,'01_異動主檔'!$E:$E,"新增")</f>
        <v/>
      </c>
      <c r="G46" s="4">
        <f>-SUMIFS('01_異動主檔'!$F:$F,'01_異動主檔'!$B:$B,113,'01_異動主檔'!$D:$D,A46,'01_異動主檔'!$E:$E,"減列")</f>
        <v/>
      </c>
      <c r="H46" s="4">
        <f>-SUMIFS('01_異動主檔'!$F:$F,'01_異動主檔'!$B:$B,113,'01_異動主檔'!$D:$D,A46,'01_異動主檔'!$E:$E,"精簡")</f>
        <v/>
      </c>
      <c r="I46" s="8">
        <f>C46+D46+E46+F46+G46+H46</f>
        <v/>
      </c>
    </row>
    <row r="47" ht="18" customHeight="1">
      <c r="A47" s="3" t="inlineStr">
        <is>
          <t>會計處</t>
        </is>
      </c>
      <c r="B47" s="4" t="n">
        <v>114</v>
      </c>
      <c r="C47" s="8">
        <f>I46</f>
        <v/>
      </c>
      <c r="D47" s="4">
        <f>SUMIFS('01_異動主檔'!$F:$F,'01_異動主檔'!$B:$B,114,'01_異動主檔'!$D:$D,A47,'01_異動主檔'!$E:$E,"移入")</f>
        <v/>
      </c>
      <c r="E47" s="4">
        <f>-SUMIFS('01_異動主檔'!$F:$F,'01_異動主檔'!$B:$B,114,'01_異動主檔'!$D:$D,A47,'01_異動主檔'!$E:$E,"移出")</f>
        <v/>
      </c>
      <c r="F47" s="4">
        <f>SUMIFS('01_異動主檔'!$F:$F,'01_異動主檔'!$B:$B,114,'01_異動主檔'!$D:$D,A47,'01_異動主檔'!$E:$E,"新增")</f>
        <v/>
      </c>
      <c r="G47" s="4">
        <f>-SUMIFS('01_異動主檔'!$F:$F,'01_異動主檔'!$B:$B,114,'01_異動主檔'!$D:$D,A47,'01_異動主檔'!$E:$E,"減列")</f>
        <v/>
      </c>
      <c r="H47" s="4">
        <f>-SUMIFS('01_異動主檔'!$F:$F,'01_異動主檔'!$B:$B,114,'01_異動主檔'!$D:$D,A47,'01_異動主檔'!$E:$E,"精簡")</f>
        <v/>
      </c>
      <c r="I47" s="8">
        <f>C47+D47+E47+F47+G47+H47</f>
        <v/>
      </c>
    </row>
    <row r="48" ht="18" customHeight="1">
      <c r="A48" s="5" t="inlineStr">
        <is>
          <t>會計處</t>
        </is>
      </c>
      <c r="B48" s="6" t="n">
        <v>115</v>
      </c>
      <c r="C48" s="8">
        <f>I47</f>
        <v/>
      </c>
      <c r="D48" s="4">
        <f>SUMIFS('01_異動主檔'!$F:$F,'01_異動主檔'!$B:$B,115,'01_異動主檔'!$D:$D,A48,'01_異動主檔'!$E:$E,"移入")</f>
        <v/>
      </c>
      <c r="E48" s="4">
        <f>-SUMIFS('01_異動主檔'!$F:$F,'01_異動主檔'!$B:$B,115,'01_異動主檔'!$D:$D,A48,'01_異動主檔'!$E:$E,"移出")</f>
        <v/>
      </c>
      <c r="F48" s="4">
        <f>SUMIFS('01_異動主檔'!$F:$F,'01_異動主檔'!$B:$B,115,'01_異動主檔'!$D:$D,A48,'01_異動主檔'!$E:$E,"新增")</f>
        <v/>
      </c>
      <c r="G48" s="4">
        <f>-SUMIFS('01_異動主檔'!$F:$F,'01_異動主檔'!$B:$B,115,'01_異動主檔'!$D:$D,A48,'01_異動主檔'!$E:$E,"減列")</f>
        <v/>
      </c>
      <c r="H48" s="4">
        <f>-SUMIFS('01_異動主檔'!$F:$F,'01_異動主檔'!$B:$B,115,'01_異動主檔'!$D:$D,A48,'01_異動主檔'!$E:$E,"精簡")</f>
        <v/>
      </c>
      <c r="I48" s="8">
        <f>C48+D48+E48+F48+G48+H48</f>
        <v/>
      </c>
    </row>
    <row r="49" ht="18" customHeight="1">
      <c r="A49" s="3" t="inlineStr">
        <is>
          <t>會計處</t>
        </is>
      </c>
      <c r="B49" s="4" t="n">
        <v>116</v>
      </c>
      <c r="C49" s="8">
        <f>I48</f>
        <v/>
      </c>
      <c r="D49" s="4">
        <f>SUMIFS('01_異動主檔'!$F:$F,'01_異動主檔'!$B:$B,116,'01_異動主檔'!$D:$D,A49,'01_異動主檔'!$E:$E,"移入")</f>
        <v/>
      </c>
      <c r="E49" s="4">
        <f>-SUMIFS('01_異動主檔'!$F:$F,'01_異動主檔'!$B:$B,116,'01_異動主檔'!$D:$D,A49,'01_異動主檔'!$E:$E,"移出")</f>
        <v/>
      </c>
      <c r="F49" s="4">
        <f>SUMIFS('01_異動主檔'!$F:$F,'01_異動主檔'!$B:$B,116,'01_異動主檔'!$D:$D,A49,'01_異動主檔'!$E:$E,"新增")</f>
        <v/>
      </c>
      <c r="G49" s="4">
        <f>-SUMIFS('01_異動主檔'!$F:$F,'01_異動主檔'!$B:$B,116,'01_異動主檔'!$D:$D,A49,'01_異動主檔'!$E:$E,"減列")</f>
        <v/>
      </c>
      <c r="H49" s="4">
        <f>-SUMIFS('01_異動主檔'!$F:$F,'01_異動主檔'!$B:$B,116,'01_異動主檔'!$D:$D,A49,'01_異動主檔'!$E:$E,"精簡")</f>
        <v/>
      </c>
      <c r="I49" s="8">
        <f>C49+D49+E49+F49+G49+H49</f>
        <v/>
      </c>
    </row>
    <row r="50" ht="18" customHeight="1">
      <c r="A50" s="5" t="inlineStr">
        <is>
          <t>會計處</t>
        </is>
      </c>
      <c r="B50" s="6" t="n">
        <v>117</v>
      </c>
      <c r="C50" s="8">
        <f>I49</f>
        <v/>
      </c>
      <c r="D50" s="4">
        <f>SUMIFS('01_異動主檔'!$F:$F,'01_異動主檔'!$B:$B,117,'01_異動主檔'!$D:$D,A50,'01_異動主檔'!$E:$E,"移入")</f>
        <v/>
      </c>
      <c r="E50" s="4">
        <f>-SUMIFS('01_異動主檔'!$F:$F,'01_異動主檔'!$B:$B,117,'01_異動主檔'!$D:$D,A50,'01_異動主檔'!$E:$E,"移出")</f>
        <v/>
      </c>
      <c r="F50" s="4">
        <f>SUMIFS('01_異動主檔'!$F:$F,'01_異動主檔'!$B:$B,117,'01_異動主檔'!$D:$D,A50,'01_異動主檔'!$E:$E,"新增")</f>
        <v/>
      </c>
      <c r="G50" s="4">
        <f>-SUMIFS('01_異動主檔'!$F:$F,'01_異動主檔'!$B:$B,117,'01_異動主檔'!$D:$D,A50,'01_異動主檔'!$E:$E,"減列")</f>
        <v/>
      </c>
      <c r="H50" s="4">
        <f>-SUMIFS('01_異動主檔'!$F:$F,'01_異動主檔'!$B:$B,117,'01_異動主檔'!$D:$D,A50,'01_異動主檔'!$E:$E,"精簡")</f>
        <v/>
      </c>
      <c r="I50" s="8">
        <f>C50+D50+E50+F50+G50+H50</f>
        <v/>
      </c>
    </row>
    <row r="51" ht="18" customHeight="1">
      <c r="A51" s="3" t="inlineStr">
        <is>
          <t>會計處</t>
        </is>
      </c>
      <c r="B51" s="4" t="n">
        <v>118</v>
      </c>
      <c r="C51" s="8">
        <f>I50</f>
        <v/>
      </c>
      <c r="D51" s="4">
        <f>SUMIFS('01_異動主檔'!$F:$F,'01_異動主檔'!$B:$B,118,'01_異動主檔'!$D:$D,A51,'01_異動主檔'!$E:$E,"移入")</f>
        <v/>
      </c>
      <c r="E51" s="4">
        <f>-SUMIFS('01_異動主檔'!$F:$F,'01_異動主檔'!$B:$B,118,'01_異動主檔'!$D:$D,A51,'01_異動主檔'!$E:$E,"移出")</f>
        <v/>
      </c>
      <c r="F51" s="4">
        <f>SUMIFS('01_異動主檔'!$F:$F,'01_異動主檔'!$B:$B,118,'01_異動主檔'!$D:$D,A51,'01_異動主檔'!$E:$E,"新增")</f>
        <v/>
      </c>
      <c r="G51" s="4">
        <f>-SUMIFS('01_異動主檔'!$F:$F,'01_異動主檔'!$B:$B,118,'01_異動主檔'!$D:$D,A51,'01_異動主檔'!$E:$E,"減列")</f>
        <v/>
      </c>
      <c r="H51" s="4">
        <f>-SUMIFS('01_異動主檔'!$F:$F,'01_異動主檔'!$B:$B,118,'01_異動主檔'!$D:$D,A51,'01_異動主檔'!$E:$E,"精簡")</f>
        <v/>
      </c>
      <c r="I51" s="8">
        <f>C51+D51+E51+F51+G51+H51</f>
        <v/>
      </c>
    </row>
    <row r="52" ht="18" customHeight="1">
      <c r="A52" s="5" t="inlineStr">
        <is>
          <t>會計處</t>
        </is>
      </c>
      <c r="B52" s="6" t="n">
        <v>119</v>
      </c>
      <c r="C52" s="8">
        <f>I51</f>
        <v/>
      </c>
      <c r="D52" s="4">
        <f>SUMIFS('01_異動主檔'!$F:$F,'01_異動主檔'!$B:$B,119,'01_異動主檔'!$D:$D,A52,'01_異動主檔'!$E:$E,"移入")</f>
        <v/>
      </c>
      <c r="E52" s="4">
        <f>-SUMIFS('01_異動主檔'!$F:$F,'01_異動主檔'!$B:$B,119,'01_異動主檔'!$D:$D,A52,'01_異動主檔'!$E:$E,"移出")</f>
        <v/>
      </c>
      <c r="F52" s="4">
        <f>SUMIFS('01_異動主檔'!$F:$F,'01_異動主檔'!$B:$B,119,'01_異動主檔'!$D:$D,A52,'01_異動主檔'!$E:$E,"新增")</f>
        <v/>
      </c>
      <c r="G52" s="4">
        <f>-SUMIFS('01_異動主檔'!$F:$F,'01_異動主檔'!$B:$B,119,'01_異動主檔'!$D:$D,A52,'01_異動主檔'!$E:$E,"減列")</f>
        <v/>
      </c>
      <c r="H52" s="4">
        <f>-SUMIFS('01_異動主檔'!$F:$F,'01_異動主檔'!$B:$B,119,'01_異動主檔'!$D:$D,A52,'01_異動主檔'!$E:$E,"精簡")</f>
        <v/>
      </c>
      <c r="I52" s="8">
        <f>C52+D52+E52+F52+G52+H52</f>
        <v/>
      </c>
    </row>
    <row r="53" ht="18" customHeight="1">
      <c r="A53" s="3" t="inlineStr">
        <is>
          <t>會計處</t>
        </is>
      </c>
      <c r="B53" s="4" t="n">
        <v>120</v>
      </c>
      <c r="C53" s="8">
        <f>I52</f>
        <v/>
      </c>
      <c r="D53" s="4">
        <f>SUMIFS('01_異動主檔'!$F:$F,'01_異動主檔'!$B:$B,120,'01_異動主檔'!$D:$D,A53,'01_異動主檔'!$E:$E,"移入")</f>
        <v/>
      </c>
      <c r="E53" s="4">
        <f>-SUMIFS('01_異動主檔'!$F:$F,'01_異動主檔'!$B:$B,120,'01_異動主檔'!$D:$D,A53,'01_異動主檔'!$E:$E,"移出")</f>
        <v/>
      </c>
      <c r="F53" s="4">
        <f>SUMIFS('01_異動主檔'!$F:$F,'01_異動主檔'!$B:$B,120,'01_異動主檔'!$D:$D,A53,'01_異動主檔'!$E:$E,"新增")</f>
        <v/>
      </c>
      <c r="G53" s="4">
        <f>-SUMIFS('01_異動主檔'!$F:$F,'01_異動主檔'!$B:$B,120,'01_異動主檔'!$D:$D,A53,'01_異動主檔'!$E:$E,"減列")</f>
        <v/>
      </c>
      <c r="H53" s="4">
        <f>-SUMIFS('01_異動主檔'!$F:$F,'01_異動主檔'!$B:$B,120,'01_異動主檔'!$D:$D,A53,'01_異動主檔'!$E:$E,"精簡")</f>
        <v/>
      </c>
      <c r="I53" s="8">
        <f>C53+D53+E53+F53+G53+H53</f>
        <v/>
      </c>
    </row>
    <row r="54" ht="18" customHeight="1">
      <c r="A54" s="5" t="inlineStr">
        <is>
          <t>會計處</t>
        </is>
      </c>
      <c r="B54" s="6" t="n">
        <v>121</v>
      </c>
      <c r="C54" s="8">
        <f>I53</f>
        <v/>
      </c>
      <c r="D54" s="4">
        <f>SUMIFS('01_異動主檔'!$F:$F,'01_異動主檔'!$B:$B,121,'01_異動主檔'!$D:$D,A54,'01_異動主檔'!$E:$E,"移入")</f>
        <v/>
      </c>
      <c r="E54" s="4">
        <f>-SUMIFS('01_異動主檔'!$F:$F,'01_異動主檔'!$B:$B,121,'01_異動主檔'!$D:$D,A54,'01_異動主檔'!$E:$E,"移出")</f>
        <v/>
      </c>
      <c r="F54" s="4">
        <f>SUMIFS('01_異動主檔'!$F:$F,'01_異動主檔'!$B:$B,121,'01_異動主檔'!$D:$D,A54,'01_異動主檔'!$E:$E,"新增")</f>
        <v/>
      </c>
      <c r="G54" s="4">
        <f>-SUMIFS('01_異動主檔'!$F:$F,'01_異動主檔'!$B:$B,121,'01_異動主檔'!$D:$D,A54,'01_異動主檔'!$E:$E,"減列")</f>
        <v/>
      </c>
      <c r="H54" s="4">
        <f>-SUMIFS('01_異動主檔'!$F:$F,'01_異動主檔'!$B:$B,121,'01_異動主檔'!$D:$D,A54,'01_異動主檔'!$E:$E,"精簡")</f>
        <v/>
      </c>
      <c r="I54" s="8">
        <f>C54+D54+E54+F54+G54+H54</f>
        <v/>
      </c>
    </row>
    <row r="55" ht="18" customHeight="1">
      <c r="A55" s="3" t="inlineStr">
        <is>
          <t>會計處</t>
        </is>
      </c>
      <c r="B55" s="4" t="n">
        <v>122</v>
      </c>
      <c r="C55" s="8">
        <f>I54</f>
        <v/>
      </c>
      <c r="D55" s="4">
        <f>SUMIFS('01_異動主檔'!$F:$F,'01_異動主檔'!$B:$B,122,'01_異動主檔'!$D:$D,A55,'01_異動主檔'!$E:$E,"移入")</f>
        <v/>
      </c>
      <c r="E55" s="4">
        <f>-SUMIFS('01_異動主檔'!$F:$F,'01_異動主檔'!$B:$B,122,'01_異動主檔'!$D:$D,A55,'01_異動主檔'!$E:$E,"移出")</f>
        <v/>
      </c>
      <c r="F55" s="4">
        <f>SUMIFS('01_異動主檔'!$F:$F,'01_異動主檔'!$B:$B,122,'01_異動主檔'!$D:$D,A55,'01_異動主檔'!$E:$E,"新增")</f>
        <v/>
      </c>
      <c r="G55" s="4">
        <f>-SUMIFS('01_異動主檔'!$F:$F,'01_異動主檔'!$B:$B,122,'01_異動主檔'!$D:$D,A55,'01_異動主檔'!$E:$E,"減列")</f>
        <v/>
      </c>
      <c r="H55" s="4">
        <f>-SUMIFS('01_異動主檔'!$F:$F,'01_異動主檔'!$B:$B,122,'01_異動主檔'!$D:$D,A55,'01_異動主檔'!$E:$E,"精簡")</f>
        <v/>
      </c>
      <c r="I55" s="8">
        <f>C55+D55+E55+F55+G55+H55</f>
        <v/>
      </c>
    </row>
    <row r="56" ht="18" customHeight="1">
      <c r="A56" s="5" t="inlineStr">
        <is>
          <t>會計處</t>
        </is>
      </c>
      <c r="B56" s="6" t="n">
        <v>123</v>
      </c>
      <c r="C56" s="8">
        <f>I55</f>
        <v/>
      </c>
      <c r="D56" s="4">
        <f>SUMIFS('01_異動主檔'!$F:$F,'01_異動主檔'!$B:$B,123,'01_異動主檔'!$D:$D,A56,'01_異動主檔'!$E:$E,"移入")</f>
        <v/>
      </c>
      <c r="E56" s="4">
        <f>-SUMIFS('01_異動主檔'!$F:$F,'01_異動主檔'!$B:$B,123,'01_異動主檔'!$D:$D,A56,'01_異動主檔'!$E:$E,"移出")</f>
        <v/>
      </c>
      <c r="F56" s="4">
        <f>SUMIFS('01_異動主檔'!$F:$F,'01_異動主檔'!$B:$B,123,'01_異動主檔'!$D:$D,A56,'01_異動主檔'!$E:$E,"新增")</f>
        <v/>
      </c>
      <c r="G56" s="4">
        <f>-SUMIFS('01_異動主檔'!$F:$F,'01_異動主檔'!$B:$B,123,'01_異動主檔'!$D:$D,A56,'01_異動主檔'!$E:$E,"減列")</f>
        <v/>
      </c>
      <c r="H56" s="4">
        <f>-SUMIFS('01_異動主檔'!$F:$F,'01_異動主檔'!$B:$B,123,'01_異動主檔'!$D:$D,A56,'01_異動主檔'!$E:$E,"精簡")</f>
        <v/>
      </c>
      <c r="I56" s="8">
        <f>C56+D56+E56+F56+G56+H56</f>
        <v/>
      </c>
    </row>
    <row r="57" ht="18" customHeight="1">
      <c r="A57" s="3" t="inlineStr">
        <is>
          <t>會計處</t>
        </is>
      </c>
      <c r="B57" s="4" t="n">
        <v>124</v>
      </c>
      <c r="C57" s="8">
        <f>I56</f>
        <v/>
      </c>
      <c r="D57" s="4">
        <f>SUMIFS('01_異動主檔'!$F:$F,'01_異動主檔'!$B:$B,124,'01_異動主檔'!$D:$D,A57,'01_異動主檔'!$E:$E,"移入")</f>
        <v/>
      </c>
      <c r="E57" s="4">
        <f>-SUMIFS('01_異動主檔'!$F:$F,'01_異動主檔'!$B:$B,124,'01_異動主檔'!$D:$D,A57,'01_異動主檔'!$E:$E,"移出")</f>
        <v/>
      </c>
      <c r="F57" s="4">
        <f>SUMIFS('01_異動主檔'!$F:$F,'01_異動主檔'!$B:$B,124,'01_異動主檔'!$D:$D,A57,'01_異動主檔'!$E:$E,"新增")</f>
        <v/>
      </c>
      <c r="G57" s="4">
        <f>-SUMIFS('01_異動主檔'!$F:$F,'01_異動主檔'!$B:$B,124,'01_異動主檔'!$D:$D,A57,'01_異動主檔'!$E:$E,"減列")</f>
        <v/>
      </c>
      <c r="H57" s="4">
        <f>-SUMIFS('01_異動主檔'!$F:$F,'01_異動主檔'!$B:$B,124,'01_異動主檔'!$D:$D,A57,'01_異動主檔'!$E:$E,"精簡")</f>
        <v/>
      </c>
      <c r="I57" s="8">
        <f>C57+D57+E57+F57+G57+H57</f>
        <v/>
      </c>
    </row>
    <row r="58" ht="18" customHeight="1">
      <c r="A58" s="5" t="inlineStr">
        <is>
          <t>會計處</t>
        </is>
      </c>
      <c r="B58" s="6" t="n">
        <v>125</v>
      </c>
      <c r="C58" s="8">
        <f>I57</f>
        <v/>
      </c>
      <c r="D58" s="4">
        <f>SUMIFS('01_異動主檔'!$F:$F,'01_異動主檔'!$B:$B,125,'01_異動主檔'!$D:$D,A58,'01_異動主檔'!$E:$E,"移入")</f>
        <v/>
      </c>
      <c r="E58" s="4">
        <f>-SUMIFS('01_異動主檔'!$F:$F,'01_異動主檔'!$B:$B,125,'01_異動主檔'!$D:$D,A58,'01_異動主檔'!$E:$E,"移出")</f>
        <v/>
      </c>
      <c r="F58" s="4">
        <f>SUMIFS('01_異動主檔'!$F:$F,'01_異動主檔'!$B:$B,125,'01_異動主檔'!$D:$D,A58,'01_異動主檔'!$E:$E,"新增")</f>
        <v/>
      </c>
      <c r="G58" s="4">
        <f>-SUMIFS('01_異動主檔'!$F:$F,'01_異動主檔'!$B:$B,125,'01_異動主檔'!$D:$D,A58,'01_異動主檔'!$E:$E,"減列")</f>
        <v/>
      </c>
      <c r="H58" s="4">
        <f>-SUMIFS('01_異動主檔'!$F:$F,'01_異動主檔'!$B:$B,125,'01_異動主檔'!$D:$D,A58,'01_異動主檔'!$E:$E,"精簡")</f>
        <v/>
      </c>
      <c r="I58" s="8">
        <f>C58+D58+E58+F58+G58+H58</f>
        <v/>
      </c>
    </row>
    <row r="59" ht="18" customHeight="1">
      <c r="A59" s="3" t="inlineStr">
        <is>
          <t>政風處</t>
        </is>
      </c>
      <c r="B59" s="4" t="n">
        <v>99</v>
      </c>
      <c r="C59" s="8">
        <f>'02_年初員額設定'!B7</f>
        <v/>
      </c>
      <c r="D59" s="4">
        <f>SUMIFS('01_異動主檔'!$F:$F,'01_異動主檔'!$B:$B,99,'01_異動主檔'!$D:$D,A59,'01_異動主檔'!$E:$E,"移入")</f>
        <v/>
      </c>
      <c r="E59" s="4">
        <f>-SUMIFS('01_異動主檔'!$F:$F,'01_異動主檔'!$B:$B,99,'01_異動主檔'!$D:$D,A59,'01_異動主檔'!$E:$E,"移出")</f>
        <v/>
      </c>
      <c r="F59" s="4">
        <f>SUMIFS('01_異動主檔'!$F:$F,'01_異動主檔'!$B:$B,99,'01_異動主檔'!$D:$D,A59,'01_異動主檔'!$E:$E,"新增")</f>
        <v/>
      </c>
      <c r="G59" s="4">
        <f>-SUMIFS('01_異動主檔'!$F:$F,'01_異動主檔'!$B:$B,99,'01_異動主檔'!$D:$D,A59,'01_異動主檔'!$E:$E,"減列")</f>
        <v/>
      </c>
      <c r="H59" s="4">
        <f>-SUMIFS('01_異動主檔'!$F:$F,'01_異動主檔'!$B:$B,99,'01_異動主檔'!$D:$D,A59,'01_異動主檔'!$E:$E,"精簡")</f>
        <v/>
      </c>
      <c r="I59" s="8">
        <f>C59+D59+E59+F59+G59+H59</f>
        <v/>
      </c>
    </row>
    <row r="60" ht="18" customHeight="1">
      <c r="A60" s="5" t="inlineStr">
        <is>
          <t>政風處</t>
        </is>
      </c>
      <c r="B60" s="6" t="n">
        <v>100</v>
      </c>
      <c r="C60" s="8">
        <f>I59</f>
        <v/>
      </c>
      <c r="D60" s="4">
        <f>SUMIFS('01_異動主檔'!$F:$F,'01_異動主檔'!$B:$B,100,'01_異動主檔'!$D:$D,A60,'01_異動主檔'!$E:$E,"移入")</f>
        <v/>
      </c>
      <c r="E60" s="4">
        <f>-SUMIFS('01_異動主檔'!$F:$F,'01_異動主檔'!$B:$B,100,'01_異動主檔'!$D:$D,A60,'01_異動主檔'!$E:$E,"移出")</f>
        <v/>
      </c>
      <c r="F60" s="4">
        <f>SUMIFS('01_異動主檔'!$F:$F,'01_異動主檔'!$B:$B,100,'01_異動主檔'!$D:$D,A60,'01_異動主檔'!$E:$E,"新增")</f>
        <v/>
      </c>
      <c r="G60" s="4">
        <f>-SUMIFS('01_異動主檔'!$F:$F,'01_異動主檔'!$B:$B,100,'01_異動主檔'!$D:$D,A60,'01_異動主檔'!$E:$E,"減列")</f>
        <v/>
      </c>
      <c r="H60" s="4">
        <f>-SUMIFS('01_異動主檔'!$F:$F,'01_異動主檔'!$B:$B,100,'01_異動主檔'!$D:$D,A60,'01_異動主檔'!$E:$E,"精簡")</f>
        <v/>
      </c>
      <c r="I60" s="8">
        <f>C60+D60+E60+F60+G60+H60</f>
        <v/>
      </c>
    </row>
    <row r="61" ht="18" customHeight="1">
      <c r="A61" s="3" t="inlineStr">
        <is>
          <t>政風處</t>
        </is>
      </c>
      <c r="B61" s="4" t="n">
        <v>101</v>
      </c>
      <c r="C61" s="8">
        <f>I60</f>
        <v/>
      </c>
      <c r="D61" s="4">
        <f>SUMIFS('01_異動主檔'!$F:$F,'01_異動主檔'!$B:$B,101,'01_異動主檔'!$D:$D,A61,'01_異動主檔'!$E:$E,"移入")</f>
        <v/>
      </c>
      <c r="E61" s="4">
        <f>-SUMIFS('01_異動主檔'!$F:$F,'01_異動主檔'!$B:$B,101,'01_異動主檔'!$D:$D,A61,'01_異動主檔'!$E:$E,"移出")</f>
        <v/>
      </c>
      <c r="F61" s="4">
        <f>SUMIFS('01_異動主檔'!$F:$F,'01_異動主檔'!$B:$B,101,'01_異動主檔'!$D:$D,A61,'01_異動主檔'!$E:$E,"新增")</f>
        <v/>
      </c>
      <c r="G61" s="4">
        <f>-SUMIFS('01_異動主檔'!$F:$F,'01_異動主檔'!$B:$B,101,'01_異動主檔'!$D:$D,A61,'01_異動主檔'!$E:$E,"減列")</f>
        <v/>
      </c>
      <c r="H61" s="4">
        <f>-SUMIFS('01_異動主檔'!$F:$F,'01_異動主檔'!$B:$B,101,'01_異動主檔'!$D:$D,A61,'01_異動主檔'!$E:$E,"精簡")</f>
        <v/>
      </c>
      <c r="I61" s="8">
        <f>C61+D61+E61+F61+G61+H61</f>
        <v/>
      </c>
    </row>
    <row r="62" ht="18" customHeight="1">
      <c r="A62" s="5" t="inlineStr">
        <is>
          <t>政風處</t>
        </is>
      </c>
      <c r="B62" s="6" t="n">
        <v>102</v>
      </c>
      <c r="C62" s="8">
        <f>I61</f>
        <v/>
      </c>
      <c r="D62" s="4">
        <f>SUMIFS('01_異動主檔'!$F:$F,'01_異動主檔'!$B:$B,102,'01_異動主檔'!$D:$D,A62,'01_異動主檔'!$E:$E,"移入")</f>
        <v/>
      </c>
      <c r="E62" s="4">
        <f>-SUMIFS('01_異動主檔'!$F:$F,'01_異動主檔'!$B:$B,102,'01_異動主檔'!$D:$D,A62,'01_異動主檔'!$E:$E,"移出")</f>
        <v/>
      </c>
      <c r="F62" s="4">
        <f>SUMIFS('01_異動主檔'!$F:$F,'01_異動主檔'!$B:$B,102,'01_異動主檔'!$D:$D,A62,'01_異動主檔'!$E:$E,"新增")</f>
        <v/>
      </c>
      <c r="G62" s="4">
        <f>-SUMIFS('01_異動主檔'!$F:$F,'01_異動主檔'!$B:$B,102,'01_異動主檔'!$D:$D,A62,'01_異動主檔'!$E:$E,"減列")</f>
        <v/>
      </c>
      <c r="H62" s="4">
        <f>-SUMIFS('01_異動主檔'!$F:$F,'01_異動主檔'!$B:$B,102,'01_異動主檔'!$D:$D,A62,'01_異動主檔'!$E:$E,"精簡")</f>
        <v/>
      </c>
      <c r="I62" s="8">
        <f>C62+D62+E62+F62+G62+H62</f>
        <v/>
      </c>
    </row>
    <row r="63" ht="18" customHeight="1">
      <c r="A63" s="3" t="inlineStr">
        <is>
          <t>政風處</t>
        </is>
      </c>
      <c r="B63" s="4" t="n">
        <v>103</v>
      </c>
      <c r="C63" s="8">
        <f>I62</f>
        <v/>
      </c>
      <c r="D63" s="4">
        <f>SUMIFS('01_異動主檔'!$F:$F,'01_異動主檔'!$B:$B,103,'01_異動主檔'!$D:$D,A63,'01_異動主檔'!$E:$E,"移入")</f>
        <v/>
      </c>
      <c r="E63" s="4">
        <f>-SUMIFS('01_異動主檔'!$F:$F,'01_異動主檔'!$B:$B,103,'01_異動主檔'!$D:$D,A63,'01_異動主檔'!$E:$E,"移出")</f>
        <v/>
      </c>
      <c r="F63" s="4">
        <f>SUMIFS('01_異動主檔'!$F:$F,'01_異動主檔'!$B:$B,103,'01_異動主檔'!$D:$D,A63,'01_異動主檔'!$E:$E,"新增")</f>
        <v/>
      </c>
      <c r="G63" s="4">
        <f>-SUMIFS('01_異動主檔'!$F:$F,'01_異動主檔'!$B:$B,103,'01_異動主檔'!$D:$D,A63,'01_異動主檔'!$E:$E,"減列")</f>
        <v/>
      </c>
      <c r="H63" s="4">
        <f>-SUMIFS('01_異動主檔'!$F:$F,'01_異動主檔'!$B:$B,103,'01_異動主檔'!$D:$D,A63,'01_異動主檔'!$E:$E,"精簡")</f>
        <v/>
      </c>
      <c r="I63" s="8">
        <f>C63+D63+E63+F63+G63+H63</f>
        <v/>
      </c>
    </row>
    <row r="64" ht="18" customHeight="1">
      <c r="A64" s="5" t="inlineStr">
        <is>
          <t>政風處</t>
        </is>
      </c>
      <c r="B64" s="6" t="n">
        <v>104</v>
      </c>
      <c r="C64" s="8">
        <f>I63</f>
        <v/>
      </c>
      <c r="D64" s="4">
        <f>SUMIFS('01_異動主檔'!$F:$F,'01_異動主檔'!$B:$B,104,'01_異動主檔'!$D:$D,A64,'01_異動主檔'!$E:$E,"移入")</f>
        <v/>
      </c>
      <c r="E64" s="4">
        <f>-SUMIFS('01_異動主檔'!$F:$F,'01_異動主檔'!$B:$B,104,'01_異動主檔'!$D:$D,A64,'01_異動主檔'!$E:$E,"移出")</f>
        <v/>
      </c>
      <c r="F64" s="4">
        <f>SUMIFS('01_異動主檔'!$F:$F,'01_異動主檔'!$B:$B,104,'01_異動主檔'!$D:$D,A64,'01_異動主檔'!$E:$E,"新增")</f>
        <v/>
      </c>
      <c r="G64" s="4">
        <f>-SUMIFS('01_異動主檔'!$F:$F,'01_異動主檔'!$B:$B,104,'01_異動主檔'!$D:$D,A64,'01_異動主檔'!$E:$E,"減列")</f>
        <v/>
      </c>
      <c r="H64" s="4">
        <f>-SUMIFS('01_異動主檔'!$F:$F,'01_異動主檔'!$B:$B,104,'01_異動主檔'!$D:$D,A64,'01_異動主檔'!$E:$E,"精簡")</f>
        <v/>
      </c>
      <c r="I64" s="8">
        <f>C64+D64+E64+F64+G64+H64</f>
        <v/>
      </c>
    </row>
    <row r="65" ht="18" customHeight="1">
      <c r="A65" s="3" t="inlineStr">
        <is>
          <t>政風處</t>
        </is>
      </c>
      <c r="B65" s="4" t="n">
        <v>105</v>
      </c>
      <c r="C65" s="8">
        <f>I64</f>
        <v/>
      </c>
      <c r="D65" s="4">
        <f>SUMIFS('01_異動主檔'!$F:$F,'01_異動主檔'!$B:$B,105,'01_異動主檔'!$D:$D,A65,'01_異動主檔'!$E:$E,"移入")</f>
        <v/>
      </c>
      <c r="E65" s="4">
        <f>-SUMIFS('01_異動主檔'!$F:$F,'01_異動主檔'!$B:$B,105,'01_異動主檔'!$D:$D,A65,'01_異動主檔'!$E:$E,"移出")</f>
        <v/>
      </c>
      <c r="F65" s="4">
        <f>SUMIFS('01_異動主檔'!$F:$F,'01_異動主檔'!$B:$B,105,'01_異動主檔'!$D:$D,A65,'01_異動主檔'!$E:$E,"新增")</f>
        <v/>
      </c>
      <c r="G65" s="4">
        <f>-SUMIFS('01_異動主檔'!$F:$F,'01_異動主檔'!$B:$B,105,'01_異動主檔'!$D:$D,A65,'01_異動主檔'!$E:$E,"減列")</f>
        <v/>
      </c>
      <c r="H65" s="4">
        <f>-SUMIFS('01_異動主檔'!$F:$F,'01_異動主檔'!$B:$B,105,'01_異動主檔'!$D:$D,A65,'01_異動主檔'!$E:$E,"精簡")</f>
        <v/>
      </c>
      <c r="I65" s="8">
        <f>C65+D65+E65+F65+G65+H65</f>
        <v/>
      </c>
    </row>
    <row r="66" ht="18" customHeight="1">
      <c r="A66" s="5" t="inlineStr">
        <is>
          <t>政風處</t>
        </is>
      </c>
      <c r="B66" s="6" t="n">
        <v>106</v>
      </c>
      <c r="C66" s="8">
        <f>I65</f>
        <v/>
      </c>
      <c r="D66" s="4">
        <f>SUMIFS('01_異動主檔'!$F:$F,'01_異動主檔'!$B:$B,106,'01_異動主檔'!$D:$D,A66,'01_異動主檔'!$E:$E,"移入")</f>
        <v/>
      </c>
      <c r="E66" s="4">
        <f>-SUMIFS('01_異動主檔'!$F:$F,'01_異動主檔'!$B:$B,106,'01_異動主檔'!$D:$D,A66,'01_異動主檔'!$E:$E,"移出")</f>
        <v/>
      </c>
      <c r="F66" s="4">
        <f>SUMIFS('01_異動主檔'!$F:$F,'01_異動主檔'!$B:$B,106,'01_異動主檔'!$D:$D,A66,'01_異動主檔'!$E:$E,"新增")</f>
        <v/>
      </c>
      <c r="G66" s="4">
        <f>-SUMIFS('01_異動主檔'!$F:$F,'01_異動主檔'!$B:$B,106,'01_異動主檔'!$D:$D,A66,'01_異動主檔'!$E:$E,"減列")</f>
        <v/>
      </c>
      <c r="H66" s="4">
        <f>-SUMIFS('01_異動主檔'!$F:$F,'01_異動主檔'!$B:$B,106,'01_異動主檔'!$D:$D,A66,'01_異動主檔'!$E:$E,"精簡")</f>
        <v/>
      </c>
      <c r="I66" s="8">
        <f>C66+D66+E66+F66+G66+H66</f>
        <v/>
      </c>
    </row>
    <row r="67" ht="18" customHeight="1">
      <c r="A67" s="3" t="inlineStr">
        <is>
          <t>政風處</t>
        </is>
      </c>
      <c r="B67" s="4" t="n">
        <v>107</v>
      </c>
      <c r="C67" s="8">
        <f>I66</f>
        <v/>
      </c>
      <c r="D67" s="4">
        <f>SUMIFS('01_異動主檔'!$F:$F,'01_異動主檔'!$B:$B,107,'01_異動主檔'!$D:$D,A67,'01_異動主檔'!$E:$E,"移入")</f>
        <v/>
      </c>
      <c r="E67" s="4">
        <f>-SUMIFS('01_異動主檔'!$F:$F,'01_異動主檔'!$B:$B,107,'01_異動主檔'!$D:$D,A67,'01_異動主檔'!$E:$E,"移出")</f>
        <v/>
      </c>
      <c r="F67" s="4">
        <f>SUMIFS('01_異動主檔'!$F:$F,'01_異動主檔'!$B:$B,107,'01_異動主檔'!$D:$D,A67,'01_異動主檔'!$E:$E,"新增")</f>
        <v/>
      </c>
      <c r="G67" s="4">
        <f>-SUMIFS('01_異動主檔'!$F:$F,'01_異動主檔'!$B:$B,107,'01_異動主檔'!$D:$D,A67,'01_異動主檔'!$E:$E,"減列")</f>
        <v/>
      </c>
      <c r="H67" s="4">
        <f>-SUMIFS('01_異動主檔'!$F:$F,'01_異動主檔'!$B:$B,107,'01_異動主檔'!$D:$D,A67,'01_異動主檔'!$E:$E,"精簡")</f>
        <v/>
      </c>
      <c r="I67" s="8">
        <f>C67+D67+E67+F67+G67+H67</f>
        <v/>
      </c>
    </row>
    <row r="68" ht="18" customHeight="1">
      <c r="A68" s="5" t="inlineStr">
        <is>
          <t>政風處</t>
        </is>
      </c>
      <c r="B68" s="6" t="n">
        <v>108</v>
      </c>
      <c r="C68" s="8">
        <f>I67</f>
        <v/>
      </c>
      <c r="D68" s="4">
        <f>SUMIFS('01_異動主檔'!$F:$F,'01_異動主檔'!$B:$B,108,'01_異動主檔'!$D:$D,A68,'01_異動主檔'!$E:$E,"移入")</f>
        <v/>
      </c>
      <c r="E68" s="4">
        <f>-SUMIFS('01_異動主檔'!$F:$F,'01_異動主檔'!$B:$B,108,'01_異動主檔'!$D:$D,A68,'01_異動主檔'!$E:$E,"移出")</f>
        <v/>
      </c>
      <c r="F68" s="4">
        <f>SUMIFS('01_異動主檔'!$F:$F,'01_異動主檔'!$B:$B,108,'01_異動主檔'!$D:$D,A68,'01_異動主檔'!$E:$E,"新增")</f>
        <v/>
      </c>
      <c r="G68" s="4">
        <f>-SUMIFS('01_異動主檔'!$F:$F,'01_異動主檔'!$B:$B,108,'01_異動主檔'!$D:$D,A68,'01_異動主檔'!$E:$E,"減列")</f>
        <v/>
      </c>
      <c r="H68" s="4">
        <f>-SUMIFS('01_異動主檔'!$F:$F,'01_異動主檔'!$B:$B,108,'01_異動主檔'!$D:$D,A68,'01_異動主檔'!$E:$E,"精簡")</f>
        <v/>
      </c>
      <c r="I68" s="8">
        <f>C68+D68+E68+F68+G68+H68</f>
        <v/>
      </c>
    </row>
    <row r="69" ht="18" customHeight="1">
      <c r="A69" s="3" t="inlineStr">
        <is>
          <t>政風處</t>
        </is>
      </c>
      <c r="B69" s="4" t="n">
        <v>109</v>
      </c>
      <c r="C69" s="8">
        <f>I68</f>
        <v/>
      </c>
      <c r="D69" s="4">
        <f>SUMIFS('01_異動主檔'!$F:$F,'01_異動主檔'!$B:$B,109,'01_異動主檔'!$D:$D,A69,'01_異動主檔'!$E:$E,"移入")</f>
        <v/>
      </c>
      <c r="E69" s="4">
        <f>-SUMIFS('01_異動主檔'!$F:$F,'01_異動主檔'!$B:$B,109,'01_異動主檔'!$D:$D,A69,'01_異動主檔'!$E:$E,"移出")</f>
        <v/>
      </c>
      <c r="F69" s="4">
        <f>SUMIFS('01_異動主檔'!$F:$F,'01_異動主檔'!$B:$B,109,'01_異動主檔'!$D:$D,A69,'01_異動主檔'!$E:$E,"新增")</f>
        <v/>
      </c>
      <c r="G69" s="4">
        <f>-SUMIFS('01_異動主檔'!$F:$F,'01_異動主檔'!$B:$B,109,'01_異動主檔'!$D:$D,A69,'01_異動主檔'!$E:$E,"減列")</f>
        <v/>
      </c>
      <c r="H69" s="4">
        <f>-SUMIFS('01_異動主檔'!$F:$F,'01_異動主檔'!$B:$B,109,'01_異動主檔'!$D:$D,A69,'01_異動主檔'!$E:$E,"精簡")</f>
        <v/>
      </c>
      <c r="I69" s="8">
        <f>C69+D69+E69+F69+G69+H69</f>
        <v/>
      </c>
    </row>
    <row r="70" ht="18" customHeight="1">
      <c r="A70" s="5" t="inlineStr">
        <is>
          <t>政風處</t>
        </is>
      </c>
      <c r="B70" s="6" t="n">
        <v>110</v>
      </c>
      <c r="C70" s="8">
        <f>I69</f>
        <v/>
      </c>
      <c r="D70" s="4">
        <f>SUMIFS('01_異動主檔'!$F:$F,'01_異動主檔'!$B:$B,110,'01_異動主檔'!$D:$D,A70,'01_異動主檔'!$E:$E,"移入")</f>
        <v/>
      </c>
      <c r="E70" s="4">
        <f>-SUMIFS('01_異動主檔'!$F:$F,'01_異動主檔'!$B:$B,110,'01_異動主檔'!$D:$D,A70,'01_異動主檔'!$E:$E,"移出")</f>
        <v/>
      </c>
      <c r="F70" s="4">
        <f>SUMIFS('01_異動主檔'!$F:$F,'01_異動主檔'!$B:$B,110,'01_異動主檔'!$D:$D,A70,'01_異動主檔'!$E:$E,"新增")</f>
        <v/>
      </c>
      <c r="G70" s="4">
        <f>-SUMIFS('01_異動主檔'!$F:$F,'01_異動主檔'!$B:$B,110,'01_異動主檔'!$D:$D,A70,'01_異動主檔'!$E:$E,"減列")</f>
        <v/>
      </c>
      <c r="H70" s="4">
        <f>-SUMIFS('01_異動主檔'!$F:$F,'01_異動主檔'!$B:$B,110,'01_異動主檔'!$D:$D,A70,'01_異動主檔'!$E:$E,"精簡")</f>
        <v/>
      </c>
      <c r="I70" s="8">
        <f>C70+D70+E70+F70+G70+H70</f>
        <v/>
      </c>
    </row>
    <row r="71" ht="18" customHeight="1">
      <c r="A71" s="3" t="inlineStr">
        <is>
          <t>政風處</t>
        </is>
      </c>
      <c r="B71" s="4" t="n">
        <v>111</v>
      </c>
      <c r="C71" s="8">
        <f>I70</f>
        <v/>
      </c>
      <c r="D71" s="4">
        <f>SUMIFS('01_異動主檔'!$F:$F,'01_異動主檔'!$B:$B,111,'01_異動主檔'!$D:$D,A71,'01_異動主檔'!$E:$E,"移入")</f>
        <v/>
      </c>
      <c r="E71" s="4">
        <f>-SUMIFS('01_異動主檔'!$F:$F,'01_異動主檔'!$B:$B,111,'01_異動主檔'!$D:$D,A71,'01_異動主檔'!$E:$E,"移出")</f>
        <v/>
      </c>
      <c r="F71" s="4">
        <f>SUMIFS('01_異動主檔'!$F:$F,'01_異動主檔'!$B:$B,111,'01_異動主檔'!$D:$D,A71,'01_異動主檔'!$E:$E,"新增")</f>
        <v/>
      </c>
      <c r="G71" s="4">
        <f>-SUMIFS('01_異動主檔'!$F:$F,'01_異動主檔'!$B:$B,111,'01_異動主檔'!$D:$D,A71,'01_異動主檔'!$E:$E,"減列")</f>
        <v/>
      </c>
      <c r="H71" s="4">
        <f>-SUMIFS('01_異動主檔'!$F:$F,'01_異動主檔'!$B:$B,111,'01_異動主檔'!$D:$D,A71,'01_異動主檔'!$E:$E,"精簡")</f>
        <v/>
      </c>
      <c r="I71" s="8">
        <f>C71+D71+E71+F71+G71+H71</f>
        <v/>
      </c>
    </row>
    <row r="72" ht="18" customHeight="1">
      <c r="A72" s="5" t="inlineStr">
        <is>
          <t>政風處</t>
        </is>
      </c>
      <c r="B72" s="6" t="n">
        <v>112</v>
      </c>
      <c r="C72" s="8">
        <f>I71</f>
        <v/>
      </c>
      <c r="D72" s="4">
        <f>SUMIFS('01_異動主檔'!$F:$F,'01_異動主檔'!$B:$B,112,'01_異動主檔'!$D:$D,A72,'01_異動主檔'!$E:$E,"移入")</f>
        <v/>
      </c>
      <c r="E72" s="4">
        <f>-SUMIFS('01_異動主檔'!$F:$F,'01_異動主檔'!$B:$B,112,'01_異動主檔'!$D:$D,A72,'01_異動主檔'!$E:$E,"移出")</f>
        <v/>
      </c>
      <c r="F72" s="4">
        <f>SUMIFS('01_異動主檔'!$F:$F,'01_異動主檔'!$B:$B,112,'01_異動主檔'!$D:$D,A72,'01_異動主檔'!$E:$E,"新增")</f>
        <v/>
      </c>
      <c r="G72" s="4">
        <f>-SUMIFS('01_異動主檔'!$F:$F,'01_異動主檔'!$B:$B,112,'01_異動主檔'!$D:$D,A72,'01_異動主檔'!$E:$E,"減列")</f>
        <v/>
      </c>
      <c r="H72" s="4">
        <f>-SUMIFS('01_異動主檔'!$F:$F,'01_異動主檔'!$B:$B,112,'01_異動主檔'!$D:$D,A72,'01_異動主檔'!$E:$E,"精簡")</f>
        <v/>
      </c>
      <c r="I72" s="8">
        <f>C72+D72+E72+F72+G72+H72</f>
        <v/>
      </c>
    </row>
    <row r="73" ht="18" customHeight="1">
      <c r="A73" s="3" t="inlineStr">
        <is>
          <t>政風處</t>
        </is>
      </c>
      <c r="B73" s="4" t="n">
        <v>113</v>
      </c>
      <c r="C73" s="8">
        <f>I72</f>
        <v/>
      </c>
      <c r="D73" s="4">
        <f>SUMIFS('01_異動主檔'!$F:$F,'01_異動主檔'!$B:$B,113,'01_異動主檔'!$D:$D,A73,'01_異動主檔'!$E:$E,"移入")</f>
        <v/>
      </c>
      <c r="E73" s="4">
        <f>-SUMIFS('01_異動主檔'!$F:$F,'01_異動主檔'!$B:$B,113,'01_異動主檔'!$D:$D,A73,'01_異動主檔'!$E:$E,"移出")</f>
        <v/>
      </c>
      <c r="F73" s="4">
        <f>SUMIFS('01_異動主檔'!$F:$F,'01_異動主檔'!$B:$B,113,'01_異動主檔'!$D:$D,A73,'01_異動主檔'!$E:$E,"新增")</f>
        <v/>
      </c>
      <c r="G73" s="4">
        <f>-SUMIFS('01_異動主檔'!$F:$F,'01_異動主檔'!$B:$B,113,'01_異動主檔'!$D:$D,A73,'01_異動主檔'!$E:$E,"減列")</f>
        <v/>
      </c>
      <c r="H73" s="4">
        <f>-SUMIFS('01_異動主檔'!$F:$F,'01_異動主檔'!$B:$B,113,'01_異動主檔'!$D:$D,A73,'01_異動主檔'!$E:$E,"精簡")</f>
        <v/>
      </c>
      <c r="I73" s="8">
        <f>C73+D73+E73+F73+G73+H73</f>
        <v/>
      </c>
    </row>
    <row r="74" ht="18" customHeight="1">
      <c r="A74" s="5" t="inlineStr">
        <is>
          <t>政風處</t>
        </is>
      </c>
      <c r="B74" s="6" t="n">
        <v>114</v>
      </c>
      <c r="C74" s="8">
        <f>I73</f>
        <v/>
      </c>
      <c r="D74" s="4">
        <f>SUMIFS('01_異動主檔'!$F:$F,'01_異動主檔'!$B:$B,114,'01_異動主檔'!$D:$D,A74,'01_異動主檔'!$E:$E,"移入")</f>
        <v/>
      </c>
      <c r="E74" s="4">
        <f>-SUMIFS('01_異動主檔'!$F:$F,'01_異動主檔'!$B:$B,114,'01_異動主檔'!$D:$D,A74,'01_異動主檔'!$E:$E,"移出")</f>
        <v/>
      </c>
      <c r="F74" s="4">
        <f>SUMIFS('01_異動主檔'!$F:$F,'01_異動主檔'!$B:$B,114,'01_異動主檔'!$D:$D,A74,'01_異動主檔'!$E:$E,"新增")</f>
        <v/>
      </c>
      <c r="G74" s="4">
        <f>-SUMIFS('01_異動主檔'!$F:$F,'01_異動主檔'!$B:$B,114,'01_異動主檔'!$D:$D,A74,'01_異動主檔'!$E:$E,"減列")</f>
        <v/>
      </c>
      <c r="H74" s="4">
        <f>-SUMIFS('01_異動主檔'!$F:$F,'01_異動主檔'!$B:$B,114,'01_異動主檔'!$D:$D,A74,'01_異動主檔'!$E:$E,"精簡")</f>
        <v/>
      </c>
      <c r="I74" s="8">
        <f>C74+D74+E74+F74+G74+H74</f>
        <v/>
      </c>
    </row>
    <row r="75" ht="18" customHeight="1">
      <c r="A75" s="3" t="inlineStr">
        <is>
          <t>政風處</t>
        </is>
      </c>
      <c r="B75" s="4" t="n">
        <v>115</v>
      </c>
      <c r="C75" s="8">
        <f>I74</f>
        <v/>
      </c>
      <c r="D75" s="4">
        <f>SUMIFS('01_異動主檔'!$F:$F,'01_異動主檔'!$B:$B,115,'01_異動主檔'!$D:$D,A75,'01_異動主檔'!$E:$E,"移入")</f>
        <v/>
      </c>
      <c r="E75" s="4">
        <f>-SUMIFS('01_異動主檔'!$F:$F,'01_異動主檔'!$B:$B,115,'01_異動主檔'!$D:$D,A75,'01_異動主檔'!$E:$E,"移出")</f>
        <v/>
      </c>
      <c r="F75" s="4">
        <f>SUMIFS('01_異動主檔'!$F:$F,'01_異動主檔'!$B:$B,115,'01_異動主檔'!$D:$D,A75,'01_異動主檔'!$E:$E,"新增")</f>
        <v/>
      </c>
      <c r="G75" s="4">
        <f>-SUMIFS('01_異動主檔'!$F:$F,'01_異動主檔'!$B:$B,115,'01_異動主檔'!$D:$D,A75,'01_異動主檔'!$E:$E,"減列")</f>
        <v/>
      </c>
      <c r="H75" s="4">
        <f>-SUMIFS('01_異動主檔'!$F:$F,'01_異動主檔'!$B:$B,115,'01_異動主檔'!$D:$D,A75,'01_異動主檔'!$E:$E,"精簡")</f>
        <v/>
      </c>
      <c r="I75" s="8">
        <f>C75+D75+E75+F75+G75+H75</f>
        <v/>
      </c>
    </row>
    <row r="76" ht="18" customHeight="1">
      <c r="A76" s="5" t="inlineStr">
        <is>
          <t>政風處</t>
        </is>
      </c>
      <c r="B76" s="6" t="n">
        <v>116</v>
      </c>
      <c r="C76" s="8">
        <f>I75</f>
        <v/>
      </c>
      <c r="D76" s="4">
        <f>SUMIFS('01_異動主檔'!$F:$F,'01_異動主檔'!$B:$B,116,'01_異動主檔'!$D:$D,A76,'01_異動主檔'!$E:$E,"移入")</f>
        <v/>
      </c>
      <c r="E76" s="4">
        <f>-SUMIFS('01_異動主檔'!$F:$F,'01_異動主檔'!$B:$B,116,'01_異動主檔'!$D:$D,A76,'01_異動主檔'!$E:$E,"移出")</f>
        <v/>
      </c>
      <c r="F76" s="4">
        <f>SUMIFS('01_異動主檔'!$F:$F,'01_異動主檔'!$B:$B,116,'01_異動主檔'!$D:$D,A76,'01_異動主檔'!$E:$E,"新增")</f>
        <v/>
      </c>
      <c r="G76" s="4">
        <f>-SUMIFS('01_異動主檔'!$F:$F,'01_異動主檔'!$B:$B,116,'01_異動主檔'!$D:$D,A76,'01_異動主檔'!$E:$E,"減列")</f>
        <v/>
      </c>
      <c r="H76" s="4">
        <f>-SUMIFS('01_異動主檔'!$F:$F,'01_異動主檔'!$B:$B,116,'01_異動主檔'!$D:$D,A76,'01_異動主檔'!$E:$E,"精簡")</f>
        <v/>
      </c>
      <c r="I76" s="8">
        <f>C76+D76+E76+F76+G76+H76</f>
        <v/>
      </c>
    </row>
    <row r="77" ht="18" customHeight="1">
      <c r="A77" s="3" t="inlineStr">
        <is>
          <t>政風處</t>
        </is>
      </c>
      <c r="B77" s="4" t="n">
        <v>117</v>
      </c>
      <c r="C77" s="8">
        <f>I76</f>
        <v/>
      </c>
      <c r="D77" s="4">
        <f>SUMIFS('01_異動主檔'!$F:$F,'01_異動主檔'!$B:$B,117,'01_異動主檔'!$D:$D,A77,'01_異動主檔'!$E:$E,"移入")</f>
        <v/>
      </c>
      <c r="E77" s="4">
        <f>-SUMIFS('01_異動主檔'!$F:$F,'01_異動主檔'!$B:$B,117,'01_異動主檔'!$D:$D,A77,'01_異動主檔'!$E:$E,"移出")</f>
        <v/>
      </c>
      <c r="F77" s="4">
        <f>SUMIFS('01_異動主檔'!$F:$F,'01_異動主檔'!$B:$B,117,'01_異動主檔'!$D:$D,A77,'01_異動主檔'!$E:$E,"新增")</f>
        <v/>
      </c>
      <c r="G77" s="4">
        <f>-SUMIFS('01_異動主檔'!$F:$F,'01_異動主檔'!$B:$B,117,'01_異動主檔'!$D:$D,A77,'01_異動主檔'!$E:$E,"減列")</f>
        <v/>
      </c>
      <c r="H77" s="4">
        <f>-SUMIFS('01_異動主檔'!$F:$F,'01_異動主檔'!$B:$B,117,'01_異動主檔'!$D:$D,A77,'01_異動主檔'!$E:$E,"精簡")</f>
        <v/>
      </c>
      <c r="I77" s="8">
        <f>C77+D77+E77+F77+G77+H77</f>
        <v/>
      </c>
    </row>
    <row r="78" ht="18" customHeight="1">
      <c r="A78" s="5" t="inlineStr">
        <is>
          <t>政風處</t>
        </is>
      </c>
      <c r="B78" s="6" t="n">
        <v>118</v>
      </c>
      <c r="C78" s="8">
        <f>I77</f>
        <v/>
      </c>
      <c r="D78" s="4">
        <f>SUMIFS('01_異動主檔'!$F:$F,'01_異動主檔'!$B:$B,118,'01_異動主檔'!$D:$D,A78,'01_異動主檔'!$E:$E,"移入")</f>
        <v/>
      </c>
      <c r="E78" s="4">
        <f>-SUMIFS('01_異動主檔'!$F:$F,'01_異動主檔'!$B:$B,118,'01_異動主檔'!$D:$D,A78,'01_異動主檔'!$E:$E,"移出")</f>
        <v/>
      </c>
      <c r="F78" s="4">
        <f>SUMIFS('01_異動主檔'!$F:$F,'01_異動主檔'!$B:$B,118,'01_異動主檔'!$D:$D,A78,'01_異動主檔'!$E:$E,"新增")</f>
        <v/>
      </c>
      <c r="G78" s="4">
        <f>-SUMIFS('01_異動主檔'!$F:$F,'01_異動主檔'!$B:$B,118,'01_異動主檔'!$D:$D,A78,'01_異動主檔'!$E:$E,"減列")</f>
        <v/>
      </c>
      <c r="H78" s="4">
        <f>-SUMIFS('01_異動主檔'!$F:$F,'01_異動主檔'!$B:$B,118,'01_異動主檔'!$D:$D,A78,'01_異動主檔'!$E:$E,"精簡")</f>
        <v/>
      </c>
      <c r="I78" s="8">
        <f>C78+D78+E78+F78+G78+H78</f>
        <v/>
      </c>
    </row>
    <row r="79" ht="18" customHeight="1">
      <c r="A79" s="3" t="inlineStr">
        <is>
          <t>政風處</t>
        </is>
      </c>
      <c r="B79" s="4" t="n">
        <v>119</v>
      </c>
      <c r="C79" s="8">
        <f>I78</f>
        <v/>
      </c>
      <c r="D79" s="4">
        <f>SUMIFS('01_異動主檔'!$F:$F,'01_異動主檔'!$B:$B,119,'01_異動主檔'!$D:$D,A79,'01_異動主檔'!$E:$E,"移入")</f>
        <v/>
      </c>
      <c r="E79" s="4">
        <f>-SUMIFS('01_異動主檔'!$F:$F,'01_異動主檔'!$B:$B,119,'01_異動主檔'!$D:$D,A79,'01_異動主檔'!$E:$E,"移出")</f>
        <v/>
      </c>
      <c r="F79" s="4">
        <f>SUMIFS('01_異動主檔'!$F:$F,'01_異動主檔'!$B:$B,119,'01_異動主檔'!$D:$D,A79,'01_異動主檔'!$E:$E,"新增")</f>
        <v/>
      </c>
      <c r="G79" s="4">
        <f>-SUMIFS('01_異動主檔'!$F:$F,'01_異動主檔'!$B:$B,119,'01_異動主檔'!$D:$D,A79,'01_異動主檔'!$E:$E,"減列")</f>
        <v/>
      </c>
      <c r="H79" s="4">
        <f>-SUMIFS('01_異動主檔'!$F:$F,'01_異動主檔'!$B:$B,119,'01_異動主檔'!$D:$D,A79,'01_異動主檔'!$E:$E,"精簡")</f>
        <v/>
      </c>
      <c r="I79" s="8">
        <f>C79+D79+E79+F79+G79+H79</f>
        <v/>
      </c>
    </row>
    <row r="80" ht="18" customHeight="1">
      <c r="A80" s="5" t="inlineStr">
        <is>
          <t>政風處</t>
        </is>
      </c>
      <c r="B80" s="6" t="n">
        <v>120</v>
      </c>
      <c r="C80" s="8">
        <f>I79</f>
        <v/>
      </c>
      <c r="D80" s="4">
        <f>SUMIFS('01_異動主檔'!$F:$F,'01_異動主檔'!$B:$B,120,'01_異動主檔'!$D:$D,A80,'01_異動主檔'!$E:$E,"移入")</f>
        <v/>
      </c>
      <c r="E80" s="4">
        <f>-SUMIFS('01_異動主檔'!$F:$F,'01_異動主檔'!$B:$B,120,'01_異動主檔'!$D:$D,A80,'01_異動主檔'!$E:$E,"移出")</f>
        <v/>
      </c>
      <c r="F80" s="4">
        <f>SUMIFS('01_異動主檔'!$F:$F,'01_異動主檔'!$B:$B,120,'01_異動主檔'!$D:$D,A80,'01_異動主檔'!$E:$E,"新增")</f>
        <v/>
      </c>
      <c r="G80" s="4">
        <f>-SUMIFS('01_異動主檔'!$F:$F,'01_異動主檔'!$B:$B,120,'01_異動主檔'!$D:$D,A80,'01_異動主檔'!$E:$E,"減列")</f>
        <v/>
      </c>
      <c r="H80" s="4">
        <f>-SUMIFS('01_異動主檔'!$F:$F,'01_異動主檔'!$B:$B,120,'01_異動主檔'!$D:$D,A80,'01_異動主檔'!$E:$E,"精簡")</f>
        <v/>
      </c>
      <c r="I80" s="8">
        <f>C80+D80+E80+F80+G80+H80</f>
        <v/>
      </c>
    </row>
    <row r="81" ht="18" customHeight="1">
      <c r="A81" s="3" t="inlineStr">
        <is>
          <t>政風處</t>
        </is>
      </c>
      <c r="B81" s="4" t="n">
        <v>121</v>
      </c>
      <c r="C81" s="8">
        <f>I80</f>
        <v/>
      </c>
      <c r="D81" s="4">
        <f>SUMIFS('01_異動主檔'!$F:$F,'01_異動主檔'!$B:$B,121,'01_異動主檔'!$D:$D,A81,'01_異動主檔'!$E:$E,"移入")</f>
        <v/>
      </c>
      <c r="E81" s="4">
        <f>-SUMIFS('01_異動主檔'!$F:$F,'01_異動主檔'!$B:$B,121,'01_異動主檔'!$D:$D,A81,'01_異動主檔'!$E:$E,"移出")</f>
        <v/>
      </c>
      <c r="F81" s="4">
        <f>SUMIFS('01_異動主檔'!$F:$F,'01_異動主檔'!$B:$B,121,'01_異動主檔'!$D:$D,A81,'01_異動主檔'!$E:$E,"新增")</f>
        <v/>
      </c>
      <c r="G81" s="4">
        <f>-SUMIFS('01_異動主檔'!$F:$F,'01_異動主檔'!$B:$B,121,'01_異動主檔'!$D:$D,A81,'01_異動主檔'!$E:$E,"減列")</f>
        <v/>
      </c>
      <c r="H81" s="4">
        <f>-SUMIFS('01_異動主檔'!$F:$F,'01_異動主檔'!$B:$B,121,'01_異動主檔'!$D:$D,A81,'01_異動主檔'!$E:$E,"精簡")</f>
        <v/>
      </c>
      <c r="I81" s="8">
        <f>C81+D81+E81+F81+G81+H81</f>
        <v/>
      </c>
    </row>
    <row r="82" ht="18" customHeight="1">
      <c r="A82" s="5" t="inlineStr">
        <is>
          <t>政風處</t>
        </is>
      </c>
      <c r="B82" s="6" t="n">
        <v>122</v>
      </c>
      <c r="C82" s="8">
        <f>I81</f>
        <v/>
      </c>
      <c r="D82" s="4">
        <f>SUMIFS('01_異動主檔'!$F:$F,'01_異動主檔'!$B:$B,122,'01_異動主檔'!$D:$D,A82,'01_異動主檔'!$E:$E,"移入")</f>
        <v/>
      </c>
      <c r="E82" s="4">
        <f>-SUMIFS('01_異動主檔'!$F:$F,'01_異動主檔'!$B:$B,122,'01_異動主檔'!$D:$D,A82,'01_異動主檔'!$E:$E,"移出")</f>
        <v/>
      </c>
      <c r="F82" s="4">
        <f>SUMIFS('01_異動主檔'!$F:$F,'01_異動主檔'!$B:$B,122,'01_異動主檔'!$D:$D,A82,'01_異動主檔'!$E:$E,"新增")</f>
        <v/>
      </c>
      <c r="G82" s="4">
        <f>-SUMIFS('01_異動主檔'!$F:$F,'01_異動主檔'!$B:$B,122,'01_異動主檔'!$D:$D,A82,'01_異動主檔'!$E:$E,"減列")</f>
        <v/>
      </c>
      <c r="H82" s="4">
        <f>-SUMIFS('01_異動主檔'!$F:$F,'01_異動主檔'!$B:$B,122,'01_異動主檔'!$D:$D,A82,'01_異動主檔'!$E:$E,"精簡")</f>
        <v/>
      </c>
      <c r="I82" s="8">
        <f>C82+D82+E82+F82+G82+H82</f>
        <v/>
      </c>
    </row>
    <row r="83" ht="18" customHeight="1">
      <c r="A83" s="3" t="inlineStr">
        <is>
          <t>政風處</t>
        </is>
      </c>
      <c r="B83" s="4" t="n">
        <v>123</v>
      </c>
      <c r="C83" s="8">
        <f>I82</f>
        <v/>
      </c>
      <c r="D83" s="4">
        <f>SUMIFS('01_異動主檔'!$F:$F,'01_異動主檔'!$B:$B,123,'01_異動主檔'!$D:$D,A83,'01_異動主檔'!$E:$E,"移入")</f>
        <v/>
      </c>
      <c r="E83" s="4">
        <f>-SUMIFS('01_異動主檔'!$F:$F,'01_異動主檔'!$B:$B,123,'01_異動主檔'!$D:$D,A83,'01_異動主檔'!$E:$E,"移出")</f>
        <v/>
      </c>
      <c r="F83" s="4">
        <f>SUMIFS('01_異動主檔'!$F:$F,'01_異動主檔'!$B:$B,123,'01_異動主檔'!$D:$D,A83,'01_異動主檔'!$E:$E,"新增")</f>
        <v/>
      </c>
      <c r="G83" s="4">
        <f>-SUMIFS('01_異動主檔'!$F:$F,'01_異動主檔'!$B:$B,123,'01_異動主檔'!$D:$D,A83,'01_異動主檔'!$E:$E,"減列")</f>
        <v/>
      </c>
      <c r="H83" s="4">
        <f>-SUMIFS('01_異動主檔'!$F:$F,'01_異動主檔'!$B:$B,123,'01_異動主檔'!$D:$D,A83,'01_異動主檔'!$E:$E,"精簡")</f>
        <v/>
      </c>
      <c r="I83" s="8">
        <f>C83+D83+E83+F83+G83+H83</f>
        <v/>
      </c>
    </row>
    <row r="84" ht="18" customHeight="1">
      <c r="A84" s="5" t="inlineStr">
        <is>
          <t>政風處</t>
        </is>
      </c>
      <c r="B84" s="6" t="n">
        <v>124</v>
      </c>
      <c r="C84" s="8">
        <f>I83</f>
        <v/>
      </c>
      <c r="D84" s="4">
        <f>SUMIFS('01_異動主檔'!$F:$F,'01_異動主檔'!$B:$B,124,'01_異動主檔'!$D:$D,A84,'01_異動主檔'!$E:$E,"移入")</f>
        <v/>
      </c>
      <c r="E84" s="4">
        <f>-SUMIFS('01_異動主檔'!$F:$F,'01_異動主檔'!$B:$B,124,'01_異動主檔'!$D:$D,A84,'01_異動主檔'!$E:$E,"移出")</f>
        <v/>
      </c>
      <c r="F84" s="4">
        <f>SUMIFS('01_異動主檔'!$F:$F,'01_異動主檔'!$B:$B,124,'01_異動主檔'!$D:$D,A84,'01_異動主檔'!$E:$E,"新增")</f>
        <v/>
      </c>
      <c r="G84" s="4">
        <f>-SUMIFS('01_異動主檔'!$F:$F,'01_異動主檔'!$B:$B,124,'01_異動主檔'!$D:$D,A84,'01_異動主檔'!$E:$E,"減列")</f>
        <v/>
      </c>
      <c r="H84" s="4">
        <f>-SUMIFS('01_異動主檔'!$F:$F,'01_異動主檔'!$B:$B,124,'01_異動主檔'!$D:$D,A84,'01_異動主檔'!$E:$E,"精簡")</f>
        <v/>
      </c>
      <c r="I84" s="8">
        <f>C84+D84+E84+F84+G84+H84</f>
        <v/>
      </c>
    </row>
    <row r="85" ht="18" customHeight="1">
      <c r="A85" s="3" t="inlineStr">
        <is>
          <t>政風處</t>
        </is>
      </c>
      <c r="B85" s="4" t="n">
        <v>125</v>
      </c>
      <c r="C85" s="8">
        <f>I84</f>
        <v/>
      </c>
      <c r="D85" s="4">
        <f>SUMIFS('01_異動主檔'!$F:$F,'01_異動主檔'!$B:$B,125,'01_異動主檔'!$D:$D,A85,'01_異動主檔'!$E:$E,"移入")</f>
        <v/>
      </c>
      <c r="E85" s="4">
        <f>-SUMIFS('01_異動主檔'!$F:$F,'01_異動主檔'!$B:$B,125,'01_異動主檔'!$D:$D,A85,'01_異動主檔'!$E:$E,"移出")</f>
        <v/>
      </c>
      <c r="F85" s="4">
        <f>SUMIFS('01_異動主檔'!$F:$F,'01_異動主檔'!$B:$B,125,'01_異動主檔'!$D:$D,A85,'01_異動主檔'!$E:$E,"新增")</f>
        <v/>
      </c>
      <c r="G85" s="4">
        <f>-SUMIFS('01_異動主檔'!$F:$F,'01_異動主檔'!$B:$B,125,'01_異動主檔'!$D:$D,A85,'01_異動主檔'!$E:$E,"減列")</f>
        <v/>
      </c>
      <c r="H85" s="4">
        <f>-SUMIFS('01_異動主檔'!$F:$F,'01_異動主檔'!$B:$B,125,'01_異動主檔'!$D:$D,A85,'01_異動主檔'!$E:$E,"精簡")</f>
        <v/>
      </c>
      <c r="I85" s="8">
        <f>C85+D85+E85+F85+G85+H85</f>
        <v/>
      </c>
    </row>
    <row r="86" ht="18" customHeight="1">
      <c r="A86" s="5" t="inlineStr">
        <is>
          <t>總務處</t>
        </is>
      </c>
      <c r="B86" s="6" t="n">
        <v>99</v>
      </c>
      <c r="C86" s="8">
        <f>'02_年初員額設定'!B8</f>
        <v/>
      </c>
      <c r="D86" s="4">
        <f>SUMIFS('01_異動主檔'!$F:$F,'01_異動主檔'!$B:$B,99,'01_異動主檔'!$D:$D,A86,'01_異動主檔'!$E:$E,"移入")</f>
        <v/>
      </c>
      <c r="E86" s="4">
        <f>-SUMIFS('01_異動主檔'!$F:$F,'01_異動主檔'!$B:$B,99,'01_異動主檔'!$D:$D,A86,'01_異動主檔'!$E:$E,"移出")</f>
        <v/>
      </c>
      <c r="F86" s="4">
        <f>SUMIFS('01_異動主檔'!$F:$F,'01_異動主檔'!$B:$B,99,'01_異動主檔'!$D:$D,A86,'01_異動主檔'!$E:$E,"新增")</f>
        <v/>
      </c>
      <c r="G86" s="4">
        <f>-SUMIFS('01_異動主檔'!$F:$F,'01_異動主檔'!$B:$B,99,'01_異動主檔'!$D:$D,A86,'01_異動主檔'!$E:$E,"減列")</f>
        <v/>
      </c>
      <c r="H86" s="4">
        <f>-SUMIFS('01_異動主檔'!$F:$F,'01_異動主檔'!$B:$B,99,'01_異動主檔'!$D:$D,A86,'01_異動主檔'!$E:$E,"精簡")</f>
        <v/>
      </c>
      <c r="I86" s="8">
        <f>C86+D86+E86+F86+G86+H86</f>
        <v/>
      </c>
    </row>
    <row r="87" ht="18" customHeight="1">
      <c r="A87" s="3" t="inlineStr">
        <is>
          <t>總務處</t>
        </is>
      </c>
      <c r="B87" s="4" t="n">
        <v>100</v>
      </c>
      <c r="C87" s="8">
        <f>I86</f>
        <v/>
      </c>
      <c r="D87" s="4">
        <f>SUMIFS('01_異動主檔'!$F:$F,'01_異動主檔'!$B:$B,100,'01_異動主檔'!$D:$D,A87,'01_異動主檔'!$E:$E,"移入")</f>
        <v/>
      </c>
      <c r="E87" s="4">
        <f>-SUMIFS('01_異動主檔'!$F:$F,'01_異動主檔'!$B:$B,100,'01_異動主檔'!$D:$D,A87,'01_異動主檔'!$E:$E,"移出")</f>
        <v/>
      </c>
      <c r="F87" s="4">
        <f>SUMIFS('01_異動主檔'!$F:$F,'01_異動主檔'!$B:$B,100,'01_異動主檔'!$D:$D,A87,'01_異動主檔'!$E:$E,"新增")</f>
        <v/>
      </c>
      <c r="G87" s="4">
        <f>-SUMIFS('01_異動主檔'!$F:$F,'01_異動主檔'!$B:$B,100,'01_異動主檔'!$D:$D,A87,'01_異動主檔'!$E:$E,"減列")</f>
        <v/>
      </c>
      <c r="H87" s="4">
        <f>-SUMIFS('01_異動主檔'!$F:$F,'01_異動主檔'!$B:$B,100,'01_異動主檔'!$D:$D,A87,'01_異動主檔'!$E:$E,"精簡")</f>
        <v/>
      </c>
      <c r="I87" s="8">
        <f>C87+D87+E87+F87+G87+H87</f>
        <v/>
      </c>
    </row>
    <row r="88" ht="18" customHeight="1">
      <c r="A88" s="5" t="inlineStr">
        <is>
          <t>總務處</t>
        </is>
      </c>
      <c r="B88" s="6" t="n">
        <v>101</v>
      </c>
      <c r="C88" s="8">
        <f>I87</f>
        <v/>
      </c>
      <c r="D88" s="4">
        <f>SUMIFS('01_異動主檔'!$F:$F,'01_異動主檔'!$B:$B,101,'01_異動主檔'!$D:$D,A88,'01_異動主檔'!$E:$E,"移入")</f>
        <v/>
      </c>
      <c r="E88" s="4">
        <f>-SUMIFS('01_異動主檔'!$F:$F,'01_異動主檔'!$B:$B,101,'01_異動主檔'!$D:$D,A88,'01_異動主檔'!$E:$E,"移出")</f>
        <v/>
      </c>
      <c r="F88" s="4">
        <f>SUMIFS('01_異動主檔'!$F:$F,'01_異動主檔'!$B:$B,101,'01_異動主檔'!$D:$D,A88,'01_異動主檔'!$E:$E,"新增")</f>
        <v/>
      </c>
      <c r="G88" s="4">
        <f>-SUMIFS('01_異動主檔'!$F:$F,'01_異動主檔'!$B:$B,101,'01_異動主檔'!$D:$D,A88,'01_異動主檔'!$E:$E,"減列")</f>
        <v/>
      </c>
      <c r="H88" s="4">
        <f>-SUMIFS('01_異動主檔'!$F:$F,'01_異動主檔'!$B:$B,101,'01_異動主檔'!$D:$D,A88,'01_異動主檔'!$E:$E,"精簡")</f>
        <v/>
      </c>
      <c r="I88" s="8">
        <f>C88+D88+E88+F88+G88+H88</f>
        <v/>
      </c>
    </row>
    <row r="89" ht="18" customHeight="1">
      <c r="A89" s="3" t="inlineStr">
        <is>
          <t>總務處</t>
        </is>
      </c>
      <c r="B89" s="4" t="n">
        <v>102</v>
      </c>
      <c r="C89" s="8">
        <f>I88</f>
        <v/>
      </c>
      <c r="D89" s="4">
        <f>SUMIFS('01_異動主檔'!$F:$F,'01_異動主檔'!$B:$B,102,'01_異動主檔'!$D:$D,A89,'01_異動主檔'!$E:$E,"移入")</f>
        <v/>
      </c>
      <c r="E89" s="4">
        <f>-SUMIFS('01_異動主檔'!$F:$F,'01_異動主檔'!$B:$B,102,'01_異動主檔'!$D:$D,A89,'01_異動主檔'!$E:$E,"移出")</f>
        <v/>
      </c>
      <c r="F89" s="4">
        <f>SUMIFS('01_異動主檔'!$F:$F,'01_異動主檔'!$B:$B,102,'01_異動主檔'!$D:$D,A89,'01_異動主檔'!$E:$E,"新增")</f>
        <v/>
      </c>
      <c r="G89" s="4">
        <f>-SUMIFS('01_異動主檔'!$F:$F,'01_異動主檔'!$B:$B,102,'01_異動主檔'!$D:$D,A89,'01_異動主檔'!$E:$E,"減列")</f>
        <v/>
      </c>
      <c r="H89" s="4">
        <f>-SUMIFS('01_異動主檔'!$F:$F,'01_異動主檔'!$B:$B,102,'01_異動主檔'!$D:$D,A89,'01_異動主檔'!$E:$E,"精簡")</f>
        <v/>
      </c>
      <c r="I89" s="8">
        <f>C89+D89+E89+F89+G89+H89</f>
        <v/>
      </c>
    </row>
    <row r="90" ht="18" customHeight="1">
      <c r="A90" s="5" t="inlineStr">
        <is>
          <t>總務處</t>
        </is>
      </c>
      <c r="B90" s="6" t="n">
        <v>103</v>
      </c>
      <c r="C90" s="8">
        <f>I89</f>
        <v/>
      </c>
      <c r="D90" s="4">
        <f>SUMIFS('01_異動主檔'!$F:$F,'01_異動主檔'!$B:$B,103,'01_異動主檔'!$D:$D,A90,'01_異動主檔'!$E:$E,"移入")</f>
        <v/>
      </c>
      <c r="E90" s="4">
        <f>-SUMIFS('01_異動主檔'!$F:$F,'01_異動主檔'!$B:$B,103,'01_異動主檔'!$D:$D,A90,'01_異動主檔'!$E:$E,"移出")</f>
        <v/>
      </c>
      <c r="F90" s="4">
        <f>SUMIFS('01_異動主檔'!$F:$F,'01_異動主檔'!$B:$B,103,'01_異動主檔'!$D:$D,A90,'01_異動主檔'!$E:$E,"新增")</f>
        <v/>
      </c>
      <c r="G90" s="4">
        <f>-SUMIFS('01_異動主檔'!$F:$F,'01_異動主檔'!$B:$B,103,'01_異動主檔'!$D:$D,A90,'01_異動主檔'!$E:$E,"減列")</f>
        <v/>
      </c>
      <c r="H90" s="4">
        <f>-SUMIFS('01_異動主檔'!$F:$F,'01_異動主檔'!$B:$B,103,'01_異動主檔'!$D:$D,A90,'01_異動主檔'!$E:$E,"精簡")</f>
        <v/>
      </c>
      <c r="I90" s="8">
        <f>C90+D90+E90+F90+G90+H90</f>
        <v/>
      </c>
    </row>
    <row r="91" ht="18" customHeight="1">
      <c r="A91" s="3" t="inlineStr">
        <is>
          <t>總務處</t>
        </is>
      </c>
      <c r="B91" s="4" t="n">
        <v>104</v>
      </c>
      <c r="C91" s="8">
        <f>I90</f>
        <v/>
      </c>
      <c r="D91" s="4">
        <f>SUMIFS('01_異動主檔'!$F:$F,'01_異動主檔'!$B:$B,104,'01_異動主檔'!$D:$D,A91,'01_異動主檔'!$E:$E,"移入")</f>
        <v/>
      </c>
      <c r="E91" s="4">
        <f>-SUMIFS('01_異動主檔'!$F:$F,'01_異動主檔'!$B:$B,104,'01_異動主檔'!$D:$D,A91,'01_異動主檔'!$E:$E,"移出")</f>
        <v/>
      </c>
      <c r="F91" s="4">
        <f>SUMIFS('01_異動主檔'!$F:$F,'01_異動主檔'!$B:$B,104,'01_異動主檔'!$D:$D,A91,'01_異動主檔'!$E:$E,"新增")</f>
        <v/>
      </c>
      <c r="G91" s="4">
        <f>-SUMIFS('01_異動主檔'!$F:$F,'01_異動主檔'!$B:$B,104,'01_異動主檔'!$D:$D,A91,'01_異動主檔'!$E:$E,"減列")</f>
        <v/>
      </c>
      <c r="H91" s="4">
        <f>-SUMIFS('01_異動主檔'!$F:$F,'01_異動主檔'!$B:$B,104,'01_異動主檔'!$D:$D,A91,'01_異動主檔'!$E:$E,"精簡")</f>
        <v/>
      </c>
      <c r="I91" s="8">
        <f>C91+D91+E91+F91+G91+H91</f>
        <v/>
      </c>
    </row>
    <row r="92" ht="18" customHeight="1">
      <c r="A92" s="5" t="inlineStr">
        <is>
          <t>總務處</t>
        </is>
      </c>
      <c r="B92" s="6" t="n">
        <v>105</v>
      </c>
      <c r="C92" s="8">
        <f>I91</f>
        <v/>
      </c>
      <c r="D92" s="4">
        <f>SUMIFS('01_異動主檔'!$F:$F,'01_異動主檔'!$B:$B,105,'01_異動主檔'!$D:$D,A92,'01_異動主檔'!$E:$E,"移入")</f>
        <v/>
      </c>
      <c r="E92" s="4">
        <f>-SUMIFS('01_異動主檔'!$F:$F,'01_異動主檔'!$B:$B,105,'01_異動主檔'!$D:$D,A92,'01_異動主檔'!$E:$E,"移出")</f>
        <v/>
      </c>
      <c r="F92" s="4">
        <f>SUMIFS('01_異動主檔'!$F:$F,'01_異動主檔'!$B:$B,105,'01_異動主檔'!$D:$D,A92,'01_異動主檔'!$E:$E,"新增")</f>
        <v/>
      </c>
      <c r="G92" s="4">
        <f>-SUMIFS('01_異動主檔'!$F:$F,'01_異動主檔'!$B:$B,105,'01_異動主檔'!$D:$D,A92,'01_異動主檔'!$E:$E,"減列")</f>
        <v/>
      </c>
      <c r="H92" s="4">
        <f>-SUMIFS('01_異動主檔'!$F:$F,'01_異動主檔'!$B:$B,105,'01_異動主檔'!$D:$D,A92,'01_異動主檔'!$E:$E,"精簡")</f>
        <v/>
      </c>
      <c r="I92" s="8">
        <f>C92+D92+E92+F92+G92+H92</f>
        <v/>
      </c>
    </row>
    <row r="93" ht="18" customHeight="1">
      <c r="A93" s="3" t="inlineStr">
        <is>
          <t>總務處</t>
        </is>
      </c>
      <c r="B93" s="4" t="n">
        <v>106</v>
      </c>
      <c r="C93" s="8">
        <f>I92</f>
        <v/>
      </c>
      <c r="D93" s="4">
        <f>SUMIFS('01_異動主檔'!$F:$F,'01_異動主檔'!$B:$B,106,'01_異動主檔'!$D:$D,A93,'01_異動主檔'!$E:$E,"移入")</f>
        <v/>
      </c>
      <c r="E93" s="4">
        <f>-SUMIFS('01_異動主檔'!$F:$F,'01_異動主檔'!$B:$B,106,'01_異動主檔'!$D:$D,A93,'01_異動主檔'!$E:$E,"移出")</f>
        <v/>
      </c>
      <c r="F93" s="4">
        <f>SUMIFS('01_異動主檔'!$F:$F,'01_異動主檔'!$B:$B,106,'01_異動主檔'!$D:$D,A93,'01_異動主檔'!$E:$E,"新增")</f>
        <v/>
      </c>
      <c r="G93" s="4">
        <f>-SUMIFS('01_異動主檔'!$F:$F,'01_異動主檔'!$B:$B,106,'01_異動主檔'!$D:$D,A93,'01_異動主檔'!$E:$E,"減列")</f>
        <v/>
      </c>
      <c r="H93" s="4">
        <f>-SUMIFS('01_異動主檔'!$F:$F,'01_異動主檔'!$B:$B,106,'01_異動主檔'!$D:$D,A93,'01_異動主檔'!$E:$E,"精簡")</f>
        <v/>
      </c>
      <c r="I93" s="8">
        <f>C93+D93+E93+F93+G93+H93</f>
        <v/>
      </c>
    </row>
    <row r="94" ht="18" customHeight="1">
      <c r="A94" s="5" t="inlineStr">
        <is>
          <t>總務處</t>
        </is>
      </c>
      <c r="B94" s="6" t="n">
        <v>107</v>
      </c>
      <c r="C94" s="8">
        <f>I93</f>
        <v/>
      </c>
      <c r="D94" s="4">
        <f>SUMIFS('01_異動主檔'!$F:$F,'01_異動主檔'!$B:$B,107,'01_異動主檔'!$D:$D,A94,'01_異動主檔'!$E:$E,"移入")</f>
        <v/>
      </c>
      <c r="E94" s="4">
        <f>-SUMIFS('01_異動主檔'!$F:$F,'01_異動主檔'!$B:$B,107,'01_異動主檔'!$D:$D,A94,'01_異動主檔'!$E:$E,"移出")</f>
        <v/>
      </c>
      <c r="F94" s="4">
        <f>SUMIFS('01_異動主檔'!$F:$F,'01_異動主檔'!$B:$B,107,'01_異動主檔'!$D:$D,A94,'01_異動主檔'!$E:$E,"新增")</f>
        <v/>
      </c>
      <c r="G94" s="4">
        <f>-SUMIFS('01_異動主檔'!$F:$F,'01_異動主檔'!$B:$B,107,'01_異動主檔'!$D:$D,A94,'01_異動主檔'!$E:$E,"減列")</f>
        <v/>
      </c>
      <c r="H94" s="4">
        <f>-SUMIFS('01_異動主檔'!$F:$F,'01_異動主檔'!$B:$B,107,'01_異動主檔'!$D:$D,A94,'01_異動主檔'!$E:$E,"精簡")</f>
        <v/>
      </c>
      <c r="I94" s="8">
        <f>C94+D94+E94+F94+G94+H94</f>
        <v/>
      </c>
    </row>
    <row r="95" ht="18" customHeight="1">
      <c r="A95" s="3" t="inlineStr">
        <is>
          <t>總務處</t>
        </is>
      </c>
      <c r="B95" s="4" t="n">
        <v>108</v>
      </c>
      <c r="C95" s="8">
        <f>I94</f>
        <v/>
      </c>
      <c r="D95" s="4">
        <f>SUMIFS('01_異動主檔'!$F:$F,'01_異動主檔'!$B:$B,108,'01_異動主檔'!$D:$D,A95,'01_異動主檔'!$E:$E,"移入")</f>
        <v/>
      </c>
      <c r="E95" s="4">
        <f>-SUMIFS('01_異動主檔'!$F:$F,'01_異動主檔'!$B:$B,108,'01_異動主檔'!$D:$D,A95,'01_異動主檔'!$E:$E,"移出")</f>
        <v/>
      </c>
      <c r="F95" s="4">
        <f>SUMIFS('01_異動主檔'!$F:$F,'01_異動主檔'!$B:$B,108,'01_異動主檔'!$D:$D,A95,'01_異動主檔'!$E:$E,"新增")</f>
        <v/>
      </c>
      <c r="G95" s="4">
        <f>-SUMIFS('01_異動主檔'!$F:$F,'01_異動主檔'!$B:$B,108,'01_異動主檔'!$D:$D,A95,'01_異動主檔'!$E:$E,"減列")</f>
        <v/>
      </c>
      <c r="H95" s="4">
        <f>-SUMIFS('01_異動主檔'!$F:$F,'01_異動主檔'!$B:$B,108,'01_異動主檔'!$D:$D,A95,'01_異動主檔'!$E:$E,"精簡")</f>
        <v/>
      </c>
      <c r="I95" s="8">
        <f>C95+D95+E95+F95+G95+H95</f>
        <v/>
      </c>
    </row>
    <row r="96" ht="18" customHeight="1">
      <c r="A96" s="5" t="inlineStr">
        <is>
          <t>總務處</t>
        </is>
      </c>
      <c r="B96" s="6" t="n">
        <v>109</v>
      </c>
      <c r="C96" s="8">
        <f>I95</f>
        <v/>
      </c>
      <c r="D96" s="4">
        <f>SUMIFS('01_異動主檔'!$F:$F,'01_異動主檔'!$B:$B,109,'01_異動主檔'!$D:$D,A96,'01_異動主檔'!$E:$E,"移入")</f>
        <v/>
      </c>
      <c r="E96" s="4">
        <f>-SUMIFS('01_異動主檔'!$F:$F,'01_異動主檔'!$B:$B,109,'01_異動主檔'!$D:$D,A96,'01_異動主檔'!$E:$E,"移出")</f>
        <v/>
      </c>
      <c r="F96" s="4">
        <f>SUMIFS('01_異動主檔'!$F:$F,'01_異動主檔'!$B:$B,109,'01_異動主檔'!$D:$D,A96,'01_異動主檔'!$E:$E,"新增")</f>
        <v/>
      </c>
      <c r="G96" s="4">
        <f>-SUMIFS('01_異動主檔'!$F:$F,'01_異動主檔'!$B:$B,109,'01_異動主檔'!$D:$D,A96,'01_異動主檔'!$E:$E,"減列")</f>
        <v/>
      </c>
      <c r="H96" s="4">
        <f>-SUMIFS('01_異動主檔'!$F:$F,'01_異動主檔'!$B:$B,109,'01_異動主檔'!$D:$D,A96,'01_異動主檔'!$E:$E,"精簡")</f>
        <v/>
      </c>
      <c r="I96" s="8">
        <f>C96+D96+E96+F96+G96+H96</f>
        <v/>
      </c>
    </row>
    <row r="97" ht="18" customHeight="1">
      <c r="A97" s="3" t="inlineStr">
        <is>
          <t>總務處</t>
        </is>
      </c>
      <c r="B97" s="4" t="n">
        <v>110</v>
      </c>
      <c r="C97" s="8">
        <f>I96</f>
        <v/>
      </c>
      <c r="D97" s="4">
        <f>SUMIFS('01_異動主檔'!$F:$F,'01_異動主檔'!$B:$B,110,'01_異動主檔'!$D:$D,A97,'01_異動主檔'!$E:$E,"移入")</f>
        <v/>
      </c>
      <c r="E97" s="4">
        <f>-SUMIFS('01_異動主檔'!$F:$F,'01_異動主檔'!$B:$B,110,'01_異動主檔'!$D:$D,A97,'01_異動主檔'!$E:$E,"移出")</f>
        <v/>
      </c>
      <c r="F97" s="4">
        <f>SUMIFS('01_異動主檔'!$F:$F,'01_異動主檔'!$B:$B,110,'01_異動主檔'!$D:$D,A97,'01_異動主檔'!$E:$E,"新增")</f>
        <v/>
      </c>
      <c r="G97" s="4">
        <f>-SUMIFS('01_異動主檔'!$F:$F,'01_異動主檔'!$B:$B,110,'01_異動主檔'!$D:$D,A97,'01_異動主檔'!$E:$E,"減列")</f>
        <v/>
      </c>
      <c r="H97" s="4">
        <f>-SUMIFS('01_異動主檔'!$F:$F,'01_異動主檔'!$B:$B,110,'01_異動主檔'!$D:$D,A97,'01_異動主檔'!$E:$E,"精簡")</f>
        <v/>
      </c>
      <c r="I97" s="8">
        <f>C97+D97+E97+F97+G97+H97</f>
        <v/>
      </c>
    </row>
    <row r="98" ht="18" customHeight="1">
      <c r="A98" s="5" t="inlineStr">
        <is>
          <t>總務處</t>
        </is>
      </c>
      <c r="B98" s="6" t="n">
        <v>111</v>
      </c>
      <c r="C98" s="8">
        <f>I97</f>
        <v/>
      </c>
      <c r="D98" s="4">
        <f>SUMIFS('01_異動主檔'!$F:$F,'01_異動主檔'!$B:$B,111,'01_異動主檔'!$D:$D,A98,'01_異動主檔'!$E:$E,"移入")</f>
        <v/>
      </c>
      <c r="E98" s="4">
        <f>-SUMIFS('01_異動主檔'!$F:$F,'01_異動主檔'!$B:$B,111,'01_異動主檔'!$D:$D,A98,'01_異動主檔'!$E:$E,"移出")</f>
        <v/>
      </c>
      <c r="F98" s="4">
        <f>SUMIFS('01_異動主檔'!$F:$F,'01_異動主檔'!$B:$B,111,'01_異動主檔'!$D:$D,A98,'01_異動主檔'!$E:$E,"新增")</f>
        <v/>
      </c>
      <c r="G98" s="4">
        <f>-SUMIFS('01_異動主檔'!$F:$F,'01_異動主檔'!$B:$B,111,'01_異動主檔'!$D:$D,A98,'01_異動主檔'!$E:$E,"減列")</f>
        <v/>
      </c>
      <c r="H98" s="4">
        <f>-SUMIFS('01_異動主檔'!$F:$F,'01_異動主檔'!$B:$B,111,'01_異動主檔'!$D:$D,A98,'01_異動主檔'!$E:$E,"精簡")</f>
        <v/>
      </c>
      <c r="I98" s="8">
        <f>C98+D98+E98+F98+G98+H98</f>
        <v/>
      </c>
    </row>
    <row r="99" ht="18" customHeight="1">
      <c r="A99" s="3" t="inlineStr">
        <is>
          <t>總務處</t>
        </is>
      </c>
      <c r="B99" s="4" t="n">
        <v>112</v>
      </c>
      <c r="C99" s="8">
        <f>I98</f>
        <v/>
      </c>
      <c r="D99" s="4">
        <f>SUMIFS('01_異動主檔'!$F:$F,'01_異動主檔'!$B:$B,112,'01_異動主檔'!$D:$D,A99,'01_異動主檔'!$E:$E,"移入")</f>
        <v/>
      </c>
      <c r="E99" s="4">
        <f>-SUMIFS('01_異動主檔'!$F:$F,'01_異動主檔'!$B:$B,112,'01_異動主檔'!$D:$D,A99,'01_異動主檔'!$E:$E,"移出")</f>
        <v/>
      </c>
      <c r="F99" s="4">
        <f>SUMIFS('01_異動主檔'!$F:$F,'01_異動主檔'!$B:$B,112,'01_異動主檔'!$D:$D,A99,'01_異動主檔'!$E:$E,"新增")</f>
        <v/>
      </c>
      <c r="G99" s="4">
        <f>-SUMIFS('01_異動主檔'!$F:$F,'01_異動主檔'!$B:$B,112,'01_異動主檔'!$D:$D,A99,'01_異動主檔'!$E:$E,"減列")</f>
        <v/>
      </c>
      <c r="H99" s="4">
        <f>-SUMIFS('01_異動主檔'!$F:$F,'01_異動主檔'!$B:$B,112,'01_異動主檔'!$D:$D,A99,'01_異動主檔'!$E:$E,"精簡")</f>
        <v/>
      </c>
      <c r="I99" s="8">
        <f>C99+D99+E99+F99+G99+H99</f>
        <v/>
      </c>
    </row>
    <row r="100" ht="18" customHeight="1">
      <c r="A100" s="5" t="inlineStr">
        <is>
          <t>總務處</t>
        </is>
      </c>
      <c r="B100" s="6" t="n">
        <v>113</v>
      </c>
      <c r="C100" s="8">
        <f>I99</f>
        <v/>
      </c>
      <c r="D100" s="4">
        <f>SUMIFS('01_異動主檔'!$F:$F,'01_異動主檔'!$B:$B,113,'01_異動主檔'!$D:$D,A100,'01_異動主檔'!$E:$E,"移入")</f>
        <v/>
      </c>
      <c r="E100" s="4">
        <f>-SUMIFS('01_異動主檔'!$F:$F,'01_異動主檔'!$B:$B,113,'01_異動主檔'!$D:$D,A100,'01_異動主檔'!$E:$E,"移出")</f>
        <v/>
      </c>
      <c r="F100" s="4">
        <f>SUMIFS('01_異動主檔'!$F:$F,'01_異動主檔'!$B:$B,113,'01_異動主檔'!$D:$D,A100,'01_異動主檔'!$E:$E,"新增")</f>
        <v/>
      </c>
      <c r="G100" s="4">
        <f>-SUMIFS('01_異動主檔'!$F:$F,'01_異動主檔'!$B:$B,113,'01_異動主檔'!$D:$D,A100,'01_異動主檔'!$E:$E,"減列")</f>
        <v/>
      </c>
      <c r="H100" s="4">
        <f>-SUMIFS('01_異動主檔'!$F:$F,'01_異動主檔'!$B:$B,113,'01_異動主檔'!$D:$D,A100,'01_異動主檔'!$E:$E,"精簡")</f>
        <v/>
      </c>
      <c r="I100" s="8">
        <f>C100+D100+E100+F100+G100+H100</f>
        <v/>
      </c>
    </row>
    <row r="101" ht="18" customHeight="1">
      <c r="A101" s="3" t="inlineStr">
        <is>
          <t>總務處</t>
        </is>
      </c>
      <c r="B101" s="4" t="n">
        <v>114</v>
      </c>
      <c r="C101" s="8">
        <f>I100</f>
        <v/>
      </c>
      <c r="D101" s="4">
        <f>SUMIFS('01_異動主檔'!$F:$F,'01_異動主檔'!$B:$B,114,'01_異動主檔'!$D:$D,A101,'01_異動主檔'!$E:$E,"移入")</f>
        <v/>
      </c>
      <c r="E101" s="4">
        <f>-SUMIFS('01_異動主檔'!$F:$F,'01_異動主檔'!$B:$B,114,'01_異動主檔'!$D:$D,A101,'01_異動主檔'!$E:$E,"移出")</f>
        <v/>
      </c>
      <c r="F101" s="4">
        <f>SUMIFS('01_異動主檔'!$F:$F,'01_異動主檔'!$B:$B,114,'01_異動主檔'!$D:$D,A101,'01_異動主檔'!$E:$E,"新增")</f>
        <v/>
      </c>
      <c r="G101" s="4">
        <f>-SUMIFS('01_異動主檔'!$F:$F,'01_異動主檔'!$B:$B,114,'01_異動主檔'!$D:$D,A101,'01_異動主檔'!$E:$E,"減列")</f>
        <v/>
      </c>
      <c r="H101" s="4">
        <f>-SUMIFS('01_異動主檔'!$F:$F,'01_異動主檔'!$B:$B,114,'01_異動主檔'!$D:$D,A101,'01_異動主檔'!$E:$E,"精簡")</f>
        <v/>
      </c>
      <c r="I101" s="8">
        <f>C101+D101+E101+F101+G101+H101</f>
        <v/>
      </c>
    </row>
    <row r="102" ht="18" customHeight="1">
      <c r="A102" s="5" t="inlineStr">
        <is>
          <t>總務處</t>
        </is>
      </c>
      <c r="B102" s="6" t="n">
        <v>115</v>
      </c>
      <c r="C102" s="8">
        <f>I101</f>
        <v/>
      </c>
      <c r="D102" s="4">
        <f>SUMIFS('01_異動主檔'!$F:$F,'01_異動主檔'!$B:$B,115,'01_異動主檔'!$D:$D,A102,'01_異動主檔'!$E:$E,"移入")</f>
        <v/>
      </c>
      <c r="E102" s="4">
        <f>-SUMIFS('01_異動主檔'!$F:$F,'01_異動主檔'!$B:$B,115,'01_異動主檔'!$D:$D,A102,'01_異動主檔'!$E:$E,"移出")</f>
        <v/>
      </c>
      <c r="F102" s="4">
        <f>SUMIFS('01_異動主檔'!$F:$F,'01_異動主檔'!$B:$B,115,'01_異動主檔'!$D:$D,A102,'01_異動主檔'!$E:$E,"新增")</f>
        <v/>
      </c>
      <c r="G102" s="4">
        <f>-SUMIFS('01_異動主檔'!$F:$F,'01_異動主檔'!$B:$B,115,'01_異動主檔'!$D:$D,A102,'01_異動主檔'!$E:$E,"減列")</f>
        <v/>
      </c>
      <c r="H102" s="4">
        <f>-SUMIFS('01_異動主檔'!$F:$F,'01_異動主檔'!$B:$B,115,'01_異動主檔'!$D:$D,A102,'01_異動主檔'!$E:$E,"精簡")</f>
        <v/>
      </c>
      <c r="I102" s="8">
        <f>C102+D102+E102+F102+G102+H102</f>
        <v/>
      </c>
    </row>
    <row r="103" ht="18" customHeight="1">
      <c r="A103" s="3" t="inlineStr">
        <is>
          <t>總務處</t>
        </is>
      </c>
      <c r="B103" s="4" t="n">
        <v>116</v>
      </c>
      <c r="C103" s="8">
        <f>I102</f>
        <v/>
      </c>
      <c r="D103" s="4">
        <f>SUMIFS('01_異動主檔'!$F:$F,'01_異動主檔'!$B:$B,116,'01_異動主檔'!$D:$D,A103,'01_異動主檔'!$E:$E,"移入")</f>
        <v/>
      </c>
      <c r="E103" s="4">
        <f>-SUMIFS('01_異動主檔'!$F:$F,'01_異動主檔'!$B:$B,116,'01_異動主檔'!$D:$D,A103,'01_異動主檔'!$E:$E,"移出")</f>
        <v/>
      </c>
      <c r="F103" s="4">
        <f>SUMIFS('01_異動主檔'!$F:$F,'01_異動主檔'!$B:$B,116,'01_異動主檔'!$D:$D,A103,'01_異動主檔'!$E:$E,"新增")</f>
        <v/>
      </c>
      <c r="G103" s="4">
        <f>-SUMIFS('01_異動主檔'!$F:$F,'01_異動主檔'!$B:$B,116,'01_異動主檔'!$D:$D,A103,'01_異動主檔'!$E:$E,"減列")</f>
        <v/>
      </c>
      <c r="H103" s="4">
        <f>-SUMIFS('01_異動主檔'!$F:$F,'01_異動主檔'!$B:$B,116,'01_異動主檔'!$D:$D,A103,'01_異動主檔'!$E:$E,"精簡")</f>
        <v/>
      </c>
      <c r="I103" s="8">
        <f>C103+D103+E103+F103+G103+H103</f>
        <v/>
      </c>
    </row>
    <row r="104" ht="18" customHeight="1">
      <c r="A104" s="5" t="inlineStr">
        <is>
          <t>總務處</t>
        </is>
      </c>
      <c r="B104" s="6" t="n">
        <v>117</v>
      </c>
      <c r="C104" s="8">
        <f>I103</f>
        <v/>
      </c>
      <c r="D104" s="4">
        <f>SUMIFS('01_異動主檔'!$F:$F,'01_異動主檔'!$B:$B,117,'01_異動主檔'!$D:$D,A104,'01_異動主檔'!$E:$E,"移入")</f>
        <v/>
      </c>
      <c r="E104" s="4">
        <f>-SUMIFS('01_異動主檔'!$F:$F,'01_異動主檔'!$B:$B,117,'01_異動主檔'!$D:$D,A104,'01_異動主檔'!$E:$E,"移出")</f>
        <v/>
      </c>
      <c r="F104" s="4">
        <f>SUMIFS('01_異動主檔'!$F:$F,'01_異動主檔'!$B:$B,117,'01_異動主檔'!$D:$D,A104,'01_異動主檔'!$E:$E,"新增")</f>
        <v/>
      </c>
      <c r="G104" s="4">
        <f>-SUMIFS('01_異動主檔'!$F:$F,'01_異動主檔'!$B:$B,117,'01_異動主檔'!$D:$D,A104,'01_異動主檔'!$E:$E,"減列")</f>
        <v/>
      </c>
      <c r="H104" s="4">
        <f>-SUMIFS('01_異動主檔'!$F:$F,'01_異動主檔'!$B:$B,117,'01_異動主檔'!$D:$D,A104,'01_異動主檔'!$E:$E,"精簡")</f>
        <v/>
      </c>
      <c r="I104" s="8">
        <f>C104+D104+E104+F104+G104+H104</f>
        <v/>
      </c>
    </row>
    <row r="105" ht="18" customHeight="1">
      <c r="A105" s="3" t="inlineStr">
        <is>
          <t>總務處</t>
        </is>
      </c>
      <c r="B105" s="4" t="n">
        <v>118</v>
      </c>
      <c r="C105" s="8">
        <f>I104</f>
        <v/>
      </c>
      <c r="D105" s="4">
        <f>SUMIFS('01_異動主檔'!$F:$F,'01_異動主檔'!$B:$B,118,'01_異動主檔'!$D:$D,A105,'01_異動主檔'!$E:$E,"移入")</f>
        <v/>
      </c>
      <c r="E105" s="4">
        <f>-SUMIFS('01_異動主檔'!$F:$F,'01_異動主檔'!$B:$B,118,'01_異動主檔'!$D:$D,A105,'01_異動主檔'!$E:$E,"移出")</f>
        <v/>
      </c>
      <c r="F105" s="4">
        <f>SUMIFS('01_異動主檔'!$F:$F,'01_異動主檔'!$B:$B,118,'01_異動主檔'!$D:$D,A105,'01_異動主檔'!$E:$E,"新增")</f>
        <v/>
      </c>
      <c r="G105" s="4">
        <f>-SUMIFS('01_異動主檔'!$F:$F,'01_異動主檔'!$B:$B,118,'01_異動主檔'!$D:$D,A105,'01_異動主檔'!$E:$E,"減列")</f>
        <v/>
      </c>
      <c r="H105" s="4">
        <f>-SUMIFS('01_異動主檔'!$F:$F,'01_異動主檔'!$B:$B,118,'01_異動主檔'!$D:$D,A105,'01_異動主檔'!$E:$E,"精簡")</f>
        <v/>
      </c>
      <c r="I105" s="8">
        <f>C105+D105+E105+F105+G105+H105</f>
        <v/>
      </c>
    </row>
    <row r="106" ht="18" customHeight="1">
      <c r="A106" s="5" t="inlineStr">
        <is>
          <t>總務處</t>
        </is>
      </c>
      <c r="B106" s="6" t="n">
        <v>119</v>
      </c>
      <c r="C106" s="8">
        <f>I105</f>
        <v/>
      </c>
      <c r="D106" s="4">
        <f>SUMIFS('01_異動主檔'!$F:$F,'01_異動主檔'!$B:$B,119,'01_異動主檔'!$D:$D,A106,'01_異動主檔'!$E:$E,"移入")</f>
        <v/>
      </c>
      <c r="E106" s="4">
        <f>-SUMIFS('01_異動主檔'!$F:$F,'01_異動主檔'!$B:$B,119,'01_異動主檔'!$D:$D,A106,'01_異動主檔'!$E:$E,"移出")</f>
        <v/>
      </c>
      <c r="F106" s="4">
        <f>SUMIFS('01_異動主檔'!$F:$F,'01_異動主檔'!$B:$B,119,'01_異動主檔'!$D:$D,A106,'01_異動主檔'!$E:$E,"新增")</f>
        <v/>
      </c>
      <c r="G106" s="4">
        <f>-SUMIFS('01_異動主檔'!$F:$F,'01_異動主檔'!$B:$B,119,'01_異動主檔'!$D:$D,A106,'01_異動主檔'!$E:$E,"減列")</f>
        <v/>
      </c>
      <c r="H106" s="4">
        <f>-SUMIFS('01_異動主檔'!$F:$F,'01_異動主檔'!$B:$B,119,'01_異動主檔'!$D:$D,A106,'01_異動主檔'!$E:$E,"精簡")</f>
        <v/>
      </c>
      <c r="I106" s="8">
        <f>C106+D106+E106+F106+G106+H106</f>
        <v/>
      </c>
    </row>
    <row r="107" ht="18" customHeight="1">
      <c r="A107" s="3" t="inlineStr">
        <is>
          <t>總務處</t>
        </is>
      </c>
      <c r="B107" s="4" t="n">
        <v>120</v>
      </c>
      <c r="C107" s="8">
        <f>I106</f>
        <v/>
      </c>
      <c r="D107" s="4">
        <f>SUMIFS('01_異動主檔'!$F:$F,'01_異動主檔'!$B:$B,120,'01_異動主檔'!$D:$D,A107,'01_異動主檔'!$E:$E,"移入")</f>
        <v/>
      </c>
      <c r="E107" s="4">
        <f>-SUMIFS('01_異動主檔'!$F:$F,'01_異動主檔'!$B:$B,120,'01_異動主檔'!$D:$D,A107,'01_異動主檔'!$E:$E,"移出")</f>
        <v/>
      </c>
      <c r="F107" s="4">
        <f>SUMIFS('01_異動主檔'!$F:$F,'01_異動主檔'!$B:$B,120,'01_異動主檔'!$D:$D,A107,'01_異動主檔'!$E:$E,"新增")</f>
        <v/>
      </c>
      <c r="G107" s="4">
        <f>-SUMIFS('01_異動主檔'!$F:$F,'01_異動主檔'!$B:$B,120,'01_異動主檔'!$D:$D,A107,'01_異動主檔'!$E:$E,"減列")</f>
        <v/>
      </c>
      <c r="H107" s="4">
        <f>-SUMIFS('01_異動主檔'!$F:$F,'01_異動主檔'!$B:$B,120,'01_異動主檔'!$D:$D,A107,'01_異動主檔'!$E:$E,"精簡")</f>
        <v/>
      </c>
      <c r="I107" s="8">
        <f>C107+D107+E107+F107+G107+H107</f>
        <v/>
      </c>
    </row>
    <row r="108" ht="18" customHeight="1">
      <c r="A108" s="5" t="inlineStr">
        <is>
          <t>總務處</t>
        </is>
      </c>
      <c r="B108" s="6" t="n">
        <v>121</v>
      </c>
      <c r="C108" s="8">
        <f>I107</f>
        <v/>
      </c>
      <c r="D108" s="4">
        <f>SUMIFS('01_異動主檔'!$F:$F,'01_異動主檔'!$B:$B,121,'01_異動主檔'!$D:$D,A108,'01_異動主檔'!$E:$E,"移入")</f>
        <v/>
      </c>
      <c r="E108" s="4">
        <f>-SUMIFS('01_異動主檔'!$F:$F,'01_異動主檔'!$B:$B,121,'01_異動主檔'!$D:$D,A108,'01_異動主檔'!$E:$E,"移出")</f>
        <v/>
      </c>
      <c r="F108" s="4">
        <f>SUMIFS('01_異動主檔'!$F:$F,'01_異動主檔'!$B:$B,121,'01_異動主檔'!$D:$D,A108,'01_異動主檔'!$E:$E,"新增")</f>
        <v/>
      </c>
      <c r="G108" s="4">
        <f>-SUMIFS('01_異動主檔'!$F:$F,'01_異動主檔'!$B:$B,121,'01_異動主檔'!$D:$D,A108,'01_異動主檔'!$E:$E,"減列")</f>
        <v/>
      </c>
      <c r="H108" s="4">
        <f>-SUMIFS('01_異動主檔'!$F:$F,'01_異動主檔'!$B:$B,121,'01_異動主檔'!$D:$D,A108,'01_異動主檔'!$E:$E,"精簡")</f>
        <v/>
      </c>
      <c r="I108" s="8">
        <f>C108+D108+E108+F108+G108+H108</f>
        <v/>
      </c>
    </row>
    <row r="109" ht="18" customHeight="1">
      <c r="A109" s="3" t="inlineStr">
        <is>
          <t>總務處</t>
        </is>
      </c>
      <c r="B109" s="4" t="n">
        <v>122</v>
      </c>
      <c r="C109" s="8">
        <f>I108</f>
        <v/>
      </c>
      <c r="D109" s="4">
        <f>SUMIFS('01_異動主檔'!$F:$F,'01_異動主檔'!$B:$B,122,'01_異動主檔'!$D:$D,A109,'01_異動主檔'!$E:$E,"移入")</f>
        <v/>
      </c>
      <c r="E109" s="4">
        <f>-SUMIFS('01_異動主檔'!$F:$F,'01_異動主檔'!$B:$B,122,'01_異動主檔'!$D:$D,A109,'01_異動主檔'!$E:$E,"移出")</f>
        <v/>
      </c>
      <c r="F109" s="4">
        <f>SUMIFS('01_異動主檔'!$F:$F,'01_異動主檔'!$B:$B,122,'01_異動主檔'!$D:$D,A109,'01_異動主檔'!$E:$E,"新增")</f>
        <v/>
      </c>
      <c r="G109" s="4">
        <f>-SUMIFS('01_異動主檔'!$F:$F,'01_異動主檔'!$B:$B,122,'01_異動主檔'!$D:$D,A109,'01_異動主檔'!$E:$E,"減列")</f>
        <v/>
      </c>
      <c r="H109" s="4">
        <f>-SUMIFS('01_異動主檔'!$F:$F,'01_異動主檔'!$B:$B,122,'01_異動主檔'!$D:$D,A109,'01_異動主檔'!$E:$E,"精簡")</f>
        <v/>
      </c>
      <c r="I109" s="8">
        <f>C109+D109+E109+F109+G109+H109</f>
        <v/>
      </c>
    </row>
    <row r="110" ht="18" customHeight="1">
      <c r="A110" s="5" t="inlineStr">
        <is>
          <t>總務處</t>
        </is>
      </c>
      <c r="B110" s="6" t="n">
        <v>123</v>
      </c>
      <c r="C110" s="8">
        <f>I109</f>
        <v/>
      </c>
      <c r="D110" s="4">
        <f>SUMIFS('01_異動主檔'!$F:$F,'01_異動主檔'!$B:$B,123,'01_異動主檔'!$D:$D,A110,'01_異動主檔'!$E:$E,"移入")</f>
        <v/>
      </c>
      <c r="E110" s="4">
        <f>-SUMIFS('01_異動主檔'!$F:$F,'01_異動主檔'!$B:$B,123,'01_異動主檔'!$D:$D,A110,'01_異動主檔'!$E:$E,"移出")</f>
        <v/>
      </c>
      <c r="F110" s="4">
        <f>SUMIFS('01_異動主檔'!$F:$F,'01_異動主檔'!$B:$B,123,'01_異動主檔'!$D:$D,A110,'01_異動主檔'!$E:$E,"新增")</f>
        <v/>
      </c>
      <c r="G110" s="4">
        <f>-SUMIFS('01_異動主檔'!$F:$F,'01_異動主檔'!$B:$B,123,'01_異動主檔'!$D:$D,A110,'01_異動主檔'!$E:$E,"減列")</f>
        <v/>
      </c>
      <c r="H110" s="4">
        <f>-SUMIFS('01_異動主檔'!$F:$F,'01_異動主檔'!$B:$B,123,'01_異動主檔'!$D:$D,A110,'01_異動主檔'!$E:$E,"精簡")</f>
        <v/>
      </c>
      <c r="I110" s="8">
        <f>C110+D110+E110+F110+G110+H110</f>
        <v/>
      </c>
    </row>
    <row r="111" ht="18" customHeight="1">
      <c r="A111" s="3" t="inlineStr">
        <is>
          <t>總務處</t>
        </is>
      </c>
      <c r="B111" s="4" t="n">
        <v>124</v>
      </c>
      <c r="C111" s="8">
        <f>I110</f>
        <v/>
      </c>
      <c r="D111" s="4">
        <f>SUMIFS('01_異動主檔'!$F:$F,'01_異動主檔'!$B:$B,124,'01_異動主檔'!$D:$D,A111,'01_異動主檔'!$E:$E,"移入")</f>
        <v/>
      </c>
      <c r="E111" s="4">
        <f>-SUMIFS('01_異動主檔'!$F:$F,'01_異動主檔'!$B:$B,124,'01_異動主檔'!$D:$D,A111,'01_異動主檔'!$E:$E,"移出")</f>
        <v/>
      </c>
      <c r="F111" s="4">
        <f>SUMIFS('01_異動主檔'!$F:$F,'01_異動主檔'!$B:$B,124,'01_異動主檔'!$D:$D,A111,'01_異動主檔'!$E:$E,"新增")</f>
        <v/>
      </c>
      <c r="G111" s="4">
        <f>-SUMIFS('01_異動主檔'!$F:$F,'01_異動主檔'!$B:$B,124,'01_異動主檔'!$D:$D,A111,'01_異動主檔'!$E:$E,"減列")</f>
        <v/>
      </c>
      <c r="H111" s="4">
        <f>-SUMIFS('01_異動主檔'!$F:$F,'01_異動主檔'!$B:$B,124,'01_異動主檔'!$D:$D,A111,'01_異動主檔'!$E:$E,"精簡")</f>
        <v/>
      </c>
      <c r="I111" s="8">
        <f>C111+D111+E111+F111+G111+H111</f>
        <v/>
      </c>
    </row>
    <row r="112" ht="18" customHeight="1">
      <c r="A112" s="5" t="inlineStr">
        <is>
          <t>總務處</t>
        </is>
      </c>
      <c r="B112" s="6" t="n">
        <v>125</v>
      </c>
      <c r="C112" s="8">
        <f>I111</f>
        <v/>
      </c>
      <c r="D112" s="4">
        <f>SUMIFS('01_異動主檔'!$F:$F,'01_異動主檔'!$B:$B,125,'01_異動主檔'!$D:$D,A112,'01_異動主檔'!$E:$E,"移入")</f>
        <v/>
      </c>
      <c r="E112" s="4">
        <f>-SUMIFS('01_異動主檔'!$F:$F,'01_異動主檔'!$B:$B,125,'01_異動主檔'!$D:$D,A112,'01_異動主檔'!$E:$E,"移出")</f>
        <v/>
      </c>
      <c r="F112" s="4">
        <f>SUMIFS('01_異動主檔'!$F:$F,'01_異動主檔'!$B:$B,125,'01_異動主檔'!$D:$D,A112,'01_異動主檔'!$E:$E,"新增")</f>
        <v/>
      </c>
      <c r="G112" s="4">
        <f>-SUMIFS('01_異動主檔'!$F:$F,'01_異動主檔'!$B:$B,125,'01_異動主檔'!$D:$D,A112,'01_異動主檔'!$E:$E,"減列")</f>
        <v/>
      </c>
      <c r="H112" s="4">
        <f>-SUMIFS('01_異動主檔'!$F:$F,'01_異動主檔'!$B:$B,125,'01_異動主檔'!$D:$D,A112,'01_異動主檔'!$E:$E,"精簡")</f>
        <v/>
      </c>
      <c r="I112" s="8">
        <f>C112+D112+E112+F112+G112+H112</f>
        <v/>
      </c>
    </row>
    <row r="113" ht="18" customHeight="1">
      <c r="A113" s="3" t="inlineStr">
        <is>
          <t>資訊處</t>
        </is>
      </c>
      <c r="B113" s="4" t="n">
        <v>99</v>
      </c>
      <c r="C113" s="8">
        <f>'02_年初員額設定'!B9</f>
        <v/>
      </c>
      <c r="D113" s="4">
        <f>SUMIFS('01_異動主檔'!$F:$F,'01_異動主檔'!$B:$B,99,'01_異動主檔'!$D:$D,A113,'01_異動主檔'!$E:$E,"移入")</f>
        <v/>
      </c>
      <c r="E113" s="4">
        <f>-SUMIFS('01_異動主檔'!$F:$F,'01_異動主檔'!$B:$B,99,'01_異動主檔'!$D:$D,A113,'01_異動主檔'!$E:$E,"移出")</f>
        <v/>
      </c>
      <c r="F113" s="4">
        <f>SUMIFS('01_異動主檔'!$F:$F,'01_異動主檔'!$B:$B,99,'01_異動主檔'!$D:$D,A113,'01_異動主檔'!$E:$E,"新增")</f>
        <v/>
      </c>
      <c r="G113" s="4">
        <f>-SUMIFS('01_異動主檔'!$F:$F,'01_異動主檔'!$B:$B,99,'01_異動主檔'!$D:$D,A113,'01_異動主檔'!$E:$E,"減列")</f>
        <v/>
      </c>
      <c r="H113" s="4">
        <f>-SUMIFS('01_異動主檔'!$F:$F,'01_異動主檔'!$B:$B,99,'01_異動主檔'!$D:$D,A113,'01_異動主檔'!$E:$E,"精簡")</f>
        <v/>
      </c>
      <c r="I113" s="8">
        <f>C113+D113+E113+F113+G113+H113</f>
        <v/>
      </c>
    </row>
    <row r="114" ht="18" customHeight="1">
      <c r="A114" s="5" t="inlineStr">
        <is>
          <t>資訊處</t>
        </is>
      </c>
      <c r="B114" s="6" t="n">
        <v>100</v>
      </c>
      <c r="C114" s="8">
        <f>I113</f>
        <v/>
      </c>
      <c r="D114" s="4">
        <f>SUMIFS('01_異動主檔'!$F:$F,'01_異動主檔'!$B:$B,100,'01_異動主檔'!$D:$D,A114,'01_異動主檔'!$E:$E,"移入")</f>
        <v/>
      </c>
      <c r="E114" s="4">
        <f>-SUMIFS('01_異動主檔'!$F:$F,'01_異動主檔'!$B:$B,100,'01_異動主檔'!$D:$D,A114,'01_異動主檔'!$E:$E,"移出")</f>
        <v/>
      </c>
      <c r="F114" s="4">
        <f>SUMIFS('01_異動主檔'!$F:$F,'01_異動主檔'!$B:$B,100,'01_異動主檔'!$D:$D,A114,'01_異動主檔'!$E:$E,"新增")</f>
        <v/>
      </c>
      <c r="G114" s="4">
        <f>-SUMIFS('01_異動主檔'!$F:$F,'01_異動主檔'!$B:$B,100,'01_異動主檔'!$D:$D,A114,'01_異動主檔'!$E:$E,"減列")</f>
        <v/>
      </c>
      <c r="H114" s="4">
        <f>-SUMIFS('01_異動主檔'!$F:$F,'01_異動主檔'!$B:$B,100,'01_異動主檔'!$D:$D,A114,'01_異動主檔'!$E:$E,"精簡")</f>
        <v/>
      </c>
      <c r="I114" s="8">
        <f>C114+D114+E114+F114+G114+H114</f>
        <v/>
      </c>
    </row>
    <row r="115" ht="18" customHeight="1">
      <c r="A115" s="3" t="inlineStr">
        <is>
          <t>資訊處</t>
        </is>
      </c>
      <c r="B115" s="4" t="n">
        <v>101</v>
      </c>
      <c r="C115" s="8">
        <f>I114</f>
        <v/>
      </c>
      <c r="D115" s="4">
        <f>SUMIFS('01_異動主檔'!$F:$F,'01_異動主檔'!$B:$B,101,'01_異動主檔'!$D:$D,A115,'01_異動主檔'!$E:$E,"移入")</f>
        <v/>
      </c>
      <c r="E115" s="4">
        <f>-SUMIFS('01_異動主檔'!$F:$F,'01_異動主檔'!$B:$B,101,'01_異動主檔'!$D:$D,A115,'01_異動主檔'!$E:$E,"移出")</f>
        <v/>
      </c>
      <c r="F115" s="4">
        <f>SUMIFS('01_異動主檔'!$F:$F,'01_異動主檔'!$B:$B,101,'01_異動主檔'!$D:$D,A115,'01_異動主檔'!$E:$E,"新增")</f>
        <v/>
      </c>
      <c r="G115" s="4">
        <f>-SUMIFS('01_異動主檔'!$F:$F,'01_異動主檔'!$B:$B,101,'01_異動主檔'!$D:$D,A115,'01_異動主檔'!$E:$E,"減列")</f>
        <v/>
      </c>
      <c r="H115" s="4">
        <f>-SUMIFS('01_異動主檔'!$F:$F,'01_異動主檔'!$B:$B,101,'01_異動主檔'!$D:$D,A115,'01_異動主檔'!$E:$E,"精簡")</f>
        <v/>
      </c>
      <c r="I115" s="8">
        <f>C115+D115+E115+F115+G115+H115</f>
        <v/>
      </c>
    </row>
    <row r="116" ht="18" customHeight="1">
      <c r="A116" s="5" t="inlineStr">
        <is>
          <t>資訊處</t>
        </is>
      </c>
      <c r="B116" s="6" t="n">
        <v>102</v>
      </c>
      <c r="C116" s="8">
        <f>I115</f>
        <v/>
      </c>
      <c r="D116" s="4">
        <f>SUMIFS('01_異動主檔'!$F:$F,'01_異動主檔'!$B:$B,102,'01_異動主檔'!$D:$D,A116,'01_異動主檔'!$E:$E,"移入")</f>
        <v/>
      </c>
      <c r="E116" s="4">
        <f>-SUMIFS('01_異動主檔'!$F:$F,'01_異動主檔'!$B:$B,102,'01_異動主檔'!$D:$D,A116,'01_異動主檔'!$E:$E,"移出")</f>
        <v/>
      </c>
      <c r="F116" s="4">
        <f>SUMIFS('01_異動主檔'!$F:$F,'01_異動主檔'!$B:$B,102,'01_異動主檔'!$D:$D,A116,'01_異動主檔'!$E:$E,"新增")</f>
        <v/>
      </c>
      <c r="G116" s="4">
        <f>-SUMIFS('01_異動主檔'!$F:$F,'01_異動主檔'!$B:$B,102,'01_異動主檔'!$D:$D,A116,'01_異動主檔'!$E:$E,"減列")</f>
        <v/>
      </c>
      <c r="H116" s="4">
        <f>-SUMIFS('01_異動主檔'!$F:$F,'01_異動主檔'!$B:$B,102,'01_異動主檔'!$D:$D,A116,'01_異動主檔'!$E:$E,"精簡")</f>
        <v/>
      </c>
      <c r="I116" s="8">
        <f>C116+D116+E116+F116+G116+H116</f>
        <v/>
      </c>
    </row>
    <row r="117" ht="18" customHeight="1">
      <c r="A117" s="3" t="inlineStr">
        <is>
          <t>資訊處</t>
        </is>
      </c>
      <c r="B117" s="4" t="n">
        <v>103</v>
      </c>
      <c r="C117" s="8">
        <f>I116</f>
        <v/>
      </c>
      <c r="D117" s="4">
        <f>SUMIFS('01_異動主檔'!$F:$F,'01_異動主檔'!$B:$B,103,'01_異動主檔'!$D:$D,A117,'01_異動主檔'!$E:$E,"移入")</f>
        <v/>
      </c>
      <c r="E117" s="4">
        <f>-SUMIFS('01_異動主檔'!$F:$F,'01_異動主檔'!$B:$B,103,'01_異動主檔'!$D:$D,A117,'01_異動主檔'!$E:$E,"移出")</f>
        <v/>
      </c>
      <c r="F117" s="4">
        <f>SUMIFS('01_異動主檔'!$F:$F,'01_異動主檔'!$B:$B,103,'01_異動主檔'!$D:$D,A117,'01_異動主檔'!$E:$E,"新增")</f>
        <v/>
      </c>
      <c r="G117" s="4">
        <f>-SUMIFS('01_異動主檔'!$F:$F,'01_異動主檔'!$B:$B,103,'01_異動主檔'!$D:$D,A117,'01_異動主檔'!$E:$E,"減列")</f>
        <v/>
      </c>
      <c r="H117" s="4">
        <f>-SUMIFS('01_異動主檔'!$F:$F,'01_異動主檔'!$B:$B,103,'01_異動主檔'!$D:$D,A117,'01_異動主檔'!$E:$E,"精簡")</f>
        <v/>
      </c>
      <c r="I117" s="8">
        <f>C117+D117+E117+F117+G117+H117</f>
        <v/>
      </c>
    </row>
    <row r="118" ht="18" customHeight="1">
      <c r="A118" s="5" t="inlineStr">
        <is>
          <t>資訊處</t>
        </is>
      </c>
      <c r="B118" s="6" t="n">
        <v>104</v>
      </c>
      <c r="C118" s="8">
        <f>I117</f>
        <v/>
      </c>
      <c r="D118" s="4">
        <f>SUMIFS('01_異動主檔'!$F:$F,'01_異動主檔'!$B:$B,104,'01_異動主檔'!$D:$D,A118,'01_異動主檔'!$E:$E,"移入")</f>
        <v/>
      </c>
      <c r="E118" s="4">
        <f>-SUMIFS('01_異動主檔'!$F:$F,'01_異動主檔'!$B:$B,104,'01_異動主檔'!$D:$D,A118,'01_異動主檔'!$E:$E,"移出")</f>
        <v/>
      </c>
      <c r="F118" s="4">
        <f>SUMIFS('01_異動主檔'!$F:$F,'01_異動主檔'!$B:$B,104,'01_異動主檔'!$D:$D,A118,'01_異動主檔'!$E:$E,"新增")</f>
        <v/>
      </c>
      <c r="G118" s="4">
        <f>-SUMIFS('01_異動主檔'!$F:$F,'01_異動主檔'!$B:$B,104,'01_異動主檔'!$D:$D,A118,'01_異動主檔'!$E:$E,"減列")</f>
        <v/>
      </c>
      <c r="H118" s="4">
        <f>-SUMIFS('01_異動主檔'!$F:$F,'01_異動主檔'!$B:$B,104,'01_異動主檔'!$D:$D,A118,'01_異動主檔'!$E:$E,"精簡")</f>
        <v/>
      </c>
      <c r="I118" s="8">
        <f>C118+D118+E118+F118+G118+H118</f>
        <v/>
      </c>
    </row>
    <row r="119" ht="18" customHeight="1">
      <c r="A119" s="3" t="inlineStr">
        <is>
          <t>資訊處</t>
        </is>
      </c>
      <c r="B119" s="4" t="n">
        <v>105</v>
      </c>
      <c r="C119" s="8">
        <f>I118</f>
        <v/>
      </c>
      <c r="D119" s="4">
        <f>SUMIFS('01_異動主檔'!$F:$F,'01_異動主檔'!$B:$B,105,'01_異動主檔'!$D:$D,A119,'01_異動主檔'!$E:$E,"移入")</f>
        <v/>
      </c>
      <c r="E119" s="4">
        <f>-SUMIFS('01_異動主檔'!$F:$F,'01_異動主檔'!$B:$B,105,'01_異動主檔'!$D:$D,A119,'01_異動主檔'!$E:$E,"移出")</f>
        <v/>
      </c>
      <c r="F119" s="4">
        <f>SUMIFS('01_異動主檔'!$F:$F,'01_異動主檔'!$B:$B,105,'01_異動主檔'!$D:$D,A119,'01_異動主檔'!$E:$E,"新增")</f>
        <v/>
      </c>
      <c r="G119" s="4">
        <f>-SUMIFS('01_異動主檔'!$F:$F,'01_異動主檔'!$B:$B,105,'01_異動主檔'!$D:$D,A119,'01_異動主檔'!$E:$E,"減列")</f>
        <v/>
      </c>
      <c r="H119" s="4">
        <f>-SUMIFS('01_異動主檔'!$F:$F,'01_異動主檔'!$B:$B,105,'01_異動主檔'!$D:$D,A119,'01_異動主檔'!$E:$E,"精簡")</f>
        <v/>
      </c>
      <c r="I119" s="8">
        <f>C119+D119+E119+F119+G119+H119</f>
        <v/>
      </c>
    </row>
    <row r="120" ht="18" customHeight="1">
      <c r="A120" s="5" t="inlineStr">
        <is>
          <t>資訊處</t>
        </is>
      </c>
      <c r="B120" s="6" t="n">
        <v>106</v>
      </c>
      <c r="C120" s="8">
        <f>I119</f>
        <v/>
      </c>
      <c r="D120" s="4">
        <f>SUMIFS('01_異動主檔'!$F:$F,'01_異動主檔'!$B:$B,106,'01_異動主檔'!$D:$D,A120,'01_異動主檔'!$E:$E,"移入")</f>
        <v/>
      </c>
      <c r="E120" s="4">
        <f>-SUMIFS('01_異動主檔'!$F:$F,'01_異動主檔'!$B:$B,106,'01_異動主檔'!$D:$D,A120,'01_異動主檔'!$E:$E,"移出")</f>
        <v/>
      </c>
      <c r="F120" s="4">
        <f>SUMIFS('01_異動主檔'!$F:$F,'01_異動主檔'!$B:$B,106,'01_異動主檔'!$D:$D,A120,'01_異動主檔'!$E:$E,"新增")</f>
        <v/>
      </c>
      <c r="G120" s="4">
        <f>-SUMIFS('01_異動主檔'!$F:$F,'01_異動主檔'!$B:$B,106,'01_異動主檔'!$D:$D,A120,'01_異動主檔'!$E:$E,"減列")</f>
        <v/>
      </c>
      <c r="H120" s="4">
        <f>-SUMIFS('01_異動主檔'!$F:$F,'01_異動主檔'!$B:$B,106,'01_異動主檔'!$D:$D,A120,'01_異動主檔'!$E:$E,"精簡")</f>
        <v/>
      </c>
      <c r="I120" s="8">
        <f>C120+D120+E120+F120+G120+H120</f>
        <v/>
      </c>
    </row>
    <row r="121" ht="18" customHeight="1">
      <c r="A121" s="3" t="inlineStr">
        <is>
          <t>資訊處</t>
        </is>
      </c>
      <c r="B121" s="4" t="n">
        <v>107</v>
      </c>
      <c r="C121" s="8">
        <f>I120</f>
        <v/>
      </c>
      <c r="D121" s="4">
        <f>SUMIFS('01_異動主檔'!$F:$F,'01_異動主檔'!$B:$B,107,'01_異動主檔'!$D:$D,A121,'01_異動主檔'!$E:$E,"移入")</f>
        <v/>
      </c>
      <c r="E121" s="4">
        <f>-SUMIFS('01_異動主檔'!$F:$F,'01_異動主檔'!$B:$B,107,'01_異動主檔'!$D:$D,A121,'01_異動主檔'!$E:$E,"移出")</f>
        <v/>
      </c>
      <c r="F121" s="4">
        <f>SUMIFS('01_異動主檔'!$F:$F,'01_異動主檔'!$B:$B,107,'01_異動主檔'!$D:$D,A121,'01_異動主檔'!$E:$E,"新增")</f>
        <v/>
      </c>
      <c r="G121" s="4">
        <f>-SUMIFS('01_異動主檔'!$F:$F,'01_異動主檔'!$B:$B,107,'01_異動主檔'!$D:$D,A121,'01_異動主檔'!$E:$E,"減列")</f>
        <v/>
      </c>
      <c r="H121" s="4">
        <f>-SUMIFS('01_異動主檔'!$F:$F,'01_異動主檔'!$B:$B,107,'01_異動主檔'!$D:$D,A121,'01_異動主檔'!$E:$E,"精簡")</f>
        <v/>
      </c>
      <c r="I121" s="8">
        <f>C121+D121+E121+F121+G121+H121</f>
        <v/>
      </c>
    </row>
    <row r="122" ht="18" customHeight="1">
      <c r="A122" s="5" t="inlineStr">
        <is>
          <t>資訊處</t>
        </is>
      </c>
      <c r="B122" s="6" t="n">
        <v>108</v>
      </c>
      <c r="C122" s="8">
        <f>I121</f>
        <v/>
      </c>
      <c r="D122" s="4">
        <f>SUMIFS('01_異動主檔'!$F:$F,'01_異動主檔'!$B:$B,108,'01_異動主檔'!$D:$D,A122,'01_異動主檔'!$E:$E,"移入")</f>
        <v/>
      </c>
      <c r="E122" s="4">
        <f>-SUMIFS('01_異動主檔'!$F:$F,'01_異動主檔'!$B:$B,108,'01_異動主檔'!$D:$D,A122,'01_異動主檔'!$E:$E,"移出")</f>
        <v/>
      </c>
      <c r="F122" s="4">
        <f>SUMIFS('01_異動主檔'!$F:$F,'01_異動主檔'!$B:$B,108,'01_異動主檔'!$D:$D,A122,'01_異動主檔'!$E:$E,"新增")</f>
        <v/>
      </c>
      <c r="G122" s="4">
        <f>-SUMIFS('01_異動主檔'!$F:$F,'01_異動主檔'!$B:$B,108,'01_異動主檔'!$D:$D,A122,'01_異動主檔'!$E:$E,"減列")</f>
        <v/>
      </c>
      <c r="H122" s="4">
        <f>-SUMIFS('01_異動主檔'!$F:$F,'01_異動主檔'!$B:$B,108,'01_異動主檔'!$D:$D,A122,'01_異動主檔'!$E:$E,"精簡")</f>
        <v/>
      </c>
      <c r="I122" s="8">
        <f>C122+D122+E122+F122+G122+H122</f>
        <v/>
      </c>
    </row>
    <row r="123" ht="18" customHeight="1">
      <c r="A123" s="3" t="inlineStr">
        <is>
          <t>資訊處</t>
        </is>
      </c>
      <c r="B123" s="4" t="n">
        <v>109</v>
      </c>
      <c r="C123" s="8">
        <f>I122</f>
        <v/>
      </c>
      <c r="D123" s="4">
        <f>SUMIFS('01_異動主檔'!$F:$F,'01_異動主檔'!$B:$B,109,'01_異動主檔'!$D:$D,A123,'01_異動主檔'!$E:$E,"移入")</f>
        <v/>
      </c>
      <c r="E123" s="4">
        <f>-SUMIFS('01_異動主檔'!$F:$F,'01_異動主檔'!$B:$B,109,'01_異動主檔'!$D:$D,A123,'01_異動主檔'!$E:$E,"移出")</f>
        <v/>
      </c>
      <c r="F123" s="4">
        <f>SUMIFS('01_異動主檔'!$F:$F,'01_異動主檔'!$B:$B,109,'01_異動主檔'!$D:$D,A123,'01_異動主檔'!$E:$E,"新增")</f>
        <v/>
      </c>
      <c r="G123" s="4">
        <f>-SUMIFS('01_異動主檔'!$F:$F,'01_異動主檔'!$B:$B,109,'01_異動主檔'!$D:$D,A123,'01_異動主檔'!$E:$E,"減列")</f>
        <v/>
      </c>
      <c r="H123" s="4">
        <f>-SUMIFS('01_異動主檔'!$F:$F,'01_異動主檔'!$B:$B,109,'01_異動主檔'!$D:$D,A123,'01_異動主檔'!$E:$E,"精簡")</f>
        <v/>
      </c>
      <c r="I123" s="8">
        <f>C123+D123+E123+F123+G123+H123</f>
        <v/>
      </c>
    </row>
    <row r="124" ht="18" customHeight="1">
      <c r="A124" s="5" t="inlineStr">
        <is>
          <t>資訊處</t>
        </is>
      </c>
      <c r="B124" s="6" t="n">
        <v>110</v>
      </c>
      <c r="C124" s="8">
        <f>I123</f>
        <v/>
      </c>
      <c r="D124" s="4">
        <f>SUMIFS('01_異動主檔'!$F:$F,'01_異動主檔'!$B:$B,110,'01_異動主檔'!$D:$D,A124,'01_異動主檔'!$E:$E,"移入")</f>
        <v/>
      </c>
      <c r="E124" s="4">
        <f>-SUMIFS('01_異動主檔'!$F:$F,'01_異動主檔'!$B:$B,110,'01_異動主檔'!$D:$D,A124,'01_異動主檔'!$E:$E,"移出")</f>
        <v/>
      </c>
      <c r="F124" s="4">
        <f>SUMIFS('01_異動主檔'!$F:$F,'01_異動主檔'!$B:$B,110,'01_異動主檔'!$D:$D,A124,'01_異動主檔'!$E:$E,"新增")</f>
        <v/>
      </c>
      <c r="G124" s="4">
        <f>-SUMIFS('01_異動主檔'!$F:$F,'01_異動主檔'!$B:$B,110,'01_異動主檔'!$D:$D,A124,'01_異動主檔'!$E:$E,"減列")</f>
        <v/>
      </c>
      <c r="H124" s="4">
        <f>-SUMIFS('01_異動主檔'!$F:$F,'01_異動主檔'!$B:$B,110,'01_異動主檔'!$D:$D,A124,'01_異動主檔'!$E:$E,"精簡")</f>
        <v/>
      </c>
      <c r="I124" s="8">
        <f>C124+D124+E124+F124+G124+H124</f>
        <v/>
      </c>
    </row>
    <row r="125" ht="18" customHeight="1">
      <c r="A125" s="3" t="inlineStr">
        <is>
          <t>資訊處</t>
        </is>
      </c>
      <c r="B125" s="4" t="n">
        <v>111</v>
      </c>
      <c r="C125" s="8">
        <f>I124</f>
        <v/>
      </c>
      <c r="D125" s="4">
        <f>SUMIFS('01_異動主檔'!$F:$F,'01_異動主檔'!$B:$B,111,'01_異動主檔'!$D:$D,A125,'01_異動主檔'!$E:$E,"移入")</f>
        <v/>
      </c>
      <c r="E125" s="4">
        <f>-SUMIFS('01_異動主檔'!$F:$F,'01_異動主檔'!$B:$B,111,'01_異動主檔'!$D:$D,A125,'01_異動主檔'!$E:$E,"移出")</f>
        <v/>
      </c>
      <c r="F125" s="4">
        <f>SUMIFS('01_異動主檔'!$F:$F,'01_異動主檔'!$B:$B,111,'01_異動主檔'!$D:$D,A125,'01_異動主檔'!$E:$E,"新增")</f>
        <v/>
      </c>
      <c r="G125" s="4">
        <f>-SUMIFS('01_異動主檔'!$F:$F,'01_異動主檔'!$B:$B,111,'01_異動主檔'!$D:$D,A125,'01_異動主檔'!$E:$E,"減列")</f>
        <v/>
      </c>
      <c r="H125" s="4">
        <f>-SUMIFS('01_異動主檔'!$F:$F,'01_異動主檔'!$B:$B,111,'01_異動主檔'!$D:$D,A125,'01_異動主檔'!$E:$E,"精簡")</f>
        <v/>
      </c>
      <c r="I125" s="8">
        <f>C125+D125+E125+F125+G125+H125</f>
        <v/>
      </c>
    </row>
    <row r="126" ht="18" customHeight="1">
      <c r="A126" s="5" t="inlineStr">
        <is>
          <t>資訊處</t>
        </is>
      </c>
      <c r="B126" s="6" t="n">
        <v>112</v>
      </c>
      <c r="C126" s="8">
        <f>I125</f>
        <v/>
      </c>
      <c r="D126" s="4">
        <f>SUMIFS('01_異動主檔'!$F:$F,'01_異動主檔'!$B:$B,112,'01_異動主檔'!$D:$D,A126,'01_異動主檔'!$E:$E,"移入")</f>
        <v/>
      </c>
      <c r="E126" s="4">
        <f>-SUMIFS('01_異動主檔'!$F:$F,'01_異動主檔'!$B:$B,112,'01_異動主檔'!$D:$D,A126,'01_異動主檔'!$E:$E,"移出")</f>
        <v/>
      </c>
      <c r="F126" s="4">
        <f>SUMIFS('01_異動主檔'!$F:$F,'01_異動主檔'!$B:$B,112,'01_異動主檔'!$D:$D,A126,'01_異動主檔'!$E:$E,"新增")</f>
        <v/>
      </c>
      <c r="G126" s="4">
        <f>-SUMIFS('01_異動主檔'!$F:$F,'01_異動主檔'!$B:$B,112,'01_異動主檔'!$D:$D,A126,'01_異動主檔'!$E:$E,"減列")</f>
        <v/>
      </c>
      <c r="H126" s="4">
        <f>-SUMIFS('01_異動主檔'!$F:$F,'01_異動主檔'!$B:$B,112,'01_異動主檔'!$D:$D,A126,'01_異動主檔'!$E:$E,"精簡")</f>
        <v/>
      </c>
      <c r="I126" s="8">
        <f>C126+D126+E126+F126+G126+H126</f>
        <v/>
      </c>
    </row>
    <row r="127" ht="18" customHeight="1">
      <c r="A127" s="3" t="inlineStr">
        <is>
          <t>資訊處</t>
        </is>
      </c>
      <c r="B127" s="4" t="n">
        <v>113</v>
      </c>
      <c r="C127" s="8">
        <f>I126</f>
        <v/>
      </c>
      <c r="D127" s="4">
        <f>SUMIFS('01_異動主檔'!$F:$F,'01_異動主檔'!$B:$B,113,'01_異動主檔'!$D:$D,A127,'01_異動主檔'!$E:$E,"移入")</f>
        <v/>
      </c>
      <c r="E127" s="4">
        <f>-SUMIFS('01_異動主檔'!$F:$F,'01_異動主檔'!$B:$B,113,'01_異動主檔'!$D:$D,A127,'01_異動主檔'!$E:$E,"移出")</f>
        <v/>
      </c>
      <c r="F127" s="4">
        <f>SUMIFS('01_異動主檔'!$F:$F,'01_異動主檔'!$B:$B,113,'01_異動主檔'!$D:$D,A127,'01_異動主檔'!$E:$E,"新增")</f>
        <v/>
      </c>
      <c r="G127" s="4">
        <f>-SUMIFS('01_異動主檔'!$F:$F,'01_異動主檔'!$B:$B,113,'01_異動主檔'!$D:$D,A127,'01_異動主檔'!$E:$E,"減列")</f>
        <v/>
      </c>
      <c r="H127" s="4">
        <f>-SUMIFS('01_異動主檔'!$F:$F,'01_異動主檔'!$B:$B,113,'01_異動主檔'!$D:$D,A127,'01_異動主檔'!$E:$E,"精簡")</f>
        <v/>
      </c>
      <c r="I127" s="8">
        <f>C127+D127+E127+F127+G127+H127</f>
        <v/>
      </c>
    </row>
    <row r="128" ht="18" customHeight="1">
      <c r="A128" s="5" t="inlineStr">
        <is>
          <t>資訊處</t>
        </is>
      </c>
      <c r="B128" s="6" t="n">
        <v>114</v>
      </c>
      <c r="C128" s="8">
        <f>I127</f>
        <v/>
      </c>
      <c r="D128" s="4">
        <f>SUMIFS('01_異動主檔'!$F:$F,'01_異動主檔'!$B:$B,114,'01_異動主檔'!$D:$D,A128,'01_異動主檔'!$E:$E,"移入")</f>
        <v/>
      </c>
      <c r="E128" s="4">
        <f>-SUMIFS('01_異動主檔'!$F:$F,'01_異動主檔'!$B:$B,114,'01_異動主檔'!$D:$D,A128,'01_異動主檔'!$E:$E,"移出")</f>
        <v/>
      </c>
      <c r="F128" s="4">
        <f>SUMIFS('01_異動主檔'!$F:$F,'01_異動主檔'!$B:$B,114,'01_異動主檔'!$D:$D,A128,'01_異動主檔'!$E:$E,"新增")</f>
        <v/>
      </c>
      <c r="G128" s="4">
        <f>-SUMIFS('01_異動主檔'!$F:$F,'01_異動主檔'!$B:$B,114,'01_異動主檔'!$D:$D,A128,'01_異動主檔'!$E:$E,"減列")</f>
        <v/>
      </c>
      <c r="H128" s="4">
        <f>-SUMIFS('01_異動主檔'!$F:$F,'01_異動主檔'!$B:$B,114,'01_異動主檔'!$D:$D,A128,'01_異動主檔'!$E:$E,"精簡")</f>
        <v/>
      </c>
      <c r="I128" s="8">
        <f>C128+D128+E128+F128+G128+H128</f>
        <v/>
      </c>
    </row>
    <row r="129" ht="18" customHeight="1">
      <c r="A129" s="3" t="inlineStr">
        <is>
          <t>資訊處</t>
        </is>
      </c>
      <c r="B129" s="4" t="n">
        <v>115</v>
      </c>
      <c r="C129" s="8">
        <f>I128</f>
        <v/>
      </c>
      <c r="D129" s="4">
        <f>SUMIFS('01_異動主檔'!$F:$F,'01_異動主檔'!$B:$B,115,'01_異動主檔'!$D:$D,A129,'01_異動主檔'!$E:$E,"移入")</f>
        <v/>
      </c>
      <c r="E129" s="4">
        <f>-SUMIFS('01_異動主檔'!$F:$F,'01_異動主檔'!$B:$B,115,'01_異動主檔'!$D:$D,A129,'01_異動主檔'!$E:$E,"移出")</f>
        <v/>
      </c>
      <c r="F129" s="4">
        <f>SUMIFS('01_異動主檔'!$F:$F,'01_異動主檔'!$B:$B,115,'01_異動主檔'!$D:$D,A129,'01_異動主檔'!$E:$E,"新增")</f>
        <v/>
      </c>
      <c r="G129" s="4">
        <f>-SUMIFS('01_異動主檔'!$F:$F,'01_異動主檔'!$B:$B,115,'01_異動主檔'!$D:$D,A129,'01_異動主檔'!$E:$E,"減列")</f>
        <v/>
      </c>
      <c r="H129" s="4">
        <f>-SUMIFS('01_異動主檔'!$F:$F,'01_異動主檔'!$B:$B,115,'01_異動主檔'!$D:$D,A129,'01_異動主檔'!$E:$E,"精簡")</f>
        <v/>
      </c>
      <c r="I129" s="8">
        <f>C129+D129+E129+F129+G129+H129</f>
        <v/>
      </c>
    </row>
    <row r="130" ht="18" customHeight="1">
      <c r="A130" s="5" t="inlineStr">
        <is>
          <t>資訊處</t>
        </is>
      </c>
      <c r="B130" s="6" t="n">
        <v>116</v>
      </c>
      <c r="C130" s="8">
        <f>I129</f>
        <v/>
      </c>
      <c r="D130" s="4">
        <f>SUMIFS('01_異動主檔'!$F:$F,'01_異動主檔'!$B:$B,116,'01_異動主檔'!$D:$D,A130,'01_異動主檔'!$E:$E,"移入")</f>
        <v/>
      </c>
      <c r="E130" s="4">
        <f>-SUMIFS('01_異動主檔'!$F:$F,'01_異動主檔'!$B:$B,116,'01_異動主檔'!$D:$D,A130,'01_異動主檔'!$E:$E,"移出")</f>
        <v/>
      </c>
      <c r="F130" s="4">
        <f>SUMIFS('01_異動主檔'!$F:$F,'01_異動主檔'!$B:$B,116,'01_異動主檔'!$D:$D,A130,'01_異動主檔'!$E:$E,"新增")</f>
        <v/>
      </c>
      <c r="G130" s="4">
        <f>-SUMIFS('01_異動主檔'!$F:$F,'01_異動主檔'!$B:$B,116,'01_異動主檔'!$D:$D,A130,'01_異動主檔'!$E:$E,"減列")</f>
        <v/>
      </c>
      <c r="H130" s="4">
        <f>-SUMIFS('01_異動主檔'!$F:$F,'01_異動主檔'!$B:$B,116,'01_異動主檔'!$D:$D,A130,'01_異動主檔'!$E:$E,"精簡")</f>
        <v/>
      </c>
      <c r="I130" s="8">
        <f>C130+D130+E130+F130+G130+H130</f>
        <v/>
      </c>
    </row>
    <row r="131" ht="18" customHeight="1">
      <c r="A131" s="3" t="inlineStr">
        <is>
          <t>資訊處</t>
        </is>
      </c>
      <c r="B131" s="4" t="n">
        <v>117</v>
      </c>
      <c r="C131" s="8">
        <f>I130</f>
        <v/>
      </c>
      <c r="D131" s="4">
        <f>SUMIFS('01_異動主檔'!$F:$F,'01_異動主檔'!$B:$B,117,'01_異動主檔'!$D:$D,A131,'01_異動主檔'!$E:$E,"移入")</f>
        <v/>
      </c>
      <c r="E131" s="4">
        <f>-SUMIFS('01_異動主檔'!$F:$F,'01_異動主檔'!$B:$B,117,'01_異動主檔'!$D:$D,A131,'01_異動主檔'!$E:$E,"移出")</f>
        <v/>
      </c>
      <c r="F131" s="4">
        <f>SUMIFS('01_異動主檔'!$F:$F,'01_異動主檔'!$B:$B,117,'01_異動主檔'!$D:$D,A131,'01_異動主檔'!$E:$E,"新增")</f>
        <v/>
      </c>
      <c r="G131" s="4">
        <f>-SUMIFS('01_異動主檔'!$F:$F,'01_異動主檔'!$B:$B,117,'01_異動主檔'!$D:$D,A131,'01_異動主檔'!$E:$E,"減列")</f>
        <v/>
      </c>
      <c r="H131" s="4">
        <f>-SUMIFS('01_異動主檔'!$F:$F,'01_異動主檔'!$B:$B,117,'01_異動主檔'!$D:$D,A131,'01_異動主檔'!$E:$E,"精簡")</f>
        <v/>
      </c>
      <c r="I131" s="8">
        <f>C131+D131+E131+F131+G131+H131</f>
        <v/>
      </c>
    </row>
    <row r="132" ht="18" customHeight="1">
      <c r="A132" s="5" t="inlineStr">
        <is>
          <t>資訊處</t>
        </is>
      </c>
      <c r="B132" s="6" t="n">
        <v>118</v>
      </c>
      <c r="C132" s="8">
        <f>I131</f>
        <v/>
      </c>
      <c r="D132" s="4">
        <f>SUMIFS('01_異動主檔'!$F:$F,'01_異動主檔'!$B:$B,118,'01_異動主檔'!$D:$D,A132,'01_異動主檔'!$E:$E,"移入")</f>
        <v/>
      </c>
      <c r="E132" s="4">
        <f>-SUMIFS('01_異動主檔'!$F:$F,'01_異動主檔'!$B:$B,118,'01_異動主檔'!$D:$D,A132,'01_異動主檔'!$E:$E,"移出")</f>
        <v/>
      </c>
      <c r="F132" s="4">
        <f>SUMIFS('01_異動主檔'!$F:$F,'01_異動主檔'!$B:$B,118,'01_異動主檔'!$D:$D,A132,'01_異動主檔'!$E:$E,"新增")</f>
        <v/>
      </c>
      <c r="G132" s="4">
        <f>-SUMIFS('01_異動主檔'!$F:$F,'01_異動主檔'!$B:$B,118,'01_異動主檔'!$D:$D,A132,'01_異動主檔'!$E:$E,"減列")</f>
        <v/>
      </c>
      <c r="H132" s="4">
        <f>-SUMIFS('01_異動主檔'!$F:$F,'01_異動主檔'!$B:$B,118,'01_異動主檔'!$D:$D,A132,'01_異動主檔'!$E:$E,"精簡")</f>
        <v/>
      </c>
      <c r="I132" s="8">
        <f>C132+D132+E132+F132+G132+H132</f>
        <v/>
      </c>
    </row>
    <row r="133" ht="18" customHeight="1">
      <c r="A133" s="3" t="inlineStr">
        <is>
          <t>資訊處</t>
        </is>
      </c>
      <c r="B133" s="4" t="n">
        <v>119</v>
      </c>
      <c r="C133" s="8">
        <f>I132</f>
        <v/>
      </c>
      <c r="D133" s="4">
        <f>SUMIFS('01_異動主檔'!$F:$F,'01_異動主檔'!$B:$B,119,'01_異動主檔'!$D:$D,A133,'01_異動主檔'!$E:$E,"移入")</f>
        <v/>
      </c>
      <c r="E133" s="4">
        <f>-SUMIFS('01_異動主檔'!$F:$F,'01_異動主檔'!$B:$B,119,'01_異動主檔'!$D:$D,A133,'01_異動主檔'!$E:$E,"移出")</f>
        <v/>
      </c>
      <c r="F133" s="4">
        <f>SUMIFS('01_異動主檔'!$F:$F,'01_異動主檔'!$B:$B,119,'01_異動主檔'!$D:$D,A133,'01_異動主檔'!$E:$E,"新增")</f>
        <v/>
      </c>
      <c r="G133" s="4">
        <f>-SUMIFS('01_異動主檔'!$F:$F,'01_異動主檔'!$B:$B,119,'01_異動主檔'!$D:$D,A133,'01_異動主檔'!$E:$E,"減列")</f>
        <v/>
      </c>
      <c r="H133" s="4">
        <f>-SUMIFS('01_異動主檔'!$F:$F,'01_異動主檔'!$B:$B,119,'01_異動主檔'!$D:$D,A133,'01_異動主檔'!$E:$E,"精簡")</f>
        <v/>
      </c>
      <c r="I133" s="8">
        <f>C133+D133+E133+F133+G133+H133</f>
        <v/>
      </c>
    </row>
    <row r="134" ht="18" customHeight="1">
      <c r="A134" s="5" t="inlineStr">
        <is>
          <t>資訊處</t>
        </is>
      </c>
      <c r="B134" s="6" t="n">
        <v>120</v>
      </c>
      <c r="C134" s="8">
        <f>I133</f>
        <v/>
      </c>
      <c r="D134" s="4">
        <f>SUMIFS('01_異動主檔'!$F:$F,'01_異動主檔'!$B:$B,120,'01_異動主檔'!$D:$D,A134,'01_異動主檔'!$E:$E,"移入")</f>
        <v/>
      </c>
      <c r="E134" s="4">
        <f>-SUMIFS('01_異動主檔'!$F:$F,'01_異動主檔'!$B:$B,120,'01_異動主檔'!$D:$D,A134,'01_異動主檔'!$E:$E,"移出")</f>
        <v/>
      </c>
      <c r="F134" s="4">
        <f>SUMIFS('01_異動主檔'!$F:$F,'01_異動主檔'!$B:$B,120,'01_異動主檔'!$D:$D,A134,'01_異動主檔'!$E:$E,"新增")</f>
        <v/>
      </c>
      <c r="G134" s="4">
        <f>-SUMIFS('01_異動主檔'!$F:$F,'01_異動主檔'!$B:$B,120,'01_異動主檔'!$D:$D,A134,'01_異動主檔'!$E:$E,"減列")</f>
        <v/>
      </c>
      <c r="H134" s="4">
        <f>-SUMIFS('01_異動主檔'!$F:$F,'01_異動主檔'!$B:$B,120,'01_異動主檔'!$D:$D,A134,'01_異動主檔'!$E:$E,"精簡")</f>
        <v/>
      </c>
      <c r="I134" s="8">
        <f>C134+D134+E134+F134+G134+H134</f>
        <v/>
      </c>
    </row>
    <row r="135" ht="18" customHeight="1">
      <c r="A135" s="3" t="inlineStr">
        <is>
          <t>資訊處</t>
        </is>
      </c>
      <c r="B135" s="4" t="n">
        <v>121</v>
      </c>
      <c r="C135" s="8">
        <f>I134</f>
        <v/>
      </c>
      <c r="D135" s="4">
        <f>SUMIFS('01_異動主檔'!$F:$F,'01_異動主檔'!$B:$B,121,'01_異動主檔'!$D:$D,A135,'01_異動主檔'!$E:$E,"移入")</f>
        <v/>
      </c>
      <c r="E135" s="4">
        <f>-SUMIFS('01_異動主檔'!$F:$F,'01_異動主檔'!$B:$B,121,'01_異動主檔'!$D:$D,A135,'01_異動主檔'!$E:$E,"移出")</f>
        <v/>
      </c>
      <c r="F135" s="4">
        <f>SUMIFS('01_異動主檔'!$F:$F,'01_異動主檔'!$B:$B,121,'01_異動主檔'!$D:$D,A135,'01_異動主檔'!$E:$E,"新增")</f>
        <v/>
      </c>
      <c r="G135" s="4">
        <f>-SUMIFS('01_異動主檔'!$F:$F,'01_異動主檔'!$B:$B,121,'01_異動主檔'!$D:$D,A135,'01_異動主檔'!$E:$E,"減列")</f>
        <v/>
      </c>
      <c r="H135" s="4">
        <f>-SUMIFS('01_異動主檔'!$F:$F,'01_異動主檔'!$B:$B,121,'01_異動主檔'!$D:$D,A135,'01_異動主檔'!$E:$E,"精簡")</f>
        <v/>
      </c>
      <c r="I135" s="8">
        <f>C135+D135+E135+F135+G135+H135</f>
        <v/>
      </c>
    </row>
    <row r="136" ht="18" customHeight="1">
      <c r="A136" s="5" t="inlineStr">
        <is>
          <t>資訊處</t>
        </is>
      </c>
      <c r="B136" s="6" t="n">
        <v>122</v>
      </c>
      <c r="C136" s="8">
        <f>I135</f>
        <v/>
      </c>
      <c r="D136" s="4">
        <f>SUMIFS('01_異動主檔'!$F:$F,'01_異動主檔'!$B:$B,122,'01_異動主檔'!$D:$D,A136,'01_異動主檔'!$E:$E,"移入")</f>
        <v/>
      </c>
      <c r="E136" s="4">
        <f>-SUMIFS('01_異動主檔'!$F:$F,'01_異動主檔'!$B:$B,122,'01_異動主檔'!$D:$D,A136,'01_異動主檔'!$E:$E,"移出")</f>
        <v/>
      </c>
      <c r="F136" s="4">
        <f>SUMIFS('01_異動主檔'!$F:$F,'01_異動主檔'!$B:$B,122,'01_異動主檔'!$D:$D,A136,'01_異動主檔'!$E:$E,"新增")</f>
        <v/>
      </c>
      <c r="G136" s="4">
        <f>-SUMIFS('01_異動主檔'!$F:$F,'01_異動主檔'!$B:$B,122,'01_異動主檔'!$D:$D,A136,'01_異動主檔'!$E:$E,"減列")</f>
        <v/>
      </c>
      <c r="H136" s="4">
        <f>-SUMIFS('01_異動主檔'!$F:$F,'01_異動主檔'!$B:$B,122,'01_異動主檔'!$D:$D,A136,'01_異動主檔'!$E:$E,"精簡")</f>
        <v/>
      </c>
      <c r="I136" s="8">
        <f>C136+D136+E136+F136+G136+H136</f>
        <v/>
      </c>
    </row>
    <row r="137" ht="18" customHeight="1">
      <c r="A137" s="3" t="inlineStr">
        <is>
          <t>資訊處</t>
        </is>
      </c>
      <c r="B137" s="4" t="n">
        <v>123</v>
      </c>
      <c r="C137" s="8">
        <f>I136</f>
        <v/>
      </c>
      <c r="D137" s="4">
        <f>SUMIFS('01_異動主檔'!$F:$F,'01_異動主檔'!$B:$B,123,'01_異動主檔'!$D:$D,A137,'01_異動主檔'!$E:$E,"移入")</f>
        <v/>
      </c>
      <c r="E137" s="4">
        <f>-SUMIFS('01_異動主檔'!$F:$F,'01_異動主檔'!$B:$B,123,'01_異動主檔'!$D:$D,A137,'01_異動主檔'!$E:$E,"移出")</f>
        <v/>
      </c>
      <c r="F137" s="4">
        <f>SUMIFS('01_異動主檔'!$F:$F,'01_異動主檔'!$B:$B,123,'01_異動主檔'!$D:$D,A137,'01_異動主檔'!$E:$E,"新增")</f>
        <v/>
      </c>
      <c r="G137" s="4">
        <f>-SUMIFS('01_異動主檔'!$F:$F,'01_異動主檔'!$B:$B,123,'01_異動主檔'!$D:$D,A137,'01_異動主檔'!$E:$E,"減列")</f>
        <v/>
      </c>
      <c r="H137" s="4">
        <f>-SUMIFS('01_異動主檔'!$F:$F,'01_異動主檔'!$B:$B,123,'01_異動主檔'!$D:$D,A137,'01_異動主檔'!$E:$E,"精簡")</f>
        <v/>
      </c>
      <c r="I137" s="8">
        <f>C137+D137+E137+F137+G137+H137</f>
        <v/>
      </c>
    </row>
    <row r="138" ht="18" customHeight="1">
      <c r="A138" s="5" t="inlineStr">
        <is>
          <t>資訊處</t>
        </is>
      </c>
      <c r="B138" s="6" t="n">
        <v>124</v>
      </c>
      <c r="C138" s="8">
        <f>I137</f>
        <v/>
      </c>
      <c r="D138" s="4">
        <f>SUMIFS('01_異動主檔'!$F:$F,'01_異動主檔'!$B:$B,124,'01_異動主檔'!$D:$D,A138,'01_異動主檔'!$E:$E,"移入")</f>
        <v/>
      </c>
      <c r="E138" s="4">
        <f>-SUMIFS('01_異動主檔'!$F:$F,'01_異動主檔'!$B:$B,124,'01_異動主檔'!$D:$D,A138,'01_異動主檔'!$E:$E,"移出")</f>
        <v/>
      </c>
      <c r="F138" s="4">
        <f>SUMIFS('01_異動主檔'!$F:$F,'01_異動主檔'!$B:$B,124,'01_異動主檔'!$D:$D,A138,'01_異動主檔'!$E:$E,"新增")</f>
        <v/>
      </c>
      <c r="G138" s="4">
        <f>-SUMIFS('01_異動主檔'!$F:$F,'01_異動主檔'!$B:$B,124,'01_異動主檔'!$D:$D,A138,'01_異動主檔'!$E:$E,"減列")</f>
        <v/>
      </c>
      <c r="H138" s="4">
        <f>-SUMIFS('01_異動主檔'!$F:$F,'01_異動主檔'!$B:$B,124,'01_異動主檔'!$D:$D,A138,'01_異動主檔'!$E:$E,"精簡")</f>
        <v/>
      </c>
      <c r="I138" s="8">
        <f>C138+D138+E138+F138+G138+H138</f>
        <v/>
      </c>
    </row>
    <row r="139" ht="18" customHeight="1">
      <c r="A139" s="3" t="inlineStr">
        <is>
          <t>資訊處</t>
        </is>
      </c>
      <c r="B139" s="4" t="n">
        <v>125</v>
      </c>
      <c r="C139" s="8">
        <f>I138</f>
        <v/>
      </c>
      <c r="D139" s="4">
        <f>SUMIFS('01_異動主檔'!$F:$F,'01_異動主檔'!$B:$B,125,'01_異動主檔'!$D:$D,A139,'01_異動主檔'!$E:$E,"移入")</f>
        <v/>
      </c>
      <c r="E139" s="4">
        <f>-SUMIFS('01_異動主檔'!$F:$F,'01_異動主檔'!$B:$B,125,'01_異動主檔'!$D:$D,A139,'01_異動主檔'!$E:$E,"移出")</f>
        <v/>
      </c>
      <c r="F139" s="4">
        <f>SUMIFS('01_異動主檔'!$F:$F,'01_異動主檔'!$B:$B,125,'01_異動主檔'!$D:$D,A139,'01_異動主檔'!$E:$E,"新增")</f>
        <v/>
      </c>
      <c r="G139" s="4">
        <f>-SUMIFS('01_異動主檔'!$F:$F,'01_異動主檔'!$B:$B,125,'01_異動主檔'!$D:$D,A139,'01_異動主檔'!$E:$E,"減列")</f>
        <v/>
      </c>
      <c r="H139" s="4">
        <f>-SUMIFS('01_異動主檔'!$F:$F,'01_異動主檔'!$B:$B,125,'01_異動主檔'!$D:$D,A139,'01_異動主檔'!$E:$E,"精簡")</f>
        <v/>
      </c>
      <c r="I139" s="8">
        <f>C139+D139+E139+F139+G139+H139</f>
        <v/>
      </c>
    </row>
    <row r="140" ht="18" customHeight="1">
      <c r="A140" s="5" t="inlineStr">
        <is>
          <t>法制處</t>
        </is>
      </c>
      <c r="B140" s="6" t="n">
        <v>99</v>
      </c>
      <c r="C140" s="8">
        <f>'02_年初員額設定'!B10</f>
        <v/>
      </c>
      <c r="D140" s="4">
        <f>SUMIFS('01_異動主檔'!$F:$F,'01_異動主檔'!$B:$B,99,'01_異動主檔'!$D:$D,A140,'01_異動主檔'!$E:$E,"移入")</f>
        <v/>
      </c>
      <c r="E140" s="4">
        <f>-SUMIFS('01_異動主檔'!$F:$F,'01_異動主檔'!$B:$B,99,'01_異動主檔'!$D:$D,A140,'01_異動主檔'!$E:$E,"移出")</f>
        <v/>
      </c>
      <c r="F140" s="4">
        <f>SUMIFS('01_異動主檔'!$F:$F,'01_異動主檔'!$B:$B,99,'01_異動主檔'!$D:$D,A140,'01_異動主檔'!$E:$E,"新增")</f>
        <v/>
      </c>
      <c r="G140" s="4">
        <f>-SUMIFS('01_異動主檔'!$F:$F,'01_異動主檔'!$B:$B,99,'01_異動主檔'!$D:$D,A140,'01_異動主檔'!$E:$E,"減列")</f>
        <v/>
      </c>
      <c r="H140" s="4">
        <f>-SUMIFS('01_異動主檔'!$F:$F,'01_異動主檔'!$B:$B,99,'01_異動主檔'!$D:$D,A140,'01_異動主檔'!$E:$E,"精簡")</f>
        <v/>
      </c>
      <c r="I140" s="8">
        <f>C140+D140+E140+F140+G140+H140</f>
        <v/>
      </c>
    </row>
    <row r="141" ht="18" customHeight="1">
      <c r="A141" s="3" t="inlineStr">
        <is>
          <t>法制處</t>
        </is>
      </c>
      <c r="B141" s="4" t="n">
        <v>100</v>
      </c>
      <c r="C141" s="8">
        <f>I140</f>
        <v/>
      </c>
      <c r="D141" s="4">
        <f>SUMIFS('01_異動主檔'!$F:$F,'01_異動主檔'!$B:$B,100,'01_異動主檔'!$D:$D,A141,'01_異動主檔'!$E:$E,"移入")</f>
        <v/>
      </c>
      <c r="E141" s="4">
        <f>-SUMIFS('01_異動主檔'!$F:$F,'01_異動主檔'!$B:$B,100,'01_異動主檔'!$D:$D,A141,'01_異動主檔'!$E:$E,"移出")</f>
        <v/>
      </c>
      <c r="F141" s="4">
        <f>SUMIFS('01_異動主檔'!$F:$F,'01_異動主檔'!$B:$B,100,'01_異動主檔'!$D:$D,A141,'01_異動主檔'!$E:$E,"新增")</f>
        <v/>
      </c>
      <c r="G141" s="4">
        <f>-SUMIFS('01_異動主檔'!$F:$F,'01_異動主檔'!$B:$B,100,'01_異動主檔'!$D:$D,A141,'01_異動主檔'!$E:$E,"減列")</f>
        <v/>
      </c>
      <c r="H141" s="4">
        <f>-SUMIFS('01_異動主檔'!$F:$F,'01_異動主檔'!$B:$B,100,'01_異動主檔'!$D:$D,A141,'01_異動主檔'!$E:$E,"精簡")</f>
        <v/>
      </c>
      <c r="I141" s="8">
        <f>C141+D141+E141+F141+G141+H141</f>
        <v/>
      </c>
    </row>
    <row r="142" ht="18" customHeight="1">
      <c r="A142" s="5" t="inlineStr">
        <is>
          <t>法制處</t>
        </is>
      </c>
      <c r="B142" s="6" t="n">
        <v>101</v>
      </c>
      <c r="C142" s="8">
        <f>I141</f>
        <v/>
      </c>
      <c r="D142" s="4">
        <f>SUMIFS('01_異動主檔'!$F:$F,'01_異動主檔'!$B:$B,101,'01_異動主檔'!$D:$D,A142,'01_異動主檔'!$E:$E,"移入")</f>
        <v/>
      </c>
      <c r="E142" s="4">
        <f>-SUMIFS('01_異動主檔'!$F:$F,'01_異動主檔'!$B:$B,101,'01_異動主檔'!$D:$D,A142,'01_異動主檔'!$E:$E,"移出")</f>
        <v/>
      </c>
      <c r="F142" s="4">
        <f>SUMIFS('01_異動主檔'!$F:$F,'01_異動主檔'!$B:$B,101,'01_異動主檔'!$D:$D,A142,'01_異動主檔'!$E:$E,"新增")</f>
        <v/>
      </c>
      <c r="G142" s="4">
        <f>-SUMIFS('01_異動主檔'!$F:$F,'01_異動主檔'!$B:$B,101,'01_異動主檔'!$D:$D,A142,'01_異動主檔'!$E:$E,"減列")</f>
        <v/>
      </c>
      <c r="H142" s="4">
        <f>-SUMIFS('01_異動主檔'!$F:$F,'01_異動主檔'!$B:$B,101,'01_異動主檔'!$D:$D,A142,'01_異動主檔'!$E:$E,"精簡")</f>
        <v/>
      </c>
      <c r="I142" s="8">
        <f>C142+D142+E142+F142+G142+H142</f>
        <v/>
      </c>
    </row>
    <row r="143" ht="18" customHeight="1">
      <c r="A143" s="3" t="inlineStr">
        <is>
          <t>法制處</t>
        </is>
      </c>
      <c r="B143" s="4" t="n">
        <v>102</v>
      </c>
      <c r="C143" s="8">
        <f>I142</f>
        <v/>
      </c>
      <c r="D143" s="4">
        <f>SUMIFS('01_異動主檔'!$F:$F,'01_異動主檔'!$B:$B,102,'01_異動主檔'!$D:$D,A143,'01_異動主檔'!$E:$E,"移入")</f>
        <v/>
      </c>
      <c r="E143" s="4">
        <f>-SUMIFS('01_異動主檔'!$F:$F,'01_異動主檔'!$B:$B,102,'01_異動主檔'!$D:$D,A143,'01_異動主檔'!$E:$E,"移出")</f>
        <v/>
      </c>
      <c r="F143" s="4">
        <f>SUMIFS('01_異動主檔'!$F:$F,'01_異動主檔'!$B:$B,102,'01_異動主檔'!$D:$D,A143,'01_異動主檔'!$E:$E,"新增")</f>
        <v/>
      </c>
      <c r="G143" s="4">
        <f>-SUMIFS('01_異動主檔'!$F:$F,'01_異動主檔'!$B:$B,102,'01_異動主檔'!$D:$D,A143,'01_異動主檔'!$E:$E,"減列")</f>
        <v/>
      </c>
      <c r="H143" s="4">
        <f>-SUMIFS('01_異動主檔'!$F:$F,'01_異動主檔'!$B:$B,102,'01_異動主檔'!$D:$D,A143,'01_異動主檔'!$E:$E,"精簡")</f>
        <v/>
      </c>
      <c r="I143" s="8">
        <f>C143+D143+E143+F143+G143+H143</f>
        <v/>
      </c>
    </row>
    <row r="144" ht="18" customHeight="1">
      <c r="A144" s="5" t="inlineStr">
        <is>
          <t>法制處</t>
        </is>
      </c>
      <c r="B144" s="6" t="n">
        <v>103</v>
      </c>
      <c r="C144" s="8">
        <f>I143</f>
        <v/>
      </c>
      <c r="D144" s="4">
        <f>SUMIFS('01_異動主檔'!$F:$F,'01_異動主檔'!$B:$B,103,'01_異動主檔'!$D:$D,A144,'01_異動主檔'!$E:$E,"移入")</f>
        <v/>
      </c>
      <c r="E144" s="4">
        <f>-SUMIFS('01_異動主檔'!$F:$F,'01_異動主檔'!$B:$B,103,'01_異動主檔'!$D:$D,A144,'01_異動主檔'!$E:$E,"移出")</f>
        <v/>
      </c>
      <c r="F144" s="4">
        <f>SUMIFS('01_異動主檔'!$F:$F,'01_異動主檔'!$B:$B,103,'01_異動主檔'!$D:$D,A144,'01_異動主檔'!$E:$E,"新增")</f>
        <v/>
      </c>
      <c r="G144" s="4">
        <f>-SUMIFS('01_異動主檔'!$F:$F,'01_異動主檔'!$B:$B,103,'01_異動主檔'!$D:$D,A144,'01_異動主檔'!$E:$E,"減列")</f>
        <v/>
      </c>
      <c r="H144" s="4">
        <f>-SUMIFS('01_異動主檔'!$F:$F,'01_異動主檔'!$B:$B,103,'01_異動主檔'!$D:$D,A144,'01_異動主檔'!$E:$E,"精簡")</f>
        <v/>
      </c>
      <c r="I144" s="8">
        <f>C144+D144+E144+F144+G144+H144</f>
        <v/>
      </c>
    </row>
    <row r="145" ht="18" customHeight="1">
      <c r="A145" s="3" t="inlineStr">
        <is>
          <t>法制處</t>
        </is>
      </c>
      <c r="B145" s="4" t="n">
        <v>104</v>
      </c>
      <c r="C145" s="8">
        <f>I144</f>
        <v/>
      </c>
      <c r="D145" s="4">
        <f>SUMIFS('01_異動主檔'!$F:$F,'01_異動主檔'!$B:$B,104,'01_異動主檔'!$D:$D,A145,'01_異動主檔'!$E:$E,"移入")</f>
        <v/>
      </c>
      <c r="E145" s="4">
        <f>-SUMIFS('01_異動主檔'!$F:$F,'01_異動主檔'!$B:$B,104,'01_異動主檔'!$D:$D,A145,'01_異動主檔'!$E:$E,"移出")</f>
        <v/>
      </c>
      <c r="F145" s="4">
        <f>SUMIFS('01_異動主檔'!$F:$F,'01_異動主檔'!$B:$B,104,'01_異動主檔'!$D:$D,A145,'01_異動主檔'!$E:$E,"新增")</f>
        <v/>
      </c>
      <c r="G145" s="4">
        <f>-SUMIFS('01_異動主檔'!$F:$F,'01_異動主檔'!$B:$B,104,'01_異動主檔'!$D:$D,A145,'01_異動主檔'!$E:$E,"減列")</f>
        <v/>
      </c>
      <c r="H145" s="4">
        <f>-SUMIFS('01_異動主檔'!$F:$F,'01_異動主檔'!$B:$B,104,'01_異動主檔'!$D:$D,A145,'01_異動主檔'!$E:$E,"精簡")</f>
        <v/>
      </c>
      <c r="I145" s="8">
        <f>C145+D145+E145+F145+G145+H145</f>
        <v/>
      </c>
    </row>
    <row r="146" ht="18" customHeight="1">
      <c r="A146" s="5" t="inlineStr">
        <is>
          <t>法制處</t>
        </is>
      </c>
      <c r="B146" s="6" t="n">
        <v>105</v>
      </c>
      <c r="C146" s="8">
        <f>I145</f>
        <v/>
      </c>
      <c r="D146" s="4">
        <f>SUMIFS('01_異動主檔'!$F:$F,'01_異動主檔'!$B:$B,105,'01_異動主檔'!$D:$D,A146,'01_異動主檔'!$E:$E,"移入")</f>
        <v/>
      </c>
      <c r="E146" s="4">
        <f>-SUMIFS('01_異動主檔'!$F:$F,'01_異動主檔'!$B:$B,105,'01_異動主檔'!$D:$D,A146,'01_異動主檔'!$E:$E,"移出")</f>
        <v/>
      </c>
      <c r="F146" s="4">
        <f>SUMIFS('01_異動主檔'!$F:$F,'01_異動主檔'!$B:$B,105,'01_異動主檔'!$D:$D,A146,'01_異動主檔'!$E:$E,"新增")</f>
        <v/>
      </c>
      <c r="G146" s="4">
        <f>-SUMIFS('01_異動主檔'!$F:$F,'01_異動主檔'!$B:$B,105,'01_異動主檔'!$D:$D,A146,'01_異動主檔'!$E:$E,"減列")</f>
        <v/>
      </c>
      <c r="H146" s="4">
        <f>-SUMIFS('01_異動主檔'!$F:$F,'01_異動主檔'!$B:$B,105,'01_異動主檔'!$D:$D,A146,'01_異動主檔'!$E:$E,"精簡")</f>
        <v/>
      </c>
      <c r="I146" s="8">
        <f>C146+D146+E146+F146+G146+H146</f>
        <v/>
      </c>
    </row>
    <row r="147" ht="18" customHeight="1">
      <c r="A147" s="3" t="inlineStr">
        <is>
          <t>法制處</t>
        </is>
      </c>
      <c r="B147" s="4" t="n">
        <v>106</v>
      </c>
      <c r="C147" s="8">
        <f>I146</f>
        <v/>
      </c>
      <c r="D147" s="4">
        <f>SUMIFS('01_異動主檔'!$F:$F,'01_異動主檔'!$B:$B,106,'01_異動主檔'!$D:$D,A147,'01_異動主檔'!$E:$E,"移入")</f>
        <v/>
      </c>
      <c r="E147" s="4">
        <f>-SUMIFS('01_異動主檔'!$F:$F,'01_異動主檔'!$B:$B,106,'01_異動主檔'!$D:$D,A147,'01_異動主檔'!$E:$E,"移出")</f>
        <v/>
      </c>
      <c r="F147" s="4">
        <f>SUMIFS('01_異動主檔'!$F:$F,'01_異動主檔'!$B:$B,106,'01_異動主檔'!$D:$D,A147,'01_異動主檔'!$E:$E,"新增")</f>
        <v/>
      </c>
      <c r="G147" s="4">
        <f>-SUMIFS('01_異動主檔'!$F:$F,'01_異動主檔'!$B:$B,106,'01_異動主檔'!$D:$D,A147,'01_異動主檔'!$E:$E,"減列")</f>
        <v/>
      </c>
      <c r="H147" s="4">
        <f>-SUMIFS('01_異動主檔'!$F:$F,'01_異動主檔'!$B:$B,106,'01_異動主檔'!$D:$D,A147,'01_異動主檔'!$E:$E,"精簡")</f>
        <v/>
      </c>
      <c r="I147" s="8">
        <f>C147+D147+E147+F147+G147+H147</f>
        <v/>
      </c>
    </row>
    <row r="148" ht="18" customHeight="1">
      <c r="A148" s="5" t="inlineStr">
        <is>
          <t>法制處</t>
        </is>
      </c>
      <c r="B148" s="6" t="n">
        <v>107</v>
      </c>
      <c r="C148" s="8">
        <f>I147</f>
        <v/>
      </c>
      <c r="D148" s="4">
        <f>SUMIFS('01_異動主檔'!$F:$F,'01_異動主檔'!$B:$B,107,'01_異動主檔'!$D:$D,A148,'01_異動主檔'!$E:$E,"移入")</f>
        <v/>
      </c>
      <c r="E148" s="4">
        <f>-SUMIFS('01_異動主檔'!$F:$F,'01_異動主檔'!$B:$B,107,'01_異動主檔'!$D:$D,A148,'01_異動主檔'!$E:$E,"移出")</f>
        <v/>
      </c>
      <c r="F148" s="4">
        <f>SUMIFS('01_異動主檔'!$F:$F,'01_異動主檔'!$B:$B,107,'01_異動主檔'!$D:$D,A148,'01_異動主檔'!$E:$E,"新增")</f>
        <v/>
      </c>
      <c r="G148" s="4">
        <f>-SUMIFS('01_異動主檔'!$F:$F,'01_異動主檔'!$B:$B,107,'01_異動主檔'!$D:$D,A148,'01_異動主檔'!$E:$E,"減列")</f>
        <v/>
      </c>
      <c r="H148" s="4">
        <f>-SUMIFS('01_異動主檔'!$F:$F,'01_異動主檔'!$B:$B,107,'01_異動主檔'!$D:$D,A148,'01_異動主檔'!$E:$E,"精簡")</f>
        <v/>
      </c>
      <c r="I148" s="8">
        <f>C148+D148+E148+F148+G148+H148</f>
        <v/>
      </c>
    </row>
    <row r="149" ht="18" customHeight="1">
      <c r="A149" s="3" t="inlineStr">
        <is>
          <t>法制處</t>
        </is>
      </c>
      <c r="B149" s="4" t="n">
        <v>108</v>
      </c>
      <c r="C149" s="8">
        <f>I148</f>
        <v/>
      </c>
      <c r="D149" s="4">
        <f>SUMIFS('01_異動主檔'!$F:$F,'01_異動主檔'!$B:$B,108,'01_異動主檔'!$D:$D,A149,'01_異動主檔'!$E:$E,"移入")</f>
        <v/>
      </c>
      <c r="E149" s="4">
        <f>-SUMIFS('01_異動主檔'!$F:$F,'01_異動主檔'!$B:$B,108,'01_異動主檔'!$D:$D,A149,'01_異動主檔'!$E:$E,"移出")</f>
        <v/>
      </c>
      <c r="F149" s="4">
        <f>SUMIFS('01_異動主檔'!$F:$F,'01_異動主檔'!$B:$B,108,'01_異動主檔'!$D:$D,A149,'01_異動主檔'!$E:$E,"新增")</f>
        <v/>
      </c>
      <c r="G149" s="4">
        <f>-SUMIFS('01_異動主檔'!$F:$F,'01_異動主檔'!$B:$B,108,'01_異動主檔'!$D:$D,A149,'01_異動主檔'!$E:$E,"減列")</f>
        <v/>
      </c>
      <c r="H149" s="4">
        <f>-SUMIFS('01_異動主檔'!$F:$F,'01_異動主檔'!$B:$B,108,'01_異動主檔'!$D:$D,A149,'01_異動主檔'!$E:$E,"精簡")</f>
        <v/>
      </c>
      <c r="I149" s="8">
        <f>C149+D149+E149+F149+G149+H149</f>
        <v/>
      </c>
    </row>
    <row r="150" ht="18" customHeight="1">
      <c r="A150" s="5" t="inlineStr">
        <is>
          <t>法制處</t>
        </is>
      </c>
      <c r="B150" s="6" t="n">
        <v>109</v>
      </c>
      <c r="C150" s="8">
        <f>I149</f>
        <v/>
      </c>
      <c r="D150" s="4">
        <f>SUMIFS('01_異動主檔'!$F:$F,'01_異動主檔'!$B:$B,109,'01_異動主檔'!$D:$D,A150,'01_異動主檔'!$E:$E,"移入")</f>
        <v/>
      </c>
      <c r="E150" s="4">
        <f>-SUMIFS('01_異動主檔'!$F:$F,'01_異動主檔'!$B:$B,109,'01_異動主檔'!$D:$D,A150,'01_異動主檔'!$E:$E,"移出")</f>
        <v/>
      </c>
      <c r="F150" s="4">
        <f>SUMIFS('01_異動主檔'!$F:$F,'01_異動主檔'!$B:$B,109,'01_異動主檔'!$D:$D,A150,'01_異動主檔'!$E:$E,"新增")</f>
        <v/>
      </c>
      <c r="G150" s="4">
        <f>-SUMIFS('01_異動主檔'!$F:$F,'01_異動主檔'!$B:$B,109,'01_異動主檔'!$D:$D,A150,'01_異動主檔'!$E:$E,"減列")</f>
        <v/>
      </c>
      <c r="H150" s="4">
        <f>-SUMIFS('01_異動主檔'!$F:$F,'01_異動主檔'!$B:$B,109,'01_異動主檔'!$D:$D,A150,'01_異動主檔'!$E:$E,"精簡")</f>
        <v/>
      </c>
      <c r="I150" s="8">
        <f>C150+D150+E150+F150+G150+H150</f>
        <v/>
      </c>
    </row>
    <row r="151" ht="18" customHeight="1">
      <c r="A151" s="3" t="inlineStr">
        <is>
          <t>法制處</t>
        </is>
      </c>
      <c r="B151" s="4" t="n">
        <v>110</v>
      </c>
      <c r="C151" s="8">
        <f>I150</f>
        <v/>
      </c>
      <c r="D151" s="4">
        <f>SUMIFS('01_異動主檔'!$F:$F,'01_異動主檔'!$B:$B,110,'01_異動主檔'!$D:$D,A151,'01_異動主檔'!$E:$E,"移入")</f>
        <v/>
      </c>
      <c r="E151" s="4">
        <f>-SUMIFS('01_異動主檔'!$F:$F,'01_異動主檔'!$B:$B,110,'01_異動主檔'!$D:$D,A151,'01_異動主檔'!$E:$E,"移出")</f>
        <v/>
      </c>
      <c r="F151" s="4">
        <f>SUMIFS('01_異動主檔'!$F:$F,'01_異動主檔'!$B:$B,110,'01_異動主檔'!$D:$D,A151,'01_異動主檔'!$E:$E,"新增")</f>
        <v/>
      </c>
      <c r="G151" s="4">
        <f>-SUMIFS('01_異動主檔'!$F:$F,'01_異動主檔'!$B:$B,110,'01_異動主檔'!$D:$D,A151,'01_異動主檔'!$E:$E,"減列")</f>
        <v/>
      </c>
      <c r="H151" s="4">
        <f>-SUMIFS('01_異動主檔'!$F:$F,'01_異動主檔'!$B:$B,110,'01_異動主檔'!$D:$D,A151,'01_異動主檔'!$E:$E,"精簡")</f>
        <v/>
      </c>
      <c r="I151" s="8">
        <f>C151+D151+E151+F151+G151+H151</f>
        <v/>
      </c>
    </row>
    <row r="152" ht="18" customHeight="1">
      <c r="A152" s="5" t="inlineStr">
        <is>
          <t>法制處</t>
        </is>
      </c>
      <c r="B152" s="6" t="n">
        <v>111</v>
      </c>
      <c r="C152" s="8">
        <f>I151</f>
        <v/>
      </c>
      <c r="D152" s="4">
        <f>SUMIFS('01_異動主檔'!$F:$F,'01_異動主檔'!$B:$B,111,'01_異動主檔'!$D:$D,A152,'01_異動主檔'!$E:$E,"移入")</f>
        <v/>
      </c>
      <c r="E152" s="4">
        <f>-SUMIFS('01_異動主檔'!$F:$F,'01_異動主檔'!$B:$B,111,'01_異動主檔'!$D:$D,A152,'01_異動主檔'!$E:$E,"移出")</f>
        <v/>
      </c>
      <c r="F152" s="4">
        <f>SUMIFS('01_異動主檔'!$F:$F,'01_異動主檔'!$B:$B,111,'01_異動主檔'!$D:$D,A152,'01_異動主檔'!$E:$E,"新增")</f>
        <v/>
      </c>
      <c r="G152" s="4">
        <f>-SUMIFS('01_異動主檔'!$F:$F,'01_異動主檔'!$B:$B,111,'01_異動主檔'!$D:$D,A152,'01_異動主檔'!$E:$E,"減列")</f>
        <v/>
      </c>
      <c r="H152" s="4">
        <f>-SUMIFS('01_異動主檔'!$F:$F,'01_異動主檔'!$B:$B,111,'01_異動主檔'!$D:$D,A152,'01_異動主檔'!$E:$E,"精簡")</f>
        <v/>
      </c>
      <c r="I152" s="8">
        <f>C152+D152+E152+F152+G152+H152</f>
        <v/>
      </c>
    </row>
    <row r="153" ht="18" customHeight="1">
      <c r="A153" s="3" t="inlineStr">
        <is>
          <t>法制處</t>
        </is>
      </c>
      <c r="B153" s="4" t="n">
        <v>112</v>
      </c>
      <c r="C153" s="8">
        <f>I152</f>
        <v/>
      </c>
      <c r="D153" s="4">
        <f>SUMIFS('01_異動主檔'!$F:$F,'01_異動主檔'!$B:$B,112,'01_異動主檔'!$D:$D,A153,'01_異動主檔'!$E:$E,"移入")</f>
        <v/>
      </c>
      <c r="E153" s="4">
        <f>-SUMIFS('01_異動主檔'!$F:$F,'01_異動主檔'!$B:$B,112,'01_異動主檔'!$D:$D,A153,'01_異動主檔'!$E:$E,"移出")</f>
        <v/>
      </c>
      <c r="F153" s="4">
        <f>SUMIFS('01_異動主檔'!$F:$F,'01_異動主檔'!$B:$B,112,'01_異動主檔'!$D:$D,A153,'01_異動主檔'!$E:$E,"新增")</f>
        <v/>
      </c>
      <c r="G153" s="4">
        <f>-SUMIFS('01_異動主檔'!$F:$F,'01_異動主檔'!$B:$B,112,'01_異動主檔'!$D:$D,A153,'01_異動主檔'!$E:$E,"減列")</f>
        <v/>
      </c>
      <c r="H153" s="4">
        <f>-SUMIFS('01_異動主檔'!$F:$F,'01_異動主檔'!$B:$B,112,'01_異動主檔'!$D:$D,A153,'01_異動主檔'!$E:$E,"精簡")</f>
        <v/>
      </c>
      <c r="I153" s="8">
        <f>C153+D153+E153+F153+G153+H153</f>
        <v/>
      </c>
    </row>
    <row r="154" ht="18" customHeight="1">
      <c r="A154" s="5" t="inlineStr">
        <is>
          <t>法制處</t>
        </is>
      </c>
      <c r="B154" s="6" t="n">
        <v>113</v>
      </c>
      <c r="C154" s="8">
        <f>I153</f>
        <v/>
      </c>
      <c r="D154" s="4">
        <f>SUMIFS('01_異動主檔'!$F:$F,'01_異動主檔'!$B:$B,113,'01_異動主檔'!$D:$D,A154,'01_異動主檔'!$E:$E,"移入")</f>
        <v/>
      </c>
      <c r="E154" s="4">
        <f>-SUMIFS('01_異動主檔'!$F:$F,'01_異動主檔'!$B:$B,113,'01_異動主檔'!$D:$D,A154,'01_異動主檔'!$E:$E,"移出")</f>
        <v/>
      </c>
      <c r="F154" s="4">
        <f>SUMIFS('01_異動主檔'!$F:$F,'01_異動主檔'!$B:$B,113,'01_異動主檔'!$D:$D,A154,'01_異動主檔'!$E:$E,"新增")</f>
        <v/>
      </c>
      <c r="G154" s="4">
        <f>-SUMIFS('01_異動主檔'!$F:$F,'01_異動主檔'!$B:$B,113,'01_異動主檔'!$D:$D,A154,'01_異動主檔'!$E:$E,"減列")</f>
        <v/>
      </c>
      <c r="H154" s="4">
        <f>-SUMIFS('01_異動主檔'!$F:$F,'01_異動主檔'!$B:$B,113,'01_異動主檔'!$D:$D,A154,'01_異動主檔'!$E:$E,"精簡")</f>
        <v/>
      </c>
      <c r="I154" s="8">
        <f>C154+D154+E154+F154+G154+H154</f>
        <v/>
      </c>
    </row>
    <row r="155" ht="18" customHeight="1">
      <c r="A155" s="3" t="inlineStr">
        <is>
          <t>法制處</t>
        </is>
      </c>
      <c r="B155" s="4" t="n">
        <v>114</v>
      </c>
      <c r="C155" s="8">
        <f>I154</f>
        <v/>
      </c>
      <c r="D155" s="4">
        <f>SUMIFS('01_異動主檔'!$F:$F,'01_異動主檔'!$B:$B,114,'01_異動主檔'!$D:$D,A155,'01_異動主檔'!$E:$E,"移入")</f>
        <v/>
      </c>
      <c r="E155" s="4">
        <f>-SUMIFS('01_異動主檔'!$F:$F,'01_異動主檔'!$B:$B,114,'01_異動主檔'!$D:$D,A155,'01_異動主檔'!$E:$E,"移出")</f>
        <v/>
      </c>
      <c r="F155" s="4">
        <f>SUMIFS('01_異動主檔'!$F:$F,'01_異動主檔'!$B:$B,114,'01_異動主檔'!$D:$D,A155,'01_異動主檔'!$E:$E,"新增")</f>
        <v/>
      </c>
      <c r="G155" s="4">
        <f>-SUMIFS('01_異動主檔'!$F:$F,'01_異動主檔'!$B:$B,114,'01_異動主檔'!$D:$D,A155,'01_異動主檔'!$E:$E,"減列")</f>
        <v/>
      </c>
      <c r="H155" s="4">
        <f>-SUMIFS('01_異動主檔'!$F:$F,'01_異動主檔'!$B:$B,114,'01_異動主檔'!$D:$D,A155,'01_異動主檔'!$E:$E,"精簡")</f>
        <v/>
      </c>
      <c r="I155" s="8">
        <f>C155+D155+E155+F155+G155+H155</f>
        <v/>
      </c>
    </row>
    <row r="156" ht="18" customHeight="1">
      <c r="A156" s="5" t="inlineStr">
        <is>
          <t>法制處</t>
        </is>
      </c>
      <c r="B156" s="6" t="n">
        <v>115</v>
      </c>
      <c r="C156" s="8">
        <f>I155</f>
        <v/>
      </c>
      <c r="D156" s="4">
        <f>SUMIFS('01_異動主檔'!$F:$F,'01_異動主檔'!$B:$B,115,'01_異動主檔'!$D:$D,A156,'01_異動主檔'!$E:$E,"移入")</f>
        <v/>
      </c>
      <c r="E156" s="4">
        <f>-SUMIFS('01_異動主檔'!$F:$F,'01_異動主檔'!$B:$B,115,'01_異動主檔'!$D:$D,A156,'01_異動主檔'!$E:$E,"移出")</f>
        <v/>
      </c>
      <c r="F156" s="4">
        <f>SUMIFS('01_異動主檔'!$F:$F,'01_異動主檔'!$B:$B,115,'01_異動主檔'!$D:$D,A156,'01_異動主檔'!$E:$E,"新增")</f>
        <v/>
      </c>
      <c r="G156" s="4">
        <f>-SUMIFS('01_異動主檔'!$F:$F,'01_異動主檔'!$B:$B,115,'01_異動主檔'!$D:$D,A156,'01_異動主檔'!$E:$E,"減列")</f>
        <v/>
      </c>
      <c r="H156" s="4">
        <f>-SUMIFS('01_異動主檔'!$F:$F,'01_異動主檔'!$B:$B,115,'01_異動主檔'!$D:$D,A156,'01_異動主檔'!$E:$E,"精簡")</f>
        <v/>
      </c>
      <c r="I156" s="8">
        <f>C156+D156+E156+F156+G156+H156</f>
        <v/>
      </c>
    </row>
    <row r="157" ht="18" customHeight="1">
      <c r="A157" s="3" t="inlineStr">
        <is>
          <t>法制處</t>
        </is>
      </c>
      <c r="B157" s="4" t="n">
        <v>116</v>
      </c>
      <c r="C157" s="8">
        <f>I156</f>
        <v/>
      </c>
      <c r="D157" s="4">
        <f>SUMIFS('01_異動主檔'!$F:$F,'01_異動主檔'!$B:$B,116,'01_異動主檔'!$D:$D,A157,'01_異動主檔'!$E:$E,"移入")</f>
        <v/>
      </c>
      <c r="E157" s="4">
        <f>-SUMIFS('01_異動主檔'!$F:$F,'01_異動主檔'!$B:$B,116,'01_異動主檔'!$D:$D,A157,'01_異動主檔'!$E:$E,"移出")</f>
        <v/>
      </c>
      <c r="F157" s="4">
        <f>SUMIFS('01_異動主檔'!$F:$F,'01_異動主檔'!$B:$B,116,'01_異動主檔'!$D:$D,A157,'01_異動主檔'!$E:$E,"新增")</f>
        <v/>
      </c>
      <c r="G157" s="4">
        <f>-SUMIFS('01_異動主檔'!$F:$F,'01_異動主檔'!$B:$B,116,'01_異動主檔'!$D:$D,A157,'01_異動主檔'!$E:$E,"減列")</f>
        <v/>
      </c>
      <c r="H157" s="4">
        <f>-SUMIFS('01_異動主檔'!$F:$F,'01_異動主檔'!$B:$B,116,'01_異動主檔'!$D:$D,A157,'01_異動主檔'!$E:$E,"精簡")</f>
        <v/>
      </c>
      <c r="I157" s="8">
        <f>C157+D157+E157+F157+G157+H157</f>
        <v/>
      </c>
    </row>
    <row r="158" ht="18" customHeight="1">
      <c r="A158" s="5" t="inlineStr">
        <is>
          <t>法制處</t>
        </is>
      </c>
      <c r="B158" s="6" t="n">
        <v>117</v>
      </c>
      <c r="C158" s="8">
        <f>I157</f>
        <v/>
      </c>
      <c r="D158" s="4">
        <f>SUMIFS('01_異動主檔'!$F:$F,'01_異動主檔'!$B:$B,117,'01_異動主檔'!$D:$D,A158,'01_異動主檔'!$E:$E,"移入")</f>
        <v/>
      </c>
      <c r="E158" s="4">
        <f>-SUMIFS('01_異動主檔'!$F:$F,'01_異動主檔'!$B:$B,117,'01_異動主檔'!$D:$D,A158,'01_異動主檔'!$E:$E,"移出")</f>
        <v/>
      </c>
      <c r="F158" s="4">
        <f>SUMIFS('01_異動主檔'!$F:$F,'01_異動主檔'!$B:$B,117,'01_異動主檔'!$D:$D,A158,'01_異動主檔'!$E:$E,"新增")</f>
        <v/>
      </c>
      <c r="G158" s="4">
        <f>-SUMIFS('01_異動主檔'!$F:$F,'01_異動主檔'!$B:$B,117,'01_異動主檔'!$D:$D,A158,'01_異動主檔'!$E:$E,"減列")</f>
        <v/>
      </c>
      <c r="H158" s="4">
        <f>-SUMIFS('01_異動主檔'!$F:$F,'01_異動主檔'!$B:$B,117,'01_異動主檔'!$D:$D,A158,'01_異動主檔'!$E:$E,"精簡")</f>
        <v/>
      </c>
      <c r="I158" s="8">
        <f>C158+D158+E158+F158+G158+H158</f>
        <v/>
      </c>
    </row>
    <row r="159" ht="18" customHeight="1">
      <c r="A159" s="3" t="inlineStr">
        <is>
          <t>法制處</t>
        </is>
      </c>
      <c r="B159" s="4" t="n">
        <v>118</v>
      </c>
      <c r="C159" s="8">
        <f>I158</f>
        <v/>
      </c>
      <c r="D159" s="4">
        <f>SUMIFS('01_異動主檔'!$F:$F,'01_異動主檔'!$B:$B,118,'01_異動主檔'!$D:$D,A159,'01_異動主檔'!$E:$E,"移入")</f>
        <v/>
      </c>
      <c r="E159" s="4">
        <f>-SUMIFS('01_異動主檔'!$F:$F,'01_異動主檔'!$B:$B,118,'01_異動主檔'!$D:$D,A159,'01_異動主檔'!$E:$E,"移出")</f>
        <v/>
      </c>
      <c r="F159" s="4">
        <f>SUMIFS('01_異動主檔'!$F:$F,'01_異動主檔'!$B:$B,118,'01_異動主檔'!$D:$D,A159,'01_異動主檔'!$E:$E,"新增")</f>
        <v/>
      </c>
      <c r="G159" s="4">
        <f>-SUMIFS('01_異動主檔'!$F:$F,'01_異動主檔'!$B:$B,118,'01_異動主檔'!$D:$D,A159,'01_異動主檔'!$E:$E,"減列")</f>
        <v/>
      </c>
      <c r="H159" s="4">
        <f>-SUMIFS('01_異動主檔'!$F:$F,'01_異動主檔'!$B:$B,118,'01_異動主檔'!$D:$D,A159,'01_異動主檔'!$E:$E,"精簡")</f>
        <v/>
      </c>
      <c r="I159" s="8">
        <f>C159+D159+E159+F159+G159+H159</f>
        <v/>
      </c>
    </row>
    <row r="160" ht="18" customHeight="1">
      <c r="A160" s="5" t="inlineStr">
        <is>
          <t>法制處</t>
        </is>
      </c>
      <c r="B160" s="6" t="n">
        <v>119</v>
      </c>
      <c r="C160" s="8">
        <f>I159</f>
        <v/>
      </c>
      <c r="D160" s="4">
        <f>SUMIFS('01_異動主檔'!$F:$F,'01_異動主檔'!$B:$B,119,'01_異動主檔'!$D:$D,A160,'01_異動主檔'!$E:$E,"移入")</f>
        <v/>
      </c>
      <c r="E160" s="4">
        <f>-SUMIFS('01_異動主檔'!$F:$F,'01_異動主檔'!$B:$B,119,'01_異動主檔'!$D:$D,A160,'01_異動主檔'!$E:$E,"移出")</f>
        <v/>
      </c>
      <c r="F160" s="4">
        <f>SUMIFS('01_異動主檔'!$F:$F,'01_異動主檔'!$B:$B,119,'01_異動主檔'!$D:$D,A160,'01_異動主檔'!$E:$E,"新增")</f>
        <v/>
      </c>
      <c r="G160" s="4">
        <f>-SUMIFS('01_異動主檔'!$F:$F,'01_異動主檔'!$B:$B,119,'01_異動主檔'!$D:$D,A160,'01_異動主檔'!$E:$E,"減列")</f>
        <v/>
      </c>
      <c r="H160" s="4">
        <f>-SUMIFS('01_異動主檔'!$F:$F,'01_異動主檔'!$B:$B,119,'01_異動主檔'!$D:$D,A160,'01_異動主檔'!$E:$E,"精簡")</f>
        <v/>
      </c>
      <c r="I160" s="8">
        <f>C160+D160+E160+F160+G160+H160</f>
        <v/>
      </c>
    </row>
    <row r="161" ht="18" customHeight="1">
      <c r="A161" s="3" t="inlineStr">
        <is>
          <t>法制處</t>
        </is>
      </c>
      <c r="B161" s="4" t="n">
        <v>120</v>
      </c>
      <c r="C161" s="8">
        <f>I160</f>
        <v/>
      </c>
      <c r="D161" s="4">
        <f>SUMIFS('01_異動主檔'!$F:$F,'01_異動主檔'!$B:$B,120,'01_異動主檔'!$D:$D,A161,'01_異動主檔'!$E:$E,"移入")</f>
        <v/>
      </c>
      <c r="E161" s="4">
        <f>-SUMIFS('01_異動主檔'!$F:$F,'01_異動主檔'!$B:$B,120,'01_異動主檔'!$D:$D,A161,'01_異動主檔'!$E:$E,"移出")</f>
        <v/>
      </c>
      <c r="F161" s="4">
        <f>SUMIFS('01_異動主檔'!$F:$F,'01_異動主檔'!$B:$B,120,'01_異動主檔'!$D:$D,A161,'01_異動主檔'!$E:$E,"新增")</f>
        <v/>
      </c>
      <c r="G161" s="4">
        <f>-SUMIFS('01_異動主檔'!$F:$F,'01_異動主檔'!$B:$B,120,'01_異動主檔'!$D:$D,A161,'01_異動主檔'!$E:$E,"減列")</f>
        <v/>
      </c>
      <c r="H161" s="4">
        <f>-SUMIFS('01_異動主檔'!$F:$F,'01_異動主檔'!$B:$B,120,'01_異動主檔'!$D:$D,A161,'01_異動主檔'!$E:$E,"精簡")</f>
        <v/>
      </c>
      <c r="I161" s="8">
        <f>C161+D161+E161+F161+G161+H161</f>
        <v/>
      </c>
    </row>
    <row r="162" ht="18" customHeight="1">
      <c r="A162" s="5" t="inlineStr">
        <is>
          <t>法制處</t>
        </is>
      </c>
      <c r="B162" s="6" t="n">
        <v>121</v>
      </c>
      <c r="C162" s="8">
        <f>I161</f>
        <v/>
      </c>
      <c r="D162" s="4">
        <f>SUMIFS('01_異動主檔'!$F:$F,'01_異動主檔'!$B:$B,121,'01_異動主檔'!$D:$D,A162,'01_異動主檔'!$E:$E,"移入")</f>
        <v/>
      </c>
      <c r="E162" s="4">
        <f>-SUMIFS('01_異動主檔'!$F:$F,'01_異動主檔'!$B:$B,121,'01_異動主檔'!$D:$D,A162,'01_異動主檔'!$E:$E,"移出")</f>
        <v/>
      </c>
      <c r="F162" s="4">
        <f>SUMIFS('01_異動主檔'!$F:$F,'01_異動主檔'!$B:$B,121,'01_異動主檔'!$D:$D,A162,'01_異動主檔'!$E:$E,"新增")</f>
        <v/>
      </c>
      <c r="G162" s="4">
        <f>-SUMIFS('01_異動主檔'!$F:$F,'01_異動主檔'!$B:$B,121,'01_異動主檔'!$D:$D,A162,'01_異動主檔'!$E:$E,"減列")</f>
        <v/>
      </c>
      <c r="H162" s="4">
        <f>-SUMIFS('01_異動主檔'!$F:$F,'01_異動主檔'!$B:$B,121,'01_異動主檔'!$D:$D,A162,'01_異動主檔'!$E:$E,"精簡")</f>
        <v/>
      </c>
      <c r="I162" s="8">
        <f>C162+D162+E162+F162+G162+H162</f>
        <v/>
      </c>
    </row>
    <row r="163" ht="18" customHeight="1">
      <c r="A163" s="3" t="inlineStr">
        <is>
          <t>法制處</t>
        </is>
      </c>
      <c r="B163" s="4" t="n">
        <v>122</v>
      </c>
      <c r="C163" s="8">
        <f>I162</f>
        <v/>
      </c>
      <c r="D163" s="4">
        <f>SUMIFS('01_異動主檔'!$F:$F,'01_異動主檔'!$B:$B,122,'01_異動主檔'!$D:$D,A163,'01_異動主檔'!$E:$E,"移入")</f>
        <v/>
      </c>
      <c r="E163" s="4">
        <f>-SUMIFS('01_異動主檔'!$F:$F,'01_異動主檔'!$B:$B,122,'01_異動主檔'!$D:$D,A163,'01_異動主檔'!$E:$E,"移出")</f>
        <v/>
      </c>
      <c r="F163" s="4">
        <f>SUMIFS('01_異動主檔'!$F:$F,'01_異動主檔'!$B:$B,122,'01_異動主檔'!$D:$D,A163,'01_異動主檔'!$E:$E,"新增")</f>
        <v/>
      </c>
      <c r="G163" s="4">
        <f>-SUMIFS('01_異動主檔'!$F:$F,'01_異動主檔'!$B:$B,122,'01_異動主檔'!$D:$D,A163,'01_異動主檔'!$E:$E,"減列")</f>
        <v/>
      </c>
      <c r="H163" s="4">
        <f>-SUMIFS('01_異動主檔'!$F:$F,'01_異動主檔'!$B:$B,122,'01_異動主檔'!$D:$D,A163,'01_異動主檔'!$E:$E,"精簡")</f>
        <v/>
      </c>
      <c r="I163" s="8">
        <f>C163+D163+E163+F163+G163+H163</f>
        <v/>
      </c>
    </row>
    <row r="164" ht="18" customHeight="1">
      <c r="A164" s="5" t="inlineStr">
        <is>
          <t>法制處</t>
        </is>
      </c>
      <c r="B164" s="6" t="n">
        <v>123</v>
      </c>
      <c r="C164" s="8">
        <f>I163</f>
        <v/>
      </c>
      <c r="D164" s="4">
        <f>SUMIFS('01_異動主檔'!$F:$F,'01_異動主檔'!$B:$B,123,'01_異動主檔'!$D:$D,A164,'01_異動主檔'!$E:$E,"移入")</f>
        <v/>
      </c>
      <c r="E164" s="4">
        <f>-SUMIFS('01_異動主檔'!$F:$F,'01_異動主檔'!$B:$B,123,'01_異動主檔'!$D:$D,A164,'01_異動主檔'!$E:$E,"移出")</f>
        <v/>
      </c>
      <c r="F164" s="4">
        <f>SUMIFS('01_異動主檔'!$F:$F,'01_異動主檔'!$B:$B,123,'01_異動主檔'!$D:$D,A164,'01_異動主檔'!$E:$E,"新增")</f>
        <v/>
      </c>
      <c r="G164" s="4">
        <f>-SUMIFS('01_異動主檔'!$F:$F,'01_異動主檔'!$B:$B,123,'01_異動主檔'!$D:$D,A164,'01_異動主檔'!$E:$E,"減列")</f>
        <v/>
      </c>
      <c r="H164" s="4">
        <f>-SUMIFS('01_異動主檔'!$F:$F,'01_異動主檔'!$B:$B,123,'01_異動主檔'!$D:$D,A164,'01_異動主檔'!$E:$E,"精簡")</f>
        <v/>
      </c>
      <c r="I164" s="8">
        <f>C164+D164+E164+F164+G164+H164</f>
        <v/>
      </c>
    </row>
    <row r="165" ht="18" customHeight="1">
      <c r="A165" s="3" t="inlineStr">
        <is>
          <t>法制處</t>
        </is>
      </c>
      <c r="B165" s="4" t="n">
        <v>124</v>
      </c>
      <c r="C165" s="8">
        <f>I164</f>
        <v/>
      </c>
      <c r="D165" s="4">
        <f>SUMIFS('01_異動主檔'!$F:$F,'01_異動主檔'!$B:$B,124,'01_異動主檔'!$D:$D,A165,'01_異動主檔'!$E:$E,"移入")</f>
        <v/>
      </c>
      <c r="E165" s="4">
        <f>-SUMIFS('01_異動主檔'!$F:$F,'01_異動主檔'!$B:$B,124,'01_異動主檔'!$D:$D,A165,'01_異動主檔'!$E:$E,"移出")</f>
        <v/>
      </c>
      <c r="F165" s="4">
        <f>SUMIFS('01_異動主檔'!$F:$F,'01_異動主檔'!$B:$B,124,'01_異動主檔'!$D:$D,A165,'01_異動主檔'!$E:$E,"新增")</f>
        <v/>
      </c>
      <c r="G165" s="4">
        <f>-SUMIFS('01_異動主檔'!$F:$F,'01_異動主檔'!$B:$B,124,'01_異動主檔'!$D:$D,A165,'01_異動主檔'!$E:$E,"減列")</f>
        <v/>
      </c>
      <c r="H165" s="4">
        <f>-SUMIFS('01_異動主檔'!$F:$F,'01_異動主檔'!$B:$B,124,'01_異動主檔'!$D:$D,A165,'01_異動主檔'!$E:$E,"精簡")</f>
        <v/>
      </c>
      <c r="I165" s="8">
        <f>C165+D165+E165+F165+G165+H165</f>
        <v/>
      </c>
    </row>
    <row r="166" ht="18" customHeight="1">
      <c r="A166" s="5" t="inlineStr">
        <is>
          <t>法制處</t>
        </is>
      </c>
      <c r="B166" s="6" t="n">
        <v>125</v>
      </c>
      <c r="C166" s="8">
        <f>I165</f>
        <v/>
      </c>
      <c r="D166" s="4">
        <f>SUMIFS('01_異動主檔'!$F:$F,'01_異動主檔'!$B:$B,125,'01_異動主檔'!$D:$D,A166,'01_異動主檔'!$E:$E,"移入")</f>
        <v/>
      </c>
      <c r="E166" s="4">
        <f>-SUMIFS('01_異動主檔'!$F:$F,'01_異動主檔'!$B:$B,125,'01_異動主檔'!$D:$D,A166,'01_異動主檔'!$E:$E,"移出")</f>
        <v/>
      </c>
      <c r="F166" s="4">
        <f>SUMIFS('01_異動主檔'!$F:$F,'01_異動主檔'!$B:$B,125,'01_異動主檔'!$D:$D,A166,'01_異動主檔'!$E:$E,"新增")</f>
        <v/>
      </c>
      <c r="G166" s="4">
        <f>-SUMIFS('01_異動主檔'!$F:$F,'01_異動主檔'!$B:$B,125,'01_異動主檔'!$D:$D,A166,'01_異動主檔'!$E:$E,"減列")</f>
        <v/>
      </c>
      <c r="H166" s="4">
        <f>-SUMIFS('01_異動主檔'!$F:$F,'01_異動主檔'!$B:$B,125,'01_異動主檔'!$D:$D,A166,'01_異動主檔'!$E:$E,"精簡")</f>
        <v/>
      </c>
      <c r="I166" s="8">
        <f>C166+D166+E166+F166+G166+H166</f>
        <v/>
      </c>
    </row>
    <row r="167" ht="18" customHeight="1">
      <c r="A167" s="3" t="inlineStr">
        <is>
          <t>秘書處</t>
        </is>
      </c>
      <c r="B167" s="4" t="n">
        <v>99</v>
      </c>
      <c r="C167" s="8">
        <f>'02_年初員額設定'!B11</f>
        <v/>
      </c>
      <c r="D167" s="4">
        <f>SUMIFS('01_異動主檔'!$F:$F,'01_異動主檔'!$B:$B,99,'01_異動主檔'!$D:$D,A167,'01_異動主檔'!$E:$E,"移入")</f>
        <v/>
      </c>
      <c r="E167" s="4">
        <f>-SUMIFS('01_異動主檔'!$F:$F,'01_異動主檔'!$B:$B,99,'01_異動主檔'!$D:$D,A167,'01_異動主檔'!$E:$E,"移出")</f>
        <v/>
      </c>
      <c r="F167" s="4">
        <f>SUMIFS('01_異動主檔'!$F:$F,'01_異動主檔'!$B:$B,99,'01_異動主檔'!$D:$D,A167,'01_異動主檔'!$E:$E,"新增")</f>
        <v/>
      </c>
      <c r="G167" s="4">
        <f>-SUMIFS('01_異動主檔'!$F:$F,'01_異動主檔'!$B:$B,99,'01_異動主檔'!$D:$D,A167,'01_異動主檔'!$E:$E,"減列")</f>
        <v/>
      </c>
      <c r="H167" s="4">
        <f>-SUMIFS('01_異動主檔'!$F:$F,'01_異動主檔'!$B:$B,99,'01_異動主檔'!$D:$D,A167,'01_異動主檔'!$E:$E,"精簡")</f>
        <v/>
      </c>
      <c r="I167" s="8">
        <f>C167+D167+E167+F167+G167+H167</f>
        <v/>
      </c>
    </row>
    <row r="168" ht="18" customHeight="1">
      <c r="A168" s="5" t="inlineStr">
        <is>
          <t>秘書處</t>
        </is>
      </c>
      <c r="B168" s="6" t="n">
        <v>100</v>
      </c>
      <c r="C168" s="8">
        <f>I167</f>
        <v/>
      </c>
      <c r="D168" s="4">
        <f>SUMIFS('01_異動主檔'!$F:$F,'01_異動主檔'!$B:$B,100,'01_異動主檔'!$D:$D,A168,'01_異動主檔'!$E:$E,"移入")</f>
        <v/>
      </c>
      <c r="E168" s="4">
        <f>-SUMIFS('01_異動主檔'!$F:$F,'01_異動主檔'!$B:$B,100,'01_異動主檔'!$D:$D,A168,'01_異動主檔'!$E:$E,"移出")</f>
        <v/>
      </c>
      <c r="F168" s="4">
        <f>SUMIFS('01_異動主檔'!$F:$F,'01_異動主檔'!$B:$B,100,'01_異動主檔'!$D:$D,A168,'01_異動主檔'!$E:$E,"新增")</f>
        <v/>
      </c>
      <c r="G168" s="4">
        <f>-SUMIFS('01_異動主檔'!$F:$F,'01_異動主檔'!$B:$B,100,'01_異動主檔'!$D:$D,A168,'01_異動主檔'!$E:$E,"減列")</f>
        <v/>
      </c>
      <c r="H168" s="4">
        <f>-SUMIFS('01_異動主檔'!$F:$F,'01_異動主檔'!$B:$B,100,'01_異動主檔'!$D:$D,A168,'01_異動主檔'!$E:$E,"精簡")</f>
        <v/>
      </c>
      <c r="I168" s="8">
        <f>C168+D168+E168+F168+G168+H168</f>
        <v/>
      </c>
    </row>
    <row r="169" ht="18" customHeight="1">
      <c r="A169" s="3" t="inlineStr">
        <is>
          <t>秘書處</t>
        </is>
      </c>
      <c r="B169" s="4" t="n">
        <v>101</v>
      </c>
      <c r="C169" s="8">
        <f>I168</f>
        <v/>
      </c>
      <c r="D169" s="4">
        <f>SUMIFS('01_異動主檔'!$F:$F,'01_異動主檔'!$B:$B,101,'01_異動主檔'!$D:$D,A169,'01_異動主檔'!$E:$E,"移入")</f>
        <v/>
      </c>
      <c r="E169" s="4">
        <f>-SUMIFS('01_異動主檔'!$F:$F,'01_異動主檔'!$B:$B,101,'01_異動主檔'!$D:$D,A169,'01_異動主檔'!$E:$E,"移出")</f>
        <v/>
      </c>
      <c r="F169" s="4">
        <f>SUMIFS('01_異動主檔'!$F:$F,'01_異動主檔'!$B:$B,101,'01_異動主檔'!$D:$D,A169,'01_異動主檔'!$E:$E,"新增")</f>
        <v/>
      </c>
      <c r="G169" s="4">
        <f>-SUMIFS('01_異動主檔'!$F:$F,'01_異動主檔'!$B:$B,101,'01_異動主檔'!$D:$D,A169,'01_異動主檔'!$E:$E,"減列")</f>
        <v/>
      </c>
      <c r="H169" s="4">
        <f>-SUMIFS('01_異動主檔'!$F:$F,'01_異動主檔'!$B:$B,101,'01_異動主檔'!$D:$D,A169,'01_異動主檔'!$E:$E,"精簡")</f>
        <v/>
      </c>
      <c r="I169" s="8">
        <f>C169+D169+E169+F169+G169+H169</f>
        <v/>
      </c>
    </row>
    <row r="170" ht="18" customHeight="1">
      <c r="A170" s="5" t="inlineStr">
        <is>
          <t>秘書處</t>
        </is>
      </c>
      <c r="B170" s="6" t="n">
        <v>102</v>
      </c>
      <c r="C170" s="8">
        <f>I169</f>
        <v/>
      </c>
      <c r="D170" s="4">
        <f>SUMIFS('01_異動主檔'!$F:$F,'01_異動主檔'!$B:$B,102,'01_異動主檔'!$D:$D,A170,'01_異動主檔'!$E:$E,"移入")</f>
        <v/>
      </c>
      <c r="E170" s="4">
        <f>-SUMIFS('01_異動主檔'!$F:$F,'01_異動主檔'!$B:$B,102,'01_異動主檔'!$D:$D,A170,'01_異動主檔'!$E:$E,"移出")</f>
        <v/>
      </c>
      <c r="F170" s="4">
        <f>SUMIFS('01_異動主檔'!$F:$F,'01_異動主檔'!$B:$B,102,'01_異動主檔'!$D:$D,A170,'01_異動主檔'!$E:$E,"新增")</f>
        <v/>
      </c>
      <c r="G170" s="4">
        <f>-SUMIFS('01_異動主檔'!$F:$F,'01_異動主檔'!$B:$B,102,'01_異動主檔'!$D:$D,A170,'01_異動主檔'!$E:$E,"減列")</f>
        <v/>
      </c>
      <c r="H170" s="4">
        <f>-SUMIFS('01_異動主檔'!$F:$F,'01_異動主檔'!$B:$B,102,'01_異動主檔'!$D:$D,A170,'01_異動主檔'!$E:$E,"精簡")</f>
        <v/>
      </c>
      <c r="I170" s="8">
        <f>C170+D170+E170+F170+G170+H170</f>
        <v/>
      </c>
    </row>
    <row r="171" ht="18" customHeight="1">
      <c r="A171" s="3" t="inlineStr">
        <is>
          <t>秘書處</t>
        </is>
      </c>
      <c r="B171" s="4" t="n">
        <v>103</v>
      </c>
      <c r="C171" s="8">
        <f>I170</f>
        <v/>
      </c>
      <c r="D171" s="4">
        <f>SUMIFS('01_異動主檔'!$F:$F,'01_異動主檔'!$B:$B,103,'01_異動主檔'!$D:$D,A171,'01_異動主檔'!$E:$E,"移入")</f>
        <v/>
      </c>
      <c r="E171" s="4">
        <f>-SUMIFS('01_異動主檔'!$F:$F,'01_異動主檔'!$B:$B,103,'01_異動主檔'!$D:$D,A171,'01_異動主檔'!$E:$E,"移出")</f>
        <v/>
      </c>
      <c r="F171" s="4">
        <f>SUMIFS('01_異動主檔'!$F:$F,'01_異動主檔'!$B:$B,103,'01_異動主檔'!$D:$D,A171,'01_異動主檔'!$E:$E,"新增")</f>
        <v/>
      </c>
      <c r="G171" s="4">
        <f>-SUMIFS('01_異動主檔'!$F:$F,'01_異動主檔'!$B:$B,103,'01_異動主檔'!$D:$D,A171,'01_異動主檔'!$E:$E,"減列")</f>
        <v/>
      </c>
      <c r="H171" s="4">
        <f>-SUMIFS('01_異動主檔'!$F:$F,'01_異動主檔'!$B:$B,103,'01_異動主檔'!$D:$D,A171,'01_異動主檔'!$E:$E,"精簡")</f>
        <v/>
      </c>
      <c r="I171" s="8">
        <f>C171+D171+E171+F171+G171+H171</f>
        <v/>
      </c>
    </row>
    <row r="172" ht="18" customHeight="1">
      <c r="A172" s="5" t="inlineStr">
        <is>
          <t>秘書處</t>
        </is>
      </c>
      <c r="B172" s="6" t="n">
        <v>104</v>
      </c>
      <c r="C172" s="8">
        <f>I171</f>
        <v/>
      </c>
      <c r="D172" s="4">
        <f>SUMIFS('01_異動主檔'!$F:$F,'01_異動主檔'!$B:$B,104,'01_異動主檔'!$D:$D,A172,'01_異動主檔'!$E:$E,"移入")</f>
        <v/>
      </c>
      <c r="E172" s="4">
        <f>-SUMIFS('01_異動主檔'!$F:$F,'01_異動主檔'!$B:$B,104,'01_異動主檔'!$D:$D,A172,'01_異動主檔'!$E:$E,"移出")</f>
        <v/>
      </c>
      <c r="F172" s="4">
        <f>SUMIFS('01_異動主檔'!$F:$F,'01_異動主檔'!$B:$B,104,'01_異動主檔'!$D:$D,A172,'01_異動主檔'!$E:$E,"新增")</f>
        <v/>
      </c>
      <c r="G172" s="4">
        <f>-SUMIFS('01_異動主檔'!$F:$F,'01_異動主檔'!$B:$B,104,'01_異動主檔'!$D:$D,A172,'01_異動主檔'!$E:$E,"減列")</f>
        <v/>
      </c>
      <c r="H172" s="4">
        <f>-SUMIFS('01_異動主檔'!$F:$F,'01_異動主檔'!$B:$B,104,'01_異動主檔'!$D:$D,A172,'01_異動主檔'!$E:$E,"精簡")</f>
        <v/>
      </c>
      <c r="I172" s="8">
        <f>C172+D172+E172+F172+G172+H172</f>
        <v/>
      </c>
    </row>
    <row r="173" ht="18" customHeight="1">
      <c r="A173" s="3" t="inlineStr">
        <is>
          <t>秘書處</t>
        </is>
      </c>
      <c r="B173" s="4" t="n">
        <v>105</v>
      </c>
      <c r="C173" s="8">
        <f>I172</f>
        <v/>
      </c>
      <c r="D173" s="4">
        <f>SUMIFS('01_異動主檔'!$F:$F,'01_異動主檔'!$B:$B,105,'01_異動主檔'!$D:$D,A173,'01_異動主檔'!$E:$E,"移入")</f>
        <v/>
      </c>
      <c r="E173" s="4">
        <f>-SUMIFS('01_異動主檔'!$F:$F,'01_異動主檔'!$B:$B,105,'01_異動主檔'!$D:$D,A173,'01_異動主檔'!$E:$E,"移出")</f>
        <v/>
      </c>
      <c r="F173" s="4">
        <f>SUMIFS('01_異動主檔'!$F:$F,'01_異動主檔'!$B:$B,105,'01_異動主檔'!$D:$D,A173,'01_異動主檔'!$E:$E,"新增")</f>
        <v/>
      </c>
      <c r="G173" s="4">
        <f>-SUMIFS('01_異動主檔'!$F:$F,'01_異動主檔'!$B:$B,105,'01_異動主檔'!$D:$D,A173,'01_異動主檔'!$E:$E,"減列")</f>
        <v/>
      </c>
      <c r="H173" s="4">
        <f>-SUMIFS('01_異動主檔'!$F:$F,'01_異動主檔'!$B:$B,105,'01_異動主檔'!$D:$D,A173,'01_異動主檔'!$E:$E,"精簡")</f>
        <v/>
      </c>
      <c r="I173" s="8">
        <f>C173+D173+E173+F173+G173+H173</f>
        <v/>
      </c>
    </row>
    <row r="174" ht="18" customHeight="1">
      <c r="A174" s="5" t="inlineStr">
        <is>
          <t>秘書處</t>
        </is>
      </c>
      <c r="B174" s="6" t="n">
        <v>106</v>
      </c>
      <c r="C174" s="8">
        <f>I173</f>
        <v/>
      </c>
      <c r="D174" s="4">
        <f>SUMIFS('01_異動主檔'!$F:$F,'01_異動主檔'!$B:$B,106,'01_異動主檔'!$D:$D,A174,'01_異動主檔'!$E:$E,"移入")</f>
        <v/>
      </c>
      <c r="E174" s="4">
        <f>-SUMIFS('01_異動主檔'!$F:$F,'01_異動主檔'!$B:$B,106,'01_異動主檔'!$D:$D,A174,'01_異動主檔'!$E:$E,"移出")</f>
        <v/>
      </c>
      <c r="F174" s="4">
        <f>SUMIFS('01_異動主檔'!$F:$F,'01_異動主檔'!$B:$B,106,'01_異動主檔'!$D:$D,A174,'01_異動主檔'!$E:$E,"新增")</f>
        <v/>
      </c>
      <c r="G174" s="4">
        <f>-SUMIFS('01_異動主檔'!$F:$F,'01_異動主檔'!$B:$B,106,'01_異動主檔'!$D:$D,A174,'01_異動主檔'!$E:$E,"減列")</f>
        <v/>
      </c>
      <c r="H174" s="4">
        <f>-SUMIFS('01_異動主檔'!$F:$F,'01_異動主檔'!$B:$B,106,'01_異動主檔'!$D:$D,A174,'01_異動主檔'!$E:$E,"精簡")</f>
        <v/>
      </c>
      <c r="I174" s="8">
        <f>C174+D174+E174+F174+G174+H174</f>
        <v/>
      </c>
    </row>
    <row r="175" ht="18" customHeight="1">
      <c r="A175" s="3" t="inlineStr">
        <is>
          <t>秘書處</t>
        </is>
      </c>
      <c r="B175" s="4" t="n">
        <v>107</v>
      </c>
      <c r="C175" s="8">
        <f>I174</f>
        <v/>
      </c>
      <c r="D175" s="4">
        <f>SUMIFS('01_異動主檔'!$F:$F,'01_異動主檔'!$B:$B,107,'01_異動主檔'!$D:$D,A175,'01_異動主檔'!$E:$E,"移入")</f>
        <v/>
      </c>
      <c r="E175" s="4">
        <f>-SUMIFS('01_異動主檔'!$F:$F,'01_異動主檔'!$B:$B,107,'01_異動主檔'!$D:$D,A175,'01_異動主檔'!$E:$E,"移出")</f>
        <v/>
      </c>
      <c r="F175" s="4">
        <f>SUMIFS('01_異動主檔'!$F:$F,'01_異動主檔'!$B:$B,107,'01_異動主檔'!$D:$D,A175,'01_異動主檔'!$E:$E,"新增")</f>
        <v/>
      </c>
      <c r="G175" s="4">
        <f>-SUMIFS('01_異動主檔'!$F:$F,'01_異動主檔'!$B:$B,107,'01_異動主檔'!$D:$D,A175,'01_異動主檔'!$E:$E,"減列")</f>
        <v/>
      </c>
      <c r="H175" s="4">
        <f>-SUMIFS('01_異動主檔'!$F:$F,'01_異動主檔'!$B:$B,107,'01_異動主檔'!$D:$D,A175,'01_異動主檔'!$E:$E,"精簡")</f>
        <v/>
      </c>
      <c r="I175" s="8">
        <f>C175+D175+E175+F175+G175+H175</f>
        <v/>
      </c>
    </row>
    <row r="176" ht="18" customHeight="1">
      <c r="A176" s="5" t="inlineStr">
        <is>
          <t>秘書處</t>
        </is>
      </c>
      <c r="B176" s="6" t="n">
        <v>108</v>
      </c>
      <c r="C176" s="8">
        <f>I175</f>
        <v/>
      </c>
      <c r="D176" s="4">
        <f>SUMIFS('01_異動主檔'!$F:$F,'01_異動主檔'!$B:$B,108,'01_異動主檔'!$D:$D,A176,'01_異動主檔'!$E:$E,"移入")</f>
        <v/>
      </c>
      <c r="E176" s="4">
        <f>-SUMIFS('01_異動主檔'!$F:$F,'01_異動主檔'!$B:$B,108,'01_異動主檔'!$D:$D,A176,'01_異動主檔'!$E:$E,"移出")</f>
        <v/>
      </c>
      <c r="F176" s="4">
        <f>SUMIFS('01_異動主檔'!$F:$F,'01_異動主檔'!$B:$B,108,'01_異動主檔'!$D:$D,A176,'01_異動主檔'!$E:$E,"新增")</f>
        <v/>
      </c>
      <c r="G176" s="4">
        <f>-SUMIFS('01_異動主檔'!$F:$F,'01_異動主檔'!$B:$B,108,'01_異動主檔'!$D:$D,A176,'01_異動主檔'!$E:$E,"減列")</f>
        <v/>
      </c>
      <c r="H176" s="4">
        <f>-SUMIFS('01_異動主檔'!$F:$F,'01_異動主檔'!$B:$B,108,'01_異動主檔'!$D:$D,A176,'01_異動主檔'!$E:$E,"精簡")</f>
        <v/>
      </c>
      <c r="I176" s="8">
        <f>C176+D176+E176+F176+G176+H176</f>
        <v/>
      </c>
    </row>
    <row r="177" ht="18" customHeight="1">
      <c r="A177" s="3" t="inlineStr">
        <is>
          <t>秘書處</t>
        </is>
      </c>
      <c r="B177" s="4" t="n">
        <v>109</v>
      </c>
      <c r="C177" s="8">
        <f>I176</f>
        <v/>
      </c>
      <c r="D177" s="4">
        <f>SUMIFS('01_異動主檔'!$F:$F,'01_異動主檔'!$B:$B,109,'01_異動主檔'!$D:$D,A177,'01_異動主檔'!$E:$E,"移入")</f>
        <v/>
      </c>
      <c r="E177" s="4">
        <f>-SUMIFS('01_異動主檔'!$F:$F,'01_異動主檔'!$B:$B,109,'01_異動主檔'!$D:$D,A177,'01_異動主檔'!$E:$E,"移出")</f>
        <v/>
      </c>
      <c r="F177" s="4">
        <f>SUMIFS('01_異動主檔'!$F:$F,'01_異動主檔'!$B:$B,109,'01_異動主檔'!$D:$D,A177,'01_異動主檔'!$E:$E,"新增")</f>
        <v/>
      </c>
      <c r="G177" s="4">
        <f>-SUMIFS('01_異動主檔'!$F:$F,'01_異動主檔'!$B:$B,109,'01_異動主檔'!$D:$D,A177,'01_異動主檔'!$E:$E,"減列")</f>
        <v/>
      </c>
      <c r="H177" s="4">
        <f>-SUMIFS('01_異動主檔'!$F:$F,'01_異動主檔'!$B:$B,109,'01_異動主檔'!$D:$D,A177,'01_異動主檔'!$E:$E,"精簡")</f>
        <v/>
      </c>
      <c r="I177" s="8">
        <f>C177+D177+E177+F177+G177+H177</f>
        <v/>
      </c>
    </row>
    <row r="178" ht="18" customHeight="1">
      <c r="A178" s="5" t="inlineStr">
        <is>
          <t>秘書處</t>
        </is>
      </c>
      <c r="B178" s="6" t="n">
        <v>110</v>
      </c>
      <c r="C178" s="8">
        <f>I177</f>
        <v/>
      </c>
      <c r="D178" s="4">
        <f>SUMIFS('01_異動主檔'!$F:$F,'01_異動主檔'!$B:$B,110,'01_異動主檔'!$D:$D,A178,'01_異動主檔'!$E:$E,"移入")</f>
        <v/>
      </c>
      <c r="E178" s="4">
        <f>-SUMIFS('01_異動主檔'!$F:$F,'01_異動主檔'!$B:$B,110,'01_異動主檔'!$D:$D,A178,'01_異動主檔'!$E:$E,"移出")</f>
        <v/>
      </c>
      <c r="F178" s="4">
        <f>SUMIFS('01_異動主檔'!$F:$F,'01_異動主檔'!$B:$B,110,'01_異動主檔'!$D:$D,A178,'01_異動主檔'!$E:$E,"新增")</f>
        <v/>
      </c>
      <c r="G178" s="4">
        <f>-SUMIFS('01_異動主檔'!$F:$F,'01_異動主檔'!$B:$B,110,'01_異動主檔'!$D:$D,A178,'01_異動主檔'!$E:$E,"減列")</f>
        <v/>
      </c>
      <c r="H178" s="4">
        <f>-SUMIFS('01_異動主檔'!$F:$F,'01_異動主檔'!$B:$B,110,'01_異動主檔'!$D:$D,A178,'01_異動主檔'!$E:$E,"精簡")</f>
        <v/>
      </c>
      <c r="I178" s="8">
        <f>C178+D178+E178+F178+G178+H178</f>
        <v/>
      </c>
    </row>
    <row r="179" ht="18" customHeight="1">
      <c r="A179" s="3" t="inlineStr">
        <is>
          <t>秘書處</t>
        </is>
      </c>
      <c r="B179" s="4" t="n">
        <v>111</v>
      </c>
      <c r="C179" s="8">
        <f>I178</f>
        <v/>
      </c>
      <c r="D179" s="4">
        <f>SUMIFS('01_異動主檔'!$F:$F,'01_異動主檔'!$B:$B,111,'01_異動主檔'!$D:$D,A179,'01_異動主檔'!$E:$E,"移入")</f>
        <v/>
      </c>
      <c r="E179" s="4">
        <f>-SUMIFS('01_異動主檔'!$F:$F,'01_異動主檔'!$B:$B,111,'01_異動主檔'!$D:$D,A179,'01_異動主檔'!$E:$E,"移出")</f>
        <v/>
      </c>
      <c r="F179" s="4">
        <f>SUMIFS('01_異動主檔'!$F:$F,'01_異動主檔'!$B:$B,111,'01_異動主檔'!$D:$D,A179,'01_異動主檔'!$E:$E,"新增")</f>
        <v/>
      </c>
      <c r="G179" s="4">
        <f>-SUMIFS('01_異動主檔'!$F:$F,'01_異動主檔'!$B:$B,111,'01_異動主檔'!$D:$D,A179,'01_異動主檔'!$E:$E,"減列")</f>
        <v/>
      </c>
      <c r="H179" s="4">
        <f>-SUMIFS('01_異動主檔'!$F:$F,'01_異動主檔'!$B:$B,111,'01_異動主檔'!$D:$D,A179,'01_異動主檔'!$E:$E,"精簡")</f>
        <v/>
      </c>
      <c r="I179" s="8">
        <f>C179+D179+E179+F179+G179+H179</f>
        <v/>
      </c>
    </row>
    <row r="180" ht="18" customHeight="1">
      <c r="A180" s="5" t="inlineStr">
        <is>
          <t>秘書處</t>
        </is>
      </c>
      <c r="B180" s="6" t="n">
        <v>112</v>
      </c>
      <c r="C180" s="8">
        <f>I179</f>
        <v/>
      </c>
      <c r="D180" s="4">
        <f>SUMIFS('01_異動主檔'!$F:$F,'01_異動主檔'!$B:$B,112,'01_異動主檔'!$D:$D,A180,'01_異動主檔'!$E:$E,"移入")</f>
        <v/>
      </c>
      <c r="E180" s="4">
        <f>-SUMIFS('01_異動主檔'!$F:$F,'01_異動主檔'!$B:$B,112,'01_異動主檔'!$D:$D,A180,'01_異動主檔'!$E:$E,"移出")</f>
        <v/>
      </c>
      <c r="F180" s="4">
        <f>SUMIFS('01_異動主檔'!$F:$F,'01_異動主檔'!$B:$B,112,'01_異動主檔'!$D:$D,A180,'01_異動主檔'!$E:$E,"新增")</f>
        <v/>
      </c>
      <c r="G180" s="4">
        <f>-SUMIFS('01_異動主檔'!$F:$F,'01_異動主檔'!$B:$B,112,'01_異動主檔'!$D:$D,A180,'01_異動主檔'!$E:$E,"減列")</f>
        <v/>
      </c>
      <c r="H180" s="4">
        <f>-SUMIFS('01_異動主檔'!$F:$F,'01_異動主檔'!$B:$B,112,'01_異動主檔'!$D:$D,A180,'01_異動主檔'!$E:$E,"精簡")</f>
        <v/>
      </c>
      <c r="I180" s="8">
        <f>C180+D180+E180+F180+G180+H180</f>
        <v/>
      </c>
    </row>
    <row r="181" ht="18" customHeight="1">
      <c r="A181" s="3" t="inlineStr">
        <is>
          <t>秘書處</t>
        </is>
      </c>
      <c r="B181" s="4" t="n">
        <v>113</v>
      </c>
      <c r="C181" s="8">
        <f>I180</f>
        <v/>
      </c>
      <c r="D181" s="4">
        <f>SUMIFS('01_異動主檔'!$F:$F,'01_異動主檔'!$B:$B,113,'01_異動主檔'!$D:$D,A181,'01_異動主檔'!$E:$E,"移入")</f>
        <v/>
      </c>
      <c r="E181" s="4">
        <f>-SUMIFS('01_異動主檔'!$F:$F,'01_異動主檔'!$B:$B,113,'01_異動主檔'!$D:$D,A181,'01_異動主檔'!$E:$E,"移出")</f>
        <v/>
      </c>
      <c r="F181" s="4">
        <f>SUMIFS('01_異動主檔'!$F:$F,'01_異動主檔'!$B:$B,113,'01_異動主檔'!$D:$D,A181,'01_異動主檔'!$E:$E,"新增")</f>
        <v/>
      </c>
      <c r="G181" s="4">
        <f>-SUMIFS('01_異動主檔'!$F:$F,'01_異動主檔'!$B:$B,113,'01_異動主檔'!$D:$D,A181,'01_異動主檔'!$E:$E,"減列")</f>
        <v/>
      </c>
      <c r="H181" s="4">
        <f>-SUMIFS('01_異動主檔'!$F:$F,'01_異動主檔'!$B:$B,113,'01_異動主檔'!$D:$D,A181,'01_異動主檔'!$E:$E,"精簡")</f>
        <v/>
      </c>
      <c r="I181" s="8">
        <f>C181+D181+E181+F181+G181+H181</f>
        <v/>
      </c>
    </row>
    <row r="182" ht="18" customHeight="1">
      <c r="A182" s="5" t="inlineStr">
        <is>
          <t>秘書處</t>
        </is>
      </c>
      <c r="B182" s="6" t="n">
        <v>114</v>
      </c>
      <c r="C182" s="8">
        <f>I181</f>
        <v/>
      </c>
      <c r="D182" s="4">
        <f>SUMIFS('01_異動主檔'!$F:$F,'01_異動主檔'!$B:$B,114,'01_異動主檔'!$D:$D,A182,'01_異動主檔'!$E:$E,"移入")</f>
        <v/>
      </c>
      <c r="E182" s="4">
        <f>-SUMIFS('01_異動主檔'!$F:$F,'01_異動主檔'!$B:$B,114,'01_異動主檔'!$D:$D,A182,'01_異動主檔'!$E:$E,"移出")</f>
        <v/>
      </c>
      <c r="F182" s="4">
        <f>SUMIFS('01_異動主檔'!$F:$F,'01_異動主檔'!$B:$B,114,'01_異動主檔'!$D:$D,A182,'01_異動主檔'!$E:$E,"新增")</f>
        <v/>
      </c>
      <c r="G182" s="4">
        <f>-SUMIFS('01_異動主檔'!$F:$F,'01_異動主檔'!$B:$B,114,'01_異動主檔'!$D:$D,A182,'01_異動主檔'!$E:$E,"減列")</f>
        <v/>
      </c>
      <c r="H182" s="4">
        <f>-SUMIFS('01_異動主檔'!$F:$F,'01_異動主檔'!$B:$B,114,'01_異動主檔'!$D:$D,A182,'01_異動主檔'!$E:$E,"精簡")</f>
        <v/>
      </c>
      <c r="I182" s="8">
        <f>C182+D182+E182+F182+G182+H182</f>
        <v/>
      </c>
    </row>
    <row r="183" ht="18" customHeight="1">
      <c r="A183" s="3" t="inlineStr">
        <is>
          <t>秘書處</t>
        </is>
      </c>
      <c r="B183" s="4" t="n">
        <v>115</v>
      </c>
      <c r="C183" s="8">
        <f>I182</f>
        <v/>
      </c>
      <c r="D183" s="4">
        <f>SUMIFS('01_異動主檔'!$F:$F,'01_異動主檔'!$B:$B,115,'01_異動主檔'!$D:$D,A183,'01_異動主檔'!$E:$E,"移入")</f>
        <v/>
      </c>
      <c r="E183" s="4">
        <f>-SUMIFS('01_異動主檔'!$F:$F,'01_異動主檔'!$B:$B,115,'01_異動主檔'!$D:$D,A183,'01_異動主檔'!$E:$E,"移出")</f>
        <v/>
      </c>
      <c r="F183" s="4">
        <f>SUMIFS('01_異動主檔'!$F:$F,'01_異動主檔'!$B:$B,115,'01_異動主檔'!$D:$D,A183,'01_異動主檔'!$E:$E,"新增")</f>
        <v/>
      </c>
      <c r="G183" s="4">
        <f>-SUMIFS('01_異動主檔'!$F:$F,'01_異動主檔'!$B:$B,115,'01_異動主檔'!$D:$D,A183,'01_異動主檔'!$E:$E,"減列")</f>
        <v/>
      </c>
      <c r="H183" s="4">
        <f>-SUMIFS('01_異動主檔'!$F:$F,'01_異動主檔'!$B:$B,115,'01_異動主檔'!$D:$D,A183,'01_異動主檔'!$E:$E,"精簡")</f>
        <v/>
      </c>
      <c r="I183" s="8">
        <f>C183+D183+E183+F183+G183+H183</f>
        <v/>
      </c>
    </row>
    <row r="184" ht="18" customHeight="1">
      <c r="A184" s="5" t="inlineStr">
        <is>
          <t>秘書處</t>
        </is>
      </c>
      <c r="B184" s="6" t="n">
        <v>116</v>
      </c>
      <c r="C184" s="8">
        <f>I183</f>
        <v/>
      </c>
      <c r="D184" s="4">
        <f>SUMIFS('01_異動主檔'!$F:$F,'01_異動主檔'!$B:$B,116,'01_異動主檔'!$D:$D,A184,'01_異動主檔'!$E:$E,"移入")</f>
        <v/>
      </c>
      <c r="E184" s="4">
        <f>-SUMIFS('01_異動主檔'!$F:$F,'01_異動主檔'!$B:$B,116,'01_異動主檔'!$D:$D,A184,'01_異動主檔'!$E:$E,"移出")</f>
        <v/>
      </c>
      <c r="F184" s="4">
        <f>SUMIFS('01_異動主檔'!$F:$F,'01_異動主檔'!$B:$B,116,'01_異動主檔'!$D:$D,A184,'01_異動主檔'!$E:$E,"新增")</f>
        <v/>
      </c>
      <c r="G184" s="4">
        <f>-SUMIFS('01_異動主檔'!$F:$F,'01_異動主檔'!$B:$B,116,'01_異動主檔'!$D:$D,A184,'01_異動主檔'!$E:$E,"減列")</f>
        <v/>
      </c>
      <c r="H184" s="4">
        <f>-SUMIFS('01_異動主檔'!$F:$F,'01_異動主檔'!$B:$B,116,'01_異動主檔'!$D:$D,A184,'01_異動主檔'!$E:$E,"精簡")</f>
        <v/>
      </c>
      <c r="I184" s="8">
        <f>C184+D184+E184+F184+G184+H184</f>
        <v/>
      </c>
    </row>
    <row r="185" ht="18" customHeight="1">
      <c r="A185" s="3" t="inlineStr">
        <is>
          <t>秘書處</t>
        </is>
      </c>
      <c r="B185" s="4" t="n">
        <v>117</v>
      </c>
      <c r="C185" s="8">
        <f>I184</f>
        <v/>
      </c>
      <c r="D185" s="4">
        <f>SUMIFS('01_異動主檔'!$F:$F,'01_異動主檔'!$B:$B,117,'01_異動主檔'!$D:$D,A185,'01_異動主檔'!$E:$E,"移入")</f>
        <v/>
      </c>
      <c r="E185" s="4">
        <f>-SUMIFS('01_異動主檔'!$F:$F,'01_異動主檔'!$B:$B,117,'01_異動主檔'!$D:$D,A185,'01_異動主檔'!$E:$E,"移出")</f>
        <v/>
      </c>
      <c r="F185" s="4">
        <f>SUMIFS('01_異動主檔'!$F:$F,'01_異動主檔'!$B:$B,117,'01_異動主檔'!$D:$D,A185,'01_異動主檔'!$E:$E,"新增")</f>
        <v/>
      </c>
      <c r="G185" s="4">
        <f>-SUMIFS('01_異動主檔'!$F:$F,'01_異動主檔'!$B:$B,117,'01_異動主檔'!$D:$D,A185,'01_異動主檔'!$E:$E,"減列")</f>
        <v/>
      </c>
      <c r="H185" s="4">
        <f>-SUMIFS('01_異動主檔'!$F:$F,'01_異動主檔'!$B:$B,117,'01_異動主檔'!$D:$D,A185,'01_異動主檔'!$E:$E,"精簡")</f>
        <v/>
      </c>
      <c r="I185" s="8">
        <f>C185+D185+E185+F185+G185+H185</f>
        <v/>
      </c>
    </row>
    <row r="186" ht="18" customHeight="1">
      <c r="A186" s="5" t="inlineStr">
        <is>
          <t>秘書處</t>
        </is>
      </c>
      <c r="B186" s="6" t="n">
        <v>118</v>
      </c>
      <c r="C186" s="8">
        <f>I185</f>
        <v/>
      </c>
      <c r="D186" s="4">
        <f>SUMIFS('01_異動主檔'!$F:$F,'01_異動主檔'!$B:$B,118,'01_異動主檔'!$D:$D,A186,'01_異動主檔'!$E:$E,"移入")</f>
        <v/>
      </c>
      <c r="E186" s="4">
        <f>-SUMIFS('01_異動主檔'!$F:$F,'01_異動主檔'!$B:$B,118,'01_異動主檔'!$D:$D,A186,'01_異動主檔'!$E:$E,"移出")</f>
        <v/>
      </c>
      <c r="F186" s="4">
        <f>SUMIFS('01_異動主檔'!$F:$F,'01_異動主檔'!$B:$B,118,'01_異動主檔'!$D:$D,A186,'01_異動主檔'!$E:$E,"新增")</f>
        <v/>
      </c>
      <c r="G186" s="4">
        <f>-SUMIFS('01_異動主檔'!$F:$F,'01_異動主檔'!$B:$B,118,'01_異動主檔'!$D:$D,A186,'01_異動主檔'!$E:$E,"減列")</f>
        <v/>
      </c>
      <c r="H186" s="4">
        <f>-SUMIFS('01_異動主檔'!$F:$F,'01_異動主檔'!$B:$B,118,'01_異動主檔'!$D:$D,A186,'01_異動主檔'!$E:$E,"精簡")</f>
        <v/>
      </c>
      <c r="I186" s="8">
        <f>C186+D186+E186+F186+G186+H186</f>
        <v/>
      </c>
    </row>
    <row r="187" ht="18" customHeight="1">
      <c r="A187" s="3" t="inlineStr">
        <is>
          <t>秘書處</t>
        </is>
      </c>
      <c r="B187" s="4" t="n">
        <v>119</v>
      </c>
      <c r="C187" s="8">
        <f>I186</f>
        <v/>
      </c>
      <c r="D187" s="4">
        <f>SUMIFS('01_異動主檔'!$F:$F,'01_異動主檔'!$B:$B,119,'01_異動主檔'!$D:$D,A187,'01_異動主檔'!$E:$E,"移入")</f>
        <v/>
      </c>
      <c r="E187" s="4">
        <f>-SUMIFS('01_異動主檔'!$F:$F,'01_異動主檔'!$B:$B,119,'01_異動主檔'!$D:$D,A187,'01_異動主檔'!$E:$E,"移出")</f>
        <v/>
      </c>
      <c r="F187" s="4">
        <f>SUMIFS('01_異動主檔'!$F:$F,'01_異動主檔'!$B:$B,119,'01_異動主檔'!$D:$D,A187,'01_異動主檔'!$E:$E,"新增")</f>
        <v/>
      </c>
      <c r="G187" s="4">
        <f>-SUMIFS('01_異動主檔'!$F:$F,'01_異動主檔'!$B:$B,119,'01_異動主檔'!$D:$D,A187,'01_異動主檔'!$E:$E,"減列")</f>
        <v/>
      </c>
      <c r="H187" s="4">
        <f>-SUMIFS('01_異動主檔'!$F:$F,'01_異動主檔'!$B:$B,119,'01_異動主檔'!$D:$D,A187,'01_異動主檔'!$E:$E,"精簡")</f>
        <v/>
      </c>
      <c r="I187" s="8">
        <f>C187+D187+E187+F187+G187+H187</f>
        <v/>
      </c>
    </row>
    <row r="188" ht="18" customHeight="1">
      <c r="A188" s="5" t="inlineStr">
        <is>
          <t>秘書處</t>
        </is>
      </c>
      <c r="B188" s="6" t="n">
        <v>120</v>
      </c>
      <c r="C188" s="8">
        <f>I187</f>
        <v/>
      </c>
      <c r="D188" s="4">
        <f>SUMIFS('01_異動主檔'!$F:$F,'01_異動主檔'!$B:$B,120,'01_異動主檔'!$D:$D,A188,'01_異動主檔'!$E:$E,"移入")</f>
        <v/>
      </c>
      <c r="E188" s="4">
        <f>-SUMIFS('01_異動主檔'!$F:$F,'01_異動主檔'!$B:$B,120,'01_異動主檔'!$D:$D,A188,'01_異動主檔'!$E:$E,"移出")</f>
        <v/>
      </c>
      <c r="F188" s="4">
        <f>SUMIFS('01_異動主檔'!$F:$F,'01_異動主檔'!$B:$B,120,'01_異動主檔'!$D:$D,A188,'01_異動主檔'!$E:$E,"新增")</f>
        <v/>
      </c>
      <c r="G188" s="4">
        <f>-SUMIFS('01_異動主檔'!$F:$F,'01_異動主檔'!$B:$B,120,'01_異動主檔'!$D:$D,A188,'01_異動主檔'!$E:$E,"減列")</f>
        <v/>
      </c>
      <c r="H188" s="4">
        <f>-SUMIFS('01_異動主檔'!$F:$F,'01_異動主檔'!$B:$B,120,'01_異動主檔'!$D:$D,A188,'01_異動主檔'!$E:$E,"精簡")</f>
        <v/>
      </c>
      <c r="I188" s="8">
        <f>C188+D188+E188+F188+G188+H188</f>
        <v/>
      </c>
    </row>
    <row r="189" ht="18" customHeight="1">
      <c r="A189" s="3" t="inlineStr">
        <is>
          <t>秘書處</t>
        </is>
      </c>
      <c r="B189" s="4" t="n">
        <v>121</v>
      </c>
      <c r="C189" s="8">
        <f>I188</f>
        <v/>
      </c>
      <c r="D189" s="4">
        <f>SUMIFS('01_異動主檔'!$F:$F,'01_異動主檔'!$B:$B,121,'01_異動主檔'!$D:$D,A189,'01_異動主檔'!$E:$E,"移入")</f>
        <v/>
      </c>
      <c r="E189" s="4">
        <f>-SUMIFS('01_異動主檔'!$F:$F,'01_異動主檔'!$B:$B,121,'01_異動主檔'!$D:$D,A189,'01_異動主檔'!$E:$E,"移出")</f>
        <v/>
      </c>
      <c r="F189" s="4">
        <f>SUMIFS('01_異動主檔'!$F:$F,'01_異動主檔'!$B:$B,121,'01_異動主檔'!$D:$D,A189,'01_異動主檔'!$E:$E,"新增")</f>
        <v/>
      </c>
      <c r="G189" s="4">
        <f>-SUMIFS('01_異動主檔'!$F:$F,'01_異動主檔'!$B:$B,121,'01_異動主檔'!$D:$D,A189,'01_異動主檔'!$E:$E,"減列")</f>
        <v/>
      </c>
      <c r="H189" s="4">
        <f>-SUMIFS('01_異動主檔'!$F:$F,'01_異動主檔'!$B:$B,121,'01_異動主檔'!$D:$D,A189,'01_異動主檔'!$E:$E,"精簡")</f>
        <v/>
      </c>
      <c r="I189" s="8">
        <f>C189+D189+E189+F189+G189+H189</f>
        <v/>
      </c>
    </row>
    <row r="190" ht="18" customHeight="1">
      <c r="A190" s="5" t="inlineStr">
        <is>
          <t>秘書處</t>
        </is>
      </c>
      <c r="B190" s="6" t="n">
        <v>122</v>
      </c>
      <c r="C190" s="8">
        <f>I189</f>
        <v/>
      </c>
      <c r="D190" s="4">
        <f>SUMIFS('01_異動主檔'!$F:$F,'01_異動主檔'!$B:$B,122,'01_異動主檔'!$D:$D,A190,'01_異動主檔'!$E:$E,"移入")</f>
        <v/>
      </c>
      <c r="E190" s="4">
        <f>-SUMIFS('01_異動主檔'!$F:$F,'01_異動主檔'!$B:$B,122,'01_異動主檔'!$D:$D,A190,'01_異動主檔'!$E:$E,"移出")</f>
        <v/>
      </c>
      <c r="F190" s="4">
        <f>SUMIFS('01_異動主檔'!$F:$F,'01_異動主檔'!$B:$B,122,'01_異動主檔'!$D:$D,A190,'01_異動主檔'!$E:$E,"新增")</f>
        <v/>
      </c>
      <c r="G190" s="4">
        <f>-SUMIFS('01_異動主檔'!$F:$F,'01_異動主檔'!$B:$B,122,'01_異動主檔'!$D:$D,A190,'01_異動主檔'!$E:$E,"減列")</f>
        <v/>
      </c>
      <c r="H190" s="4">
        <f>-SUMIFS('01_異動主檔'!$F:$F,'01_異動主檔'!$B:$B,122,'01_異動主檔'!$D:$D,A190,'01_異動主檔'!$E:$E,"精簡")</f>
        <v/>
      </c>
      <c r="I190" s="8">
        <f>C190+D190+E190+F190+G190+H190</f>
        <v/>
      </c>
    </row>
    <row r="191" ht="18" customHeight="1">
      <c r="A191" s="3" t="inlineStr">
        <is>
          <t>秘書處</t>
        </is>
      </c>
      <c r="B191" s="4" t="n">
        <v>123</v>
      </c>
      <c r="C191" s="8">
        <f>I190</f>
        <v/>
      </c>
      <c r="D191" s="4">
        <f>SUMIFS('01_異動主檔'!$F:$F,'01_異動主檔'!$B:$B,123,'01_異動主檔'!$D:$D,A191,'01_異動主檔'!$E:$E,"移入")</f>
        <v/>
      </c>
      <c r="E191" s="4">
        <f>-SUMIFS('01_異動主檔'!$F:$F,'01_異動主檔'!$B:$B,123,'01_異動主檔'!$D:$D,A191,'01_異動主檔'!$E:$E,"移出")</f>
        <v/>
      </c>
      <c r="F191" s="4">
        <f>SUMIFS('01_異動主檔'!$F:$F,'01_異動主檔'!$B:$B,123,'01_異動主檔'!$D:$D,A191,'01_異動主檔'!$E:$E,"新增")</f>
        <v/>
      </c>
      <c r="G191" s="4">
        <f>-SUMIFS('01_異動主檔'!$F:$F,'01_異動主檔'!$B:$B,123,'01_異動主檔'!$D:$D,A191,'01_異動主檔'!$E:$E,"減列")</f>
        <v/>
      </c>
      <c r="H191" s="4">
        <f>-SUMIFS('01_異動主檔'!$F:$F,'01_異動主檔'!$B:$B,123,'01_異動主檔'!$D:$D,A191,'01_異動主檔'!$E:$E,"精簡")</f>
        <v/>
      </c>
      <c r="I191" s="8">
        <f>C191+D191+E191+F191+G191+H191</f>
        <v/>
      </c>
    </row>
    <row r="192" ht="18" customHeight="1">
      <c r="A192" s="5" t="inlineStr">
        <is>
          <t>秘書處</t>
        </is>
      </c>
      <c r="B192" s="6" t="n">
        <v>124</v>
      </c>
      <c r="C192" s="8">
        <f>I191</f>
        <v/>
      </c>
      <c r="D192" s="4">
        <f>SUMIFS('01_異動主檔'!$F:$F,'01_異動主檔'!$B:$B,124,'01_異動主檔'!$D:$D,A192,'01_異動主檔'!$E:$E,"移入")</f>
        <v/>
      </c>
      <c r="E192" s="4">
        <f>-SUMIFS('01_異動主檔'!$F:$F,'01_異動主檔'!$B:$B,124,'01_異動主檔'!$D:$D,A192,'01_異動主檔'!$E:$E,"移出")</f>
        <v/>
      </c>
      <c r="F192" s="4">
        <f>SUMIFS('01_異動主檔'!$F:$F,'01_異動主檔'!$B:$B,124,'01_異動主檔'!$D:$D,A192,'01_異動主檔'!$E:$E,"新增")</f>
        <v/>
      </c>
      <c r="G192" s="4">
        <f>-SUMIFS('01_異動主檔'!$F:$F,'01_異動主檔'!$B:$B,124,'01_異動主檔'!$D:$D,A192,'01_異動主檔'!$E:$E,"減列")</f>
        <v/>
      </c>
      <c r="H192" s="4">
        <f>-SUMIFS('01_異動主檔'!$F:$F,'01_異動主檔'!$B:$B,124,'01_異動主檔'!$D:$D,A192,'01_異動主檔'!$E:$E,"精簡")</f>
        <v/>
      </c>
      <c r="I192" s="8">
        <f>C192+D192+E192+F192+G192+H192</f>
        <v/>
      </c>
    </row>
    <row r="193" ht="18" customHeight="1">
      <c r="A193" s="3" t="inlineStr">
        <is>
          <t>秘書處</t>
        </is>
      </c>
      <c r="B193" s="4" t="n">
        <v>125</v>
      </c>
      <c r="C193" s="8">
        <f>I192</f>
        <v/>
      </c>
      <c r="D193" s="4">
        <f>SUMIFS('01_異動主檔'!$F:$F,'01_異動主檔'!$B:$B,125,'01_異動主檔'!$D:$D,A193,'01_異動主檔'!$E:$E,"移入")</f>
        <v/>
      </c>
      <c r="E193" s="4">
        <f>-SUMIFS('01_異動主檔'!$F:$F,'01_異動主檔'!$B:$B,125,'01_異動主檔'!$D:$D,A193,'01_異動主檔'!$E:$E,"移出")</f>
        <v/>
      </c>
      <c r="F193" s="4">
        <f>SUMIFS('01_異動主檔'!$F:$F,'01_異動主檔'!$B:$B,125,'01_異動主檔'!$D:$D,A193,'01_異動主檔'!$E:$E,"新增")</f>
        <v/>
      </c>
      <c r="G193" s="4">
        <f>-SUMIFS('01_異動主檔'!$F:$F,'01_異動主檔'!$B:$B,125,'01_異動主檔'!$D:$D,A193,'01_異動主檔'!$E:$E,"減列")</f>
        <v/>
      </c>
      <c r="H193" s="4">
        <f>-SUMIFS('01_異動主檔'!$F:$F,'01_異動主檔'!$B:$B,125,'01_異動主檔'!$D:$D,A193,'01_異動主檔'!$E:$E,"精簡")</f>
        <v/>
      </c>
      <c r="I193" s="8">
        <f>C193+D193+E193+F193+G193+H193</f>
        <v/>
      </c>
    </row>
    <row r="194" ht="18" customHeight="1">
      <c r="A194" s="5" t="inlineStr">
        <is>
          <t>公關室</t>
        </is>
      </c>
      <c r="B194" s="6" t="n">
        <v>99</v>
      </c>
      <c r="C194" s="8">
        <f>'02_年初員額設定'!B12</f>
        <v/>
      </c>
      <c r="D194" s="4">
        <f>SUMIFS('01_異動主檔'!$F:$F,'01_異動主檔'!$B:$B,99,'01_異動主檔'!$D:$D,A194,'01_異動主檔'!$E:$E,"移入")</f>
        <v/>
      </c>
      <c r="E194" s="4">
        <f>-SUMIFS('01_異動主檔'!$F:$F,'01_異動主檔'!$B:$B,99,'01_異動主檔'!$D:$D,A194,'01_異動主檔'!$E:$E,"移出")</f>
        <v/>
      </c>
      <c r="F194" s="4">
        <f>SUMIFS('01_異動主檔'!$F:$F,'01_異動主檔'!$B:$B,99,'01_異動主檔'!$D:$D,A194,'01_異動主檔'!$E:$E,"新增")</f>
        <v/>
      </c>
      <c r="G194" s="4">
        <f>-SUMIFS('01_異動主檔'!$F:$F,'01_異動主檔'!$B:$B,99,'01_異動主檔'!$D:$D,A194,'01_異動主檔'!$E:$E,"減列")</f>
        <v/>
      </c>
      <c r="H194" s="4">
        <f>-SUMIFS('01_異動主檔'!$F:$F,'01_異動主檔'!$B:$B,99,'01_異動主檔'!$D:$D,A194,'01_異動主檔'!$E:$E,"精簡")</f>
        <v/>
      </c>
      <c r="I194" s="8">
        <f>C194+D194+E194+F194+G194+H194</f>
        <v/>
      </c>
    </row>
    <row r="195" ht="18" customHeight="1">
      <c r="A195" s="3" t="inlineStr">
        <is>
          <t>公關室</t>
        </is>
      </c>
      <c r="B195" s="4" t="n">
        <v>100</v>
      </c>
      <c r="C195" s="8">
        <f>I194</f>
        <v/>
      </c>
      <c r="D195" s="4">
        <f>SUMIFS('01_異動主檔'!$F:$F,'01_異動主檔'!$B:$B,100,'01_異動主檔'!$D:$D,A195,'01_異動主檔'!$E:$E,"移入")</f>
        <v/>
      </c>
      <c r="E195" s="4">
        <f>-SUMIFS('01_異動主檔'!$F:$F,'01_異動主檔'!$B:$B,100,'01_異動主檔'!$D:$D,A195,'01_異動主檔'!$E:$E,"移出")</f>
        <v/>
      </c>
      <c r="F195" s="4">
        <f>SUMIFS('01_異動主檔'!$F:$F,'01_異動主檔'!$B:$B,100,'01_異動主檔'!$D:$D,A195,'01_異動主檔'!$E:$E,"新增")</f>
        <v/>
      </c>
      <c r="G195" s="4">
        <f>-SUMIFS('01_異動主檔'!$F:$F,'01_異動主檔'!$B:$B,100,'01_異動主檔'!$D:$D,A195,'01_異動主檔'!$E:$E,"減列")</f>
        <v/>
      </c>
      <c r="H195" s="4">
        <f>-SUMIFS('01_異動主檔'!$F:$F,'01_異動主檔'!$B:$B,100,'01_異動主檔'!$D:$D,A195,'01_異動主檔'!$E:$E,"精簡")</f>
        <v/>
      </c>
      <c r="I195" s="8">
        <f>C195+D195+E195+F195+G195+H195</f>
        <v/>
      </c>
    </row>
    <row r="196" ht="18" customHeight="1">
      <c r="A196" s="5" t="inlineStr">
        <is>
          <t>公關室</t>
        </is>
      </c>
      <c r="B196" s="6" t="n">
        <v>101</v>
      </c>
      <c r="C196" s="8">
        <f>I195</f>
        <v/>
      </c>
      <c r="D196" s="4">
        <f>SUMIFS('01_異動主檔'!$F:$F,'01_異動主檔'!$B:$B,101,'01_異動主檔'!$D:$D,A196,'01_異動主檔'!$E:$E,"移入")</f>
        <v/>
      </c>
      <c r="E196" s="4">
        <f>-SUMIFS('01_異動主檔'!$F:$F,'01_異動主檔'!$B:$B,101,'01_異動主檔'!$D:$D,A196,'01_異動主檔'!$E:$E,"移出")</f>
        <v/>
      </c>
      <c r="F196" s="4">
        <f>SUMIFS('01_異動主檔'!$F:$F,'01_異動主檔'!$B:$B,101,'01_異動主檔'!$D:$D,A196,'01_異動主檔'!$E:$E,"新增")</f>
        <v/>
      </c>
      <c r="G196" s="4">
        <f>-SUMIFS('01_異動主檔'!$F:$F,'01_異動主檔'!$B:$B,101,'01_異動主檔'!$D:$D,A196,'01_異動主檔'!$E:$E,"減列")</f>
        <v/>
      </c>
      <c r="H196" s="4">
        <f>-SUMIFS('01_異動主檔'!$F:$F,'01_異動主檔'!$B:$B,101,'01_異動主檔'!$D:$D,A196,'01_異動主檔'!$E:$E,"精簡")</f>
        <v/>
      </c>
      <c r="I196" s="8">
        <f>C196+D196+E196+F196+G196+H196</f>
        <v/>
      </c>
    </row>
    <row r="197" ht="18" customHeight="1">
      <c r="A197" s="3" t="inlineStr">
        <is>
          <t>公關室</t>
        </is>
      </c>
      <c r="B197" s="4" t="n">
        <v>102</v>
      </c>
      <c r="C197" s="8">
        <f>I196</f>
        <v/>
      </c>
      <c r="D197" s="4">
        <f>SUMIFS('01_異動主檔'!$F:$F,'01_異動主檔'!$B:$B,102,'01_異動主檔'!$D:$D,A197,'01_異動主檔'!$E:$E,"移入")</f>
        <v/>
      </c>
      <c r="E197" s="4">
        <f>-SUMIFS('01_異動主檔'!$F:$F,'01_異動主檔'!$B:$B,102,'01_異動主檔'!$D:$D,A197,'01_異動主檔'!$E:$E,"移出")</f>
        <v/>
      </c>
      <c r="F197" s="4">
        <f>SUMIFS('01_異動主檔'!$F:$F,'01_異動主檔'!$B:$B,102,'01_異動主檔'!$D:$D,A197,'01_異動主檔'!$E:$E,"新增")</f>
        <v/>
      </c>
      <c r="G197" s="4">
        <f>-SUMIFS('01_異動主檔'!$F:$F,'01_異動主檔'!$B:$B,102,'01_異動主檔'!$D:$D,A197,'01_異動主檔'!$E:$E,"減列")</f>
        <v/>
      </c>
      <c r="H197" s="4">
        <f>-SUMIFS('01_異動主檔'!$F:$F,'01_異動主檔'!$B:$B,102,'01_異動主檔'!$D:$D,A197,'01_異動主檔'!$E:$E,"精簡")</f>
        <v/>
      </c>
      <c r="I197" s="8">
        <f>C197+D197+E197+F197+G197+H197</f>
        <v/>
      </c>
    </row>
    <row r="198" ht="18" customHeight="1">
      <c r="A198" s="5" t="inlineStr">
        <is>
          <t>公關室</t>
        </is>
      </c>
      <c r="B198" s="6" t="n">
        <v>103</v>
      </c>
      <c r="C198" s="8">
        <f>I197</f>
        <v/>
      </c>
      <c r="D198" s="4">
        <f>SUMIFS('01_異動主檔'!$F:$F,'01_異動主檔'!$B:$B,103,'01_異動主檔'!$D:$D,A198,'01_異動主檔'!$E:$E,"移入")</f>
        <v/>
      </c>
      <c r="E198" s="4">
        <f>-SUMIFS('01_異動主檔'!$F:$F,'01_異動主檔'!$B:$B,103,'01_異動主檔'!$D:$D,A198,'01_異動主檔'!$E:$E,"移出")</f>
        <v/>
      </c>
      <c r="F198" s="4">
        <f>SUMIFS('01_異動主檔'!$F:$F,'01_異動主檔'!$B:$B,103,'01_異動主檔'!$D:$D,A198,'01_異動主檔'!$E:$E,"新增")</f>
        <v/>
      </c>
      <c r="G198" s="4">
        <f>-SUMIFS('01_異動主檔'!$F:$F,'01_異動主檔'!$B:$B,103,'01_異動主檔'!$D:$D,A198,'01_異動主檔'!$E:$E,"減列")</f>
        <v/>
      </c>
      <c r="H198" s="4">
        <f>-SUMIFS('01_異動主檔'!$F:$F,'01_異動主檔'!$B:$B,103,'01_異動主檔'!$D:$D,A198,'01_異動主檔'!$E:$E,"精簡")</f>
        <v/>
      </c>
      <c r="I198" s="8">
        <f>C198+D198+E198+F198+G198+H198</f>
        <v/>
      </c>
    </row>
    <row r="199" ht="18" customHeight="1">
      <c r="A199" s="3" t="inlineStr">
        <is>
          <t>公關室</t>
        </is>
      </c>
      <c r="B199" s="4" t="n">
        <v>104</v>
      </c>
      <c r="C199" s="8">
        <f>I198</f>
        <v/>
      </c>
      <c r="D199" s="4">
        <f>SUMIFS('01_異動主檔'!$F:$F,'01_異動主檔'!$B:$B,104,'01_異動主檔'!$D:$D,A199,'01_異動主檔'!$E:$E,"移入")</f>
        <v/>
      </c>
      <c r="E199" s="4">
        <f>-SUMIFS('01_異動主檔'!$F:$F,'01_異動主檔'!$B:$B,104,'01_異動主檔'!$D:$D,A199,'01_異動主檔'!$E:$E,"移出")</f>
        <v/>
      </c>
      <c r="F199" s="4">
        <f>SUMIFS('01_異動主檔'!$F:$F,'01_異動主檔'!$B:$B,104,'01_異動主檔'!$D:$D,A199,'01_異動主檔'!$E:$E,"新增")</f>
        <v/>
      </c>
      <c r="G199" s="4">
        <f>-SUMIFS('01_異動主檔'!$F:$F,'01_異動主檔'!$B:$B,104,'01_異動主檔'!$D:$D,A199,'01_異動主檔'!$E:$E,"減列")</f>
        <v/>
      </c>
      <c r="H199" s="4">
        <f>-SUMIFS('01_異動主檔'!$F:$F,'01_異動主檔'!$B:$B,104,'01_異動主檔'!$D:$D,A199,'01_異動主檔'!$E:$E,"精簡")</f>
        <v/>
      </c>
      <c r="I199" s="8">
        <f>C199+D199+E199+F199+G199+H199</f>
        <v/>
      </c>
    </row>
    <row r="200" ht="18" customHeight="1">
      <c r="A200" s="5" t="inlineStr">
        <is>
          <t>公關室</t>
        </is>
      </c>
      <c r="B200" s="6" t="n">
        <v>105</v>
      </c>
      <c r="C200" s="8">
        <f>I199</f>
        <v/>
      </c>
      <c r="D200" s="4">
        <f>SUMIFS('01_異動主檔'!$F:$F,'01_異動主檔'!$B:$B,105,'01_異動主檔'!$D:$D,A200,'01_異動主檔'!$E:$E,"移入")</f>
        <v/>
      </c>
      <c r="E200" s="4">
        <f>-SUMIFS('01_異動主檔'!$F:$F,'01_異動主檔'!$B:$B,105,'01_異動主檔'!$D:$D,A200,'01_異動主檔'!$E:$E,"移出")</f>
        <v/>
      </c>
      <c r="F200" s="4">
        <f>SUMIFS('01_異動主檔'!$F:$F,'01_異動主檔'!$B:$B,105,'01_異動主檔'!$D:$D,A200,'01_異動主檔'!$E:$E,"新增")</f>
        <v/>
      </c>
      <c r="G200" s="4">
        <f>-SUMIFS('01_異動主檔'!$F:$F,'01_異動主檔'!$B:$B,105,'01_異動主檔'!$D:$D,A200,'01_異動主檔'!$E:$E,"減列")</f>
        <v/>
      </c>
      <c r="H200" s="4">
        <f>-SUMIFS('01_異動主檔'!$F:$F,'01_異動主檔'!$B:$B,105,'01_異動主檔'!$D:$D,A200,'01_異動主檔'!$E:$E,"精簡")</f>
        <v/>
      </c>
      <c r="I200" s="8">
        <f>C200+D200+E200+F200+G200+H200</f>
        <v/>
      </c>
    </row>
    <row r="201" ht="18" customHeight="1">
      <c r="A201" s="3" t="inlineStr">
        <is>
          <t>公關室</t>
        </is>
      </c>
      <c r="B201" s="4" t="n">
        <v>106</v>
      </c>
      <c r="C201" s="8">
        <f>I200</f>
        <v/>
      </c>
      <c r="D201" s="4">
        <f>SUMIFS('01_異動主檔'!$F:$F,'01_異動主檔'!$B:$B,106,'01_異動主檔'!$D:$D,A201,'01_異動主檔'!$E:$E,"移入")</f>
        <v/>
      </c>
      <c r="E201" s="4">
        <f>-SUMIFS('01_異動主檔'!$F:$F,'01_異動主檔'!$B:$B,106,'01_異動主檔'!$D:$D,A201,'01_異動主檔'!$E:$E,"移出")</f>
        <v/>
      </c>
      <c r="F201" s="4">
        <f>SUMIFS('01_異動主檔'!$F:$F,'01_異動主檔'!$B:$B,106,'01_異動主檔'!$D:$D,A201,'01_異動主檔'!$E:$E,"新增")</f>
        <v/>
      </c>
      <c r="G201" s="4">
        <f>-SUMIFS('01_異動主檔'!$F:$F,'01_異動主檔'!$B:$B,106,'01_異動主檔'!$D:$D,A201,'01_異動主檔'!$E:$E,"減列")</f>
        <v/>
      </c>
      <c r="H201" s="4">
        <f>-SUMIFS('01_異動主檔'!$F:$F,'01_異動主檔'!$B:$B,106,'01_異動主檔'!$D:$D,A201,'01_異動主檔'!$E:$E,"精簡")</f>
        <v/>
      </c>
      <c r="I201" s="8">
        <f>C201+D201+E201+F201+G201+H201</f>
        <v/>
      </c>
    </row>
    <row r="202" ht="18" customHeight="1">
      <c r="A202" s="5" t="inlineStr">
        <is>
          <t>公關室</t>
        </is>
      </c>
      <c r="B202" s="6" t="n">
        <v>107</v>
      </c>
      <c r="C202" s="8">
        <f>I201</f>
        <v/>
      </c>
      <c r="D202" s="4">
        <f>SUMIFS('01_異動主檔'!$F:$F,'01_異動主檔'!$B:$B,107,'01_異動主檔'!$D:$D,A202,'01_異動主檔'!$E:$E,"移入")</f>
        <v/>
      </c>
      <c r="E202" s="4">
        <f>-SUMIFS('01_異動主檔'!$F:$F,'01_異動主檔'!$B:$B,107,'01_異動主檔'!$D:$D,A202,'01_異動主檔'!$E:$E,"移出")</f>
        <v/>
      </c>
      <c r="F202" s="4">
        <f>SUMIFS('01_異動主檔'!$F:$F,'01_異動主檔'!$B:$B,107,'01_異動主檔'!$D:$D,A202,'01_異動主檔'!$E:$E,"新增")</f>
        <v/>
      </c>
      <c r="G202" s="4">
        <f>-SUMIFS('01_異動主檔'!$F:$F,'01_異動主檔'!$B:$B,107,'01_異動主檔'!$D:$D,A202,'01_異動主檔'!$E:$E,"減列")</f>
        <v/>
      </c>
      <c r="H202" s="4">
        <f>-SUMIFS('01_異動主檔'!$F:$F,'01_異動主檔'!$B:$B,107,'01_異動主檔'!$D:$D,A202,'01_異動主檔'!$E:$E,"精簡")</f>
        <v/>
      </c>
      <c r="I202" s="8">
        <f>C202+D202+E202+F202+G202+H202</f>
        <v/>
      </c>
    </row>
    <row r="203" ht="18" customHeight="1">
      <c r="A203" s="3" t="inlineStr">
        <is>
          <t>公關室</t>
        </is>
      </c>
      <c r="B203" s="4" t="n">
        <v>108</v>
      </c>
      <c r="C203" s="8">
        <f>I202</f>
        <v/>
      </c>
      <c r="D203" s="4">
        <f>SUMIFS('01_異動主檔'!$F:$F,'01_異動主檔'!$B:$B,108,'01_異動主檔'!$D:$D,A203,'01_異動主檔'!$E:$E,"移入")</f>
        <v/>
      </c>
      <c r="E203" s="4">
        <f>-SUMIFS('01_異動主檔'!$F:$F,'01_異動主檔'!$B:$B,108,'01_異動主檔'!$D:$D,A203,'01_異動主檔'!$E:$E,"移出")</f>
        <v/>
      </c>
      <c r="F203" s="4">
        <f>SUMIFS('01_異動主檔'!$F:$F,'01_異動主檔'!$B:$B,108,'01_異動主檔'!$D:$D,A203,'01_異動主檔'!$E:$E,"新增")</f>
        <v/>
      </c>
      <c r="G203" s="4">
        <f>-SUMIFS('01_異動主檔'!$F:$F,'01_異動主檔'!$B:$B,108,'01_異動主檔'!$D:$D,A203,'01_異動主檔'!$E:$E,"減列")</f>
        <v/>
      </c>
      <c r="H203" s="4">
        <f>-SUMIFS('01_異動主檔'!$F:$F,'01_異動主檔'!$B:$B,108,'01_異動主檔'!$D:$D,A203,'01_異動主檔'!$E:$E,"精簡")</f>
        <v/>
      </c>
      <c r="I203" s="8">
        <f>C203+D203+E203+F203+G203+H203</f>
        <v/>
      </c>
    </row>
    <row r="204" ht="18" customHeight="1">
      <c r="A204" s="5" t="inlineStr">
        <is>
          <t>公關室</t>
        </is>
      </c>
      <c r="B204" s="6" t="n">
        <v>109</v>
      </c>
      <c r="C204" s="8">
        <f>I203</f>
        <v/>
      </c>
      <c r="D204" s="4">
        <f>SUMIFS('01_異動主檔'!$F:$F,'01_異動主檔'!$B:$B,109,'01_異動主檔'!$D:$D,A204,'01_異動主檔'!$E:$E,"移入")</f>
        <v/>
      </c>
      <c r="E204" s="4">
        <f>-SUMIFS('01_異動主檔'!$F:$F,'01_異動主檔'!$B:$B,109,'01_異動主檔'!$D:$D,A204,'01_異動主檔'!$E:$E,"移出")</f>
        <v/>
      </c>
      <c r="F204" s="4">
        <f>SUMIFS('01_異動主檔'!$F:$F,'01_異動主檔'!$B:$B,109,'01_異動主檔'!$D:$D,A204,'01_異動主檔'!$E:$E,"新增")</f>
        <v/>
      </c>
      <c r="G204" s="4">
        <f>-SUMIFS('01_異動主檔'!$F:$F,'01_異動主檔'!$B:$B,109,'01_異動主檔'!$D:$D,A204,'01_異動主檔'!$E:$E,"減列")</f>
        <v/>
      </c>
      <c r="H204" s="4">
        <f>-SUMIFS('01_異動主檔'!$F:$F,'01_異動主檔'!$B:$B,109,'01_異動主檔'!$D:$D,A204,'01_異動主檔'!$E:$E,"精簡")</f>
        <v/>
      </c>
      <c r="I204" s="8">
        <f>C204+D204+E204+F204+G204+H204</f>
        <v/>
      </c>
    </row>
    <row r="205" ht="18" customHeight="1">
      <c r="A205" s="3" t="inlineStr">
        <is>
          <t>公關室</t>
        </is>
      </c>
      <c r="B205" s="4" t="n">
        <v>110</v>
      </c>
      <c r="C205" s="8">
        <f>I204</f>
        <v/>
      </c>
      <c r="D205" s="4">
        <f>SUMIFS('01_異動主檔'!$F:$F,'01_異動主檔'!$B:$B,110,'01_異動主檔'!$D:$D,A205,'01_異動主檔'!$E:$E,"移入")</f>
        <v/>
      </c>
      <c r="E205" s="4">
        <f>-SUMIFS('01_異動主檔'!$F:$F,'01_異動主檔'!$B:$B,110,'01_異動主檔'!$D:$D,A205,'01_異動主檔'!$E:$E,"移出")</f>
        <v/>
      </c>
      <c r="F205" s="4">
        <f>SUMIFS('01_異動主檔'!$F:$F,'01_異動主檔'!$B:$B,110,'01_異動主檔'!$D:$D,A205,'01_異動主檔'!$E:$E,"新增")</f>
        <v/>
      </c>
      <c r="G205" s="4">
        <f>-SUMIFS('01_異動主檔'!$F:$F,'01_異動主檔'!$B:$B,110,'01_異動主檔'!$D:$D,A205,'01_異動主檔'!$E:$E,"減列")</f>
        <v/>
      </c>
      <c r="H205" s="4">
        <f>-SUMIFS('01_異動主檔'!$F:$F,'01_異動主檔'!$B:$B,110,'01_異動主檔'!$D:$D,A205,'01_異動主檔'!$E:$E,"精簡")</f>
        <v/>
      </c>
      <c r="I205" s="8">
        <f>C205+D205+E205+F205+G205+H205</f>
        <v/>
      </c>
    </row>
    <row r="206" ht="18" customHeight="1">
      <c r="A206" s="5" t="inlineStr">
        <is>
          <t>公關室</t>
        </is>
      </c>
      <c r="B206" s="6" t="n">
        <v>111</v>
      </c>
      <c r="C206" s="8">
        <f>I205</f>
        <v/>
      </c>
      <c r="D206" s="4">
        <f>SUMIFS('01_異動主檔'!$F:$F,'01_異動主檔'!$B:$B,111,'01_異動主檔'!$D:$D,A206,'01_異動主檔'!$E:$E,"移入")</f>
        <v/>
      </c>
      <c r="E206" s="4">
        <f>-SUMIFS('01_異動主檔'!$F:$F,'01_異動主檔'!$B:$B,111,'01_異動主檔'!$D:$D,A206,'01_異動主檔'!$E:$E,"移出")</f>
        <v/>
      </c>
      <c r="F206" s="4">
        <f>SUMIFS('01_異動主檔'!$F:$F,'01_異動主檔'!$B:$B,111,'01_異動主檔'!$D:$D,A206,'01_異動主檔'!$E:$E,"新增")</f>
        <v/>
      </c>
      <c r="G206" s="4">
        <f>-SUMIFS('01_異動主檔'!$F:$F,'01_異動主檔'!$B:$B,111,'01_異動主檔'!$D:$D,A206,'01_異動主檔'!$E:$E,"減列")</f>
        <v/>
      </c>
      <c r="H206" s="4">
        <f>-SUMIFS('01_異動主檔'!$F:$F,'01_異動主檔'!$B:$B,111,'01_異動主檔'!$D:$D,A206,'01_異動主檔'!$E:$E,"精簡")</f>
        <v/>
      </c>
      <c r="I206" s="8">
        <f>C206+D206+E206+F206+G206+H206</f>
        <v/>
      </c>
    </row>
    <row r="207" ht="18" customHeight="1">
      <c r="A207" s="3" t="inlineStr">
        <is>
          <t>公關室</t>
        </is>
      </c>
      <c r="B207" s="4" t="n">
        <v>112</v>
      </c>
      <c r="C207" s="8">
        <f>I206</f>
        <v/>
      </c>
      <c r="D207" s="4">
        <f>SUMIFS('01_異動主檔'!$F:$F,'01_異動主檔'!$B:$B,112,'01_異動主檔'!$D:$D,A207,'01_異動主檔'!$E:$E,"移入")</f>
        <v/>
      </c>
      <c r="E207" s="4">
        <f>-SUMIFS('01_異動主檔'!$F:$F,'01_異動主檔'!$B:$B,112,'01_異動主檔'!$D:$D,A207,'01_異動主檔'!$E:$E,"移出")</f>
        <v/>
      </c>
      <c r="F207" s="4">
        <f>SUMIFS('01_異動主檔'!$F:$F,'01_異動主檔'!$B:$B,112,'01_異動主檔'!$D:$D,A207,'01_異動主檔'!$E:$E,"新增")</f>
        <v/>
      </c>
      <c r="G207" s="4">
        <f>-SUMIFS('01_異動主檔'!$F:$F,'01_異動主檔'!$B:$B,112,'01_異動主檔'!$D:$D,A207,'01_異動主檔'!$E:$E,"減列")</f>
        <v/>
      </c>
      <c r="H207" s="4">
        <f>-SUMIFS('01_異動主檔'!$F:$F,'01_異動主檔'!$B:$B,112,'01_異動主檔'!$D:$D,A207,'01_異動主檔'!$E:$E,"精簡")</f>
        <v/>
      </c>
      <c r="I207" s="8">
        <f>C207+D207+E207+F207+G207+H207</f>
        <v/>
      </c>
    </row>
    <row r="208" ht="18" customHeight="1">
      <c r="A208" s="5" t="inlineStr">
        <is>
          <t>公關室</t>
        </is>
      </c>
      <c r="B208" s="6" t="n">
        <v>113</v>
      </c>
      <c r="C208" s="8">
        <f>I207</f>
        <v/>
      </c>
      <c r="D208" s="4">
        <f>SUMIFS('01_異動主檔'!$F:$F,'01_異動主檔'!$B:$B,113,'01_異動主檔'!$D:$D,A208,'01_異動主檔'!$E:$E,"移入")</f>
        <v/>
      </c>
      <c r="E208" s="4">
        <f>-SUMIFS('01_異動主檔'!$F:$F,'01_異動主檔'!$B:$B,113,'01_異動主檔'!$D:$D,A208,'01_異動主檔'!$E:$E,"移出")</f>
        <v/>
      </c>
      <c r="F208" s="4">
        <f>SUMIFS('01_異動主檔'!$F:$F,'01_異動主檔'!$B:$B,113,'01_異動主檔'!$D:$D,A208,'01_異動主檔'!$E:$E,"新增")</f>
        <v/>
      </c>
      <c r="G208" s="4">
        <f>-SUMIFS('01_異動主檔'!$F:$F,'01_異動主檔'!$B:$B,113,'01_異動主檔'!$D:$D,A208,'01_異動主檔'!$E:$E,"減列")</f>
        <v/>
      </c>
      <c r="H208" s="4">
        <f>-SUMIFS('01_異動主檔'!$F:$F,'01_異動主檔'!$B:$B,113,'01_異動主檔'!$D:$D,A208,'01_異動主檔'!$E:$E,"精簡")</f>
        <v/>
      </c>
      <c r="I208" s="8">
        <f>C208+D208+E208+F208+G208+H208</f>
        <v/>
      </c>
    </row>
    <row r="209" ht="18" customHeight="1">
      <c r="A209" s="3" t="inlineStr">
        <is>
          <t>公關室</t>
        </is>
      </c>
      <c r="B209" s="4" t="n">
        <v>114</v>
      </c>
      <c r="C209" s="8">
        <f>I208</f>
        <v/>
      </c>
      <c r="D209" s="4">
        <f>SUMIFS('01_異動主檔'!$F:$F,'01_異動主檔'!$B:$B,114,'01_異動主檔'!$D:$D,A209,'01_異動主檔'!$E:$E,"移入")</f>
        <v/>
      </c>
      <c r="E209" s="4">
        <f>-SUMIFS('01_異動主檔'!$F:$F,'01_異動主檔'!$B:$B,114,'01_異動主檔'!$D:$D,A209,'01_異動主檔'!$E:$E,"移出")</f>
        <v/>
      </c>
      <c r="F209" s="4">
        <f>SUMIFS('01_異動主檔'!$F:$F,'01_異動主檔'!$B:$B,114,'01_異動主檔'!$D:$D,A209,'01_異動主檔'!$E:$E,"新增")</f>
        <v/>
      </c>
      <c r="G209" s="4">
        <f>-SUMIFS('01_異動主檔'!$F:$F,'01_異動主檔'!$B:$B,114,'01_異動主檔'!$D:$D,A209,'01_異動主檔'!$E:$E,"減列")</f>
        <v/>
      </c>
      <c r="H209" s="4">
        <f>-SUMIFS('01_異動主檔'!$F:$F,'01_異動主檔'!$B:$B,114,'01_異動主檔'!$D:$D,A209,'01_異動主檔'!$E:$E,"精簡")</f>
        <v/>
      </c>
      <c r="I209" s="8">
        <f>C209+D209+E209+F209+G209+H209</f>
        <v/>
      </c>
    </row>
    <row r="210" ht="18" customHeight="1">
      <c r="A210" s="5" t="inlineStr">
        <is>
          <t>公關室</t>
        </is>
      </c>
      <c r="B210" s="6" t="n">
        <v>115</v>
      </c>
      <c r="C210" s="8">
        <f>I209</f>
        <v/>
      </c>
      <c r="D210" s="4">
        <f>SUMIFS('01_異動主檔'!$F:$F,'01_異動主檔'!$B:$B,115,'01_異動主檔'!$D:$D,A210,'01_異動主檔'!$E:$E,"移入")</f>
        <v/>
      </c>
      <c r="E210" s="4">
        <f>-SUMIFS('01_異動主檔'!$F:$F,'01_異動主檔'!$B:$B,115,'01_異動主檔'!$D:$D,A210,'01_異動主檔'!$E:$E,"移出")</f>
        <v/>
      </c>
      <c r="F210" s="4">
        <f>SUMIFS('01_異動主檔'!$F:$F,'01_異動主檔'!$B:$B,115,'01_異動主檔'!$D:$D,A210,'01_異動主檔'!$E:$E,"新增")</f>
        <v/>
      </c>
      <c r="G210" s="4">
        <f>-SUMIFS('01_異動主檔'!$F:$F,'01_異動主檔'!$B:$B,115,'01_異動主檔'!$D:$D,A210,'01_異動主檔'!$E:$E,"減列")</f>
        <v/>
      </c>
      <c r="H210" s="4">
        <f>-SUMIFS('01_異動主檔'!$F:$F,'01_異動主檔'!$B:$B,115,'01_異動主檔'!$D:$D,A210,'01_異動主檔'!$E:$E,"精簡")</f>
        <v/>
      </c>
      <c r="I210" s="8">
        <f>C210+D210+E210+F210+G210+H210</f>
        <v/>
      </c>
    </row>
    <row r="211" ht="18" customHeight="1">
      <c r="A211" s="3" t="inlineStr">
        <is>
          <t>公關室</t>
        </is>
      </c>
      <c r="B211" s="4" t="n">
        <v>116</v>
      </c>
      <c r="C211" s="8">
        <f>I210</f>
        <v/>
      </c>
      <c r="D211" s="4">
        <f>SUMIFS('01_異動主檔'!$F:$F,'01_異動主檔'!$B:$B,116,'01_異動主檔'!$D:$D,A211,'01_異動主檔'!$E:$E,"移入")</f>
        <v/>
      </c>
      <c r="E211" s="4">
        <f>-SUMIFS('01_異動主檔'!$F:$F,'01_異動主檔'!$B:$B,116,'01_異動主檔'!$D:$D,A211,'01_異動主檔'!$E:$E,"移出")</f>
        <v/>
      </c>
      <c r="F211" s="4">
        <f>SUMIFS('01_異動主檔'!$F:$F,'01_異動主檔'!$B:$B,116,'01_異動主檔'!$D:$D,A211,'01_異動主檔'!$E:$E,"新增")</f>
        <v/>
      </c>
      <c r="G211" s="4">
        <f>-SUMIFS('01_異動主檔'!$F:$F,'01_異動主檔'!$B:$B,116,'01_異動主檔'!$D:$D,A211,'01_異動主檔'!$E:$E,"減列")</f>
        <v/>
      </c>
      <c r="H211" s="4">
        <f>-SUMIFS('01_異動主檔'!$F:$F,'01_異動主檔'!$B:$B,116,'01_異動主檔'!$D:$D,A211,'01_異動主檔'!$E:$E,"精簡")</f>
        <v/>
      </c>
      <c r="I211" s="8">
        <f>C211+D211+E211+F211+G211+H211</f>
        <v/>
      </c>
    </row>
    <row r="212" ht="18" customHeight="1">
      <c r="A212" s="5" t="inlineStr">
        <is>
          <t>公關室</t>
        </is>
      </c>
      <c r="B212" s="6" t="n">
        <v>117</v>
      </c>
      <c r="C212" s="8">
        <f>I211</f>
        <v/>
      </c>
      <c r="D212" s="4">
        <f>SUMIFS('01_異動主檔'!$F:$F,'01_異動主檔'!$B:$B,117,'01_異動主檔'!$D:$D,A212,'01_異動主檔'!$E:$E,"移入")</f>
        <v/>
      </c>
      <c r="E212" s="4">
        <f>-SUMIFS('01_異動主檔'!$F:$F,'01_異動主檔'!$B:$B,117,'01_異動主檔'!$D:$D,A212,'01_異動主檔'!$E:$E,"移出")</f>
        <v/>
      </c>
      <c r="F212" s="4">
        <f>SUMIFS('01_異動主檔'!$F:$F,'01_異動主檔'!$B:$B,117,'01_異動主檔'!$D:$D,A212,'01_異動主檔'!$E:$E,"新增")</f>
        <v/>
      </c>
      <c r="G212" s="4">
        <f>-SUMIFS('01_異動主檔'!$F:$F,'01_異動主檔'!$B:$B,117,'01_異動主檔'!$D:$D,A212,'01_異動主檔'!$E:$E,"減列")</f>
        <v/>
      </c>
      <c r="H212" s="4">
        <f>-SUMIFS('01_異動主檔'!$F:$F,'01_異動主檔'!$B:$B,117,'01_異動主檔'!$D:$D,A212,'01_異動主檔'!$E:$E,"精簡")</f>
        <v/>
      </c>
      <c r="I212" s="8">
        <f>C212+D212+E212+F212+G212+H212</f>
        <v/>
      </c>
    </row>
    <row r="213" ht="18" customHeight="1">
      <c r="A213" s="3" t="inlineStr">
        <is>
          <t>公關室</t>
        </is>
      </c>
      <c r="B213" s="4" t="n">
        <v>118</v>
      </c>
      <c r="C213" s="8">
        <f>I212</f>
        <v/>
      </c>
      <c r="D213" s="4">
        <f>SUMIFS('01_異動主檔'!$F:$F,'01_異動主檔'!$B:$B,118,'01_異動主檔'!$D:$D,A213,'01_異動主檔'!$E:$E,"移入")</f>
        <v/>
      </c>
      <c r="E213" s="4">
        <f>-SUMIFS('01_異動主檔'!$F:$F,'01_異動主檔'!$B:$B,118,'01_異動主檔'!$D:$D,A213,'01_異動主檔'!$E:$E,"移出")</f>
        <v/>
      </c>
      <c r="F213" s="4">
        <f>SUMIFS('01_異動主檔'!$F:$F,'01_異動主檔'!$B:$B,118,'01_異動主檔'!$D:$D,A213,'01_異動主檔'!$E:$E,"新增")</f>
        <v/>
      </c>
      <c r="G213" s="4">
        <f>-SUMIFS('01_異動主檔'!$F:$F,'01_異動主檔'!$B:$B,118,'01_異動主檔'!$D:$D,A213,'01_異動主檔'!$E:$E,"減列")</f>
        <v/>
      </c>
      <c r="H213" s="4">
        <f>-SUMIFS('01_異動主檔'!$F:$F,'01_異動主檔'!$B:$B,118,'01_異動主檔'!$D:$D,A213,'01_異動主檔'!$E:$E,"精簡")</f>
        <v/>
      </c>
      <c r="I213" s="8">
        <f>C213+D213+E213+F213+G213+H213</f>
        <v/>
      </c>
    </row>
    <row r="214" ht="18" customHeight="1">
      <c r="A214" s="5" t="inlineStr">
        <is>
          <t>公關室</t>
        </is>
      </c>
      <c r="B214" s="6" t="n">
        <v>119</v>
      </c>
      <c r="C214" s="8">
        <f>I213</f>
        <v/>
      </c>
      <c r="D214" s="4">
        <f>SUMIFS('01_異動主檔'!$F:$F,'01_異動主檔'!$B:$B,119,'01_異動主檔'!$D:$D,A214,'01_異動主檔'!$E:$E,"移入")</f>
        <v/>
      </c>
      <c r="E214" s="4">
        <f>-SUMIFS('01_異動主檔'!$F:$F,'01_異動主檔'!$B:$B,119,'01_異動主檔'!$D:$D,A214,'01_異動主檔'!$E:$E,"移出")</f>
        <v/>
      </c>
      <c r="F214" s="4">
        <f>SUMIFS('01_異動主檔'!$F:$F,'01_異動主檔'!$B:$B,119,'01_異動主檔'!$D:$D,A214,'01_異動主檔'!$E:$E,"新增")</f>
        <v/>
      </c>
      <c r="G214" s="4">
        <f>-SUMIFS('01_異動主檔'!$F:$F,'01_異動主檔'!$B:$B,119,'01_異動主檔'!$D:$D,A214,'01_異動主檔'!$E:$E,"減列")</f>
        <v/>
      </c>
      <c r="H214" s="4">
        <f>-SUMIFS('01_異動主檔'!$F:$F,'01_異動主檔'!$B:$B,119,'01_異動主檔'!$D:$D,A214,'01_異動主檔'!$E:$E,"精簡")</f>
        <v/>
      </c>
      <c r="I214" s="8">
        <f>C214+D214+E214+F214+G214+H214</f>
        <v/>
      </c>
    </row>
    <row r="215" ht="18" customHeight="1">
      <c r="A215" s="3" t="inlineStr">
        <is>
          <t>公關室</t>
        </is>
      </c>
      <c r="B215" s="4" t="n">
        <v>120</v>
      </c>
      <c r="C215" s="8">
        <f>I214</f>
        <v/>
      </c>
      <c r="D215" s="4">
        <f>SUMIFS('01_異動主檔'!$F:$F,'01_異動主檔'!$B:$B,120,'01_異動主檔'!$D:$D,A215,'01_異動主檔'!$E:$E,"移入")</f>
        <v/>
      </c>
      <c r="E215" s="4">
        <f>-SUMIFS('01_異動主檔'!$F:$F,'01_異動主檔'!$B:$B,120,'01_異動主檔'!$D:$D,A215,'01_異動主檔'!$E:$E,"移出")</f>
        <v/>
      </c>
      <c r="F215" s="4">
        <f>SUMIFS('01_異動主檔'!$F:$F,'01_異動主檔'!$B:$B,120,'01_異動主檔'!$D:$D,A215,'01_異動主檔'!$E:$E,"新增")</f>
        <v/>
      </c>
      <c r="G215" s="4">
        <f>-SUMIFS('01_異動主檔'!$F:$F,'01_異動主檔'!$B:$B,120,'01_異動主檔'!$D:$D,A215,'01_異動主檔'!$E:$E,"減列")</f>
        <v/>
      </c>
      <c r="H215" s="4">
        <f>-SUMIFS('01_異動主檔'!$F:$F,'01_異動主檔'!$B:$B,120,'01_異動主檔'!$D:$D,A215,'01_異動主檔'!$E:$E,"精簡")</f>
        <v/>
      </c>
      <c r="I215" s="8">
        <f>C215+D215+E215+F215+G215+H215</f>
        <v/>
      </c>
    </row>
    <row r="216" ht="18" customHeight="1">
      <c r="A216" s="5" t="inlineStr">
        <is>
          <t>公關室</t>
        </is>
      </c>
      <c r="B216" s="6" t="n">
        <v>121</v>
      </c>
      <c r="C216" s="8">
        <f>I215</f>
        <v/>
      </c>
      <c r="D216" s="4">
        <f>SUMIFS('01_異動主檔'!$F:$F,'01_異動主檔'!$B:$B,121,'01_異動主檔'!$D:$D,A216,'01_異動主檔'!$E:$E,"移入")</f>
        <v/>
      </c>
      <c r="E216" s="4">
        <f>-SUMIFS('01_異動主檔'!$F:$F,'01_異動主檔'!$B:$B,121,'01_異動主檔'!$D:$D,A216,'01_異動主檔'!$E:$E,"移出")</f>
        <v/>
      </c>
      <c r="F216" s="4">
        <f>SUMIFS('01_異動主檔'!$F:$F,'01_異動主檔'!$B:$B,121,'01_異動主檔'!$D:$D,A216,'01_異動主檔'!$E:$E,"新增")</f>
        <v/>
      </c>
      <c r="G216" s="4">
        <f>-SUMIFS('01_異動主檔'!$F:$F,'01_異動主檔'!$B:$B,121,'01_異動主檔'!$D:$D,A216,'01_異動主檔'!$E:$E,"減列")</f>
        <v/>
      </c>
      <c r="H216" s="4">
        <f>-SUMIFS('01_異動主檔'!$F:$F,'01_異動主檔'!$B:$B,121,'01_異動主檔'!$D:$D,A216,'01_異動主檔'!$E:$E,"精簡")</f>
        <v/>
      </c>
      <c r="I216" s="8">
        <f>C216+D216+E216+F216+G216+H216</f>
        <v/>
      </c>
    </row>
    <row r="217" ht="18" customHeight="1">
      <c r="A217" s="3" t="inlineStr">
        <is>
          <t>公關室</t>
        </is>
      </c>
      <c r="B217" s="4" t="n">
        <v>122</v>
      </c>
      <c r="C217" s="8">
        <f>I216</f>
        <v/>
      </c>
      <c r="D217" s="4">
        <f>SUMIFS('01_異動主檔'!$F:$F,'01_異動主檔'!$B:$B,122,'01_異動主檔'!$D:$D,A217,'01_異動主檔'!$E:$E,"移入")</f>
        <v/>
      </c>
      <c r="E217" s="4">
        <f>-SUMIFS('01_異動主檔'!$F:$F,'01_異動主檔'!$B:$B,122,'01_異動主檔'!$D:$D,A217,'01_異動主檔'!$E:$E,"移出")</f>
        <v/>
      </c>
      <c r="F217" s="4">
        <f>SUMIFS('01_異動主檔'!$F:$F,'01_異動主檔'!$B:$B,122,'01_異動主檔'!$D:$D,A217,'01_異動主檔'!$E:$E,"新增")</f>
        <v/>
      </c>
      <c r="G217" s="4">
        <f>-SUMIFS('01_異動主檔'!$F:$F,'01_異動主檔'!$B:$B,122,'01_異動主檔'!$D:$D,A217,'01_異動主檔'!$E:$E,"減列")</f>
        <v/>
      </c>
      <c r="H217" s="4">
        <f>-SUMIFS('01_異動主檔'!$F:$F,'01_異動主檔'!$B:$B,122,'01_異動主檔'!$D:$D,A217,'01_異動主檔'!$E:$E,"精簡")</f>
        <v/>
      </c>
      <c r="I217" s="8">
        <f>C217+D217+E217+F217+G217+H217</f>
        <v/>
      </c>
    </row>
    <row r="218" ht="18" customHeight="1">
      <c r="A218" s="5" t="inlineStr">
        <is>
          <t>公關室</t>
        </is>
      </c>
      <c r="B218" s="6" t="n">
        <v>123</v>
      </c>
      <c r="C218" s="8">
        <f>I217</f>
        <v/>
      </c>
      <c r="D218" s="4">
        <f>SUMIFS('01_異動主檔'!$F:$F,'01_異動主檔'!$B:$B,123,'01_異動主檔'!$D:$D,A218,'01_異動主檔'!$E:$E,"移入")</f>
        <v/>
      </c>
      <c r="E218" s="4">
        <f>-SUMIFS('01_異動主檔'!$F:$F,'01_異動主檔'!$B:$B,123,'01_異動主檔'!$D:$D,A218,'01_異動主檔'!$E:$E,"移出")</f>
        <v/>
      </c>
      <c r="F218" s="4">
        <f>SUMIFS('01_異動主檔'!$F:$F,'01_異動主檔'!$B:$B,123,'01_異動主檔'!$D:$D,A218,'01_異動主檔'!$E:$E,"新增")</f>
        <v/>
      </c>
      <c r="G218" s="4">
        <f>-SUMIFS('01_異動主檔'!$F:$F,'01_異動主檔'!$B:$B,123,'01_異動主檔'!$D:$D,A218,'01_異動主檔'!$E:$E,"減列")</f>
        <v/>
      </c>
      <c r="H218" s="4">
        <f>-SUMIFS('01_異動主檔'!$F:$F,'01_異動主檔'!$B:$B,123,'01_異動主檔'!$D:$D,A218,'01_異動主檔'!$E:$E,"精簡")</f>
        <v/>
      </c>
      <c r="I218" s="8">
        <f>C218+D218+E218+F218+G218+H218</f>
        <v/>
      </c>
    </row>
    <row r="219" ht="18" customHeight="1">
      <c r="A219" s="3" t="inlineStr">
        <is>
          <t>公關室</t>
        </is>
      </c>
      <c r="B219" s="4" t="n">
        <v>124</v>
      </c>
      <c r="C219" s="8">
        <f>I218</f>
        <v/>
      </c>
      <c r="D219" s="4">
        <f>SUMIFS('01_異動主檔'!$F:$F,'01_異動主檔'!$B:$B,124,'01_異動主檔'!$D:$D,A219,'01_異動主檔'!$E:$E,"移入")</f>
        <v/>
      </c>
      <c r="E219" s="4">
        <f>-SUMIFS('01_異動主檔'!$F:$F,'01_異動主檔'!$B:$B,124,'01_異動主檔'!$D:$D,A219,'01_異動主檔'!$E:$E,"移出")</f>
        <v/>
      </c>
      <c r="F219" s="4">
        <f>SUMIFS('01_異動主檔'!$F:$F,'01_異動主檔'!$B:$B,124,'01_異動主檔'!$D:$D,A219,'01_異動主檔'!$E:$E,"新增")</f>
        <v/>
      </c>
      <c r="G219" s="4">
        <f>-SUMIFS('01_異動主檔'!$F:$F,'01_異動主檔'!$B:$B,124,'01_異動主檔'!$D:$D,A219,'01_異動主檔'!$E:$E,"減列")</f>
        <v/>
      </c>
      <c r="H219" s="4">
        <f>-SUMIFS('01_異動主檔'!$F:$F,'01_異動主檔'!$B:$B,124,'01_異動主檔'!$D:$D,A219,'01_異動主檔'!$E:$E,"精簡")</f>
        <v/>
      </c>
      <c r="I219" s="8">
        <f>C219+D219+E219+F219+G219+H219</f>
        <v/>
      </c>
    </row>
    <row r="220" ht="18" customHeight="1">
      <c r="A220" s="5" t="inlineStr">
        <is>
          <t>公關室</t>
        </is>
      </c>
      <c r="B220" s="6" t="n">
        <v>125</v>
      </c>
      <c r="C220" s="8">
        <f>I219</f>
        <v/>
      </c>
      <c r="D220" s="4">
        <f>SUMIFS('01_異動主檔'!$F:$F,'01_異動主檔'!$B:$B,125,'01_異動主檔'!$D:$D,A220,'01_異動主檔'!$E:$E,"移入")</f>
        <v/>
      </c>
      <c r="E220" s="4">
        <f>-SUMIFS('01_異動主檔'!$F:$F,'01_異動主檔'!$B:$B,125,'01_異動主檔'!$D:$D,A220,'01_異動主檔'!$E:$E,"移出")</f>
        <v/>
      </c>
      <c r="F220" s="4">
        <f>SUMIFS('01_異動主檔'!$F:$F,'01_異動主檔'!$B:$B,125,'01_異動主檔'!$D:$D,A220,'01_異動主檔'!$E:$E,"新增")</f>
        <v/>
      </c>
      <c r="G220" s="4">
        <f>-SUMIFS('01_異動主檔'!$F:$F,'01_異動主檔'!$B:$B,125,'01_異動主檔'!$D:$D,A220,'01_異動主檔'!$E:$E,"減列")</f>
        <v/>
      </c>
      <c r="H220" s="4">
        <f>-SUMIFS('01_異動主檔'!$F:$F,'01_異動主檔'!$B:$B,125,'01_異動主檔'!$D:$D,A220,'01_異動主檔'!$E:$E,"精簡")</f>
        <v/>
      </c>
      <c r="I220" s="8">
        <f>C220+D220+E220+F220+G220+H220</f>
        <v/>
      </c>
    </row>
    <row r="221" ht="18" customHeight="1">
      <c r="A221" s="3" t="inlineStr">
        <is>
          <t>第一組</t>
        </is>
      </c>
      <c r="B221" s="4" t="n">
        <v>99</v>
      </c>
      <c r="C221" s="8">
        <f>'02_年初員額設定'!B13</f>
        <v/>
      </c>
      <c r="D221" s="4">
        <f>SUMIFS('01_異動主檔'!$F:$F,'01_異動主檔'!$B:$B,99,'01_異動主檔'!$D:$D,A221,'01_異動主檔'!$E:$E,"移入")</f>
        <v/>
      </c>
      <c r="E221" s="4">
        <f>-SUMIFS('01_異動主檔'!$F:$F,'01_異動主檔'!$B:$B,99,'01_異動主檔'!$D:$D,A221,'01_異動主檔'!$E:$E,"移出")</f>
        <v/>
      </c>
      <c r="F221" s="4">
        <f>SUMIFS('01_異動主檔'!$F:$F,'01_異動主檔'!$B:$B,99,'01_異動主檔'!$D:$D,A221,'01_異動主檔'!$E:$E,"新增")</f>
        <v/>
      </c>
      <c r="G221" s="4">
        <f>-SUMIFS('01_異動主檔'!$F:$F,'01_異動主檔'!$B:$B,99,'01_異動主檔'!$D:$D,A221,'01_異動主檔'!$E:$E,"減列")</f>
        <v/>
      </c>
      <c r="H221" s="4">
        <f>-SUMIFS('01_異動主檔'!$F:$F,'01_異動主檔'!$B:$B,99,'01_異動主檔'!$D:$D,A221,'01_異動主檔'!$E:$E,"精簡")</f>
        <v/>
      </c>
      <c r="I221" s="8">
        <f>C221+D221+E221+F221+G221+H221</f>
        <v/>
      </c>
    </row>
    <row r="222" ht="18" customHeight="1">
      <c r="A222" s="5" t="inlineStr">
        <is>
          <t>第一組</t>
        </is>
      </c>
      <c r="B222" s="6" t="n">
        <v>100</v>
      </c>
      <c r="C222" s="8">
        <f>I221</f>
        <v/>
      </c>
      <c r="D222" s="4">
        <f>SUMIFS('01_異動主檔'!$F:$F,'01_異動主檔'!$B:$B,100,'01_異動主檔'!$D:$D,A222,'01_異動主檔'!$E:$E,"移入")</f>
        <v/>
      </c>
      <c r="E222" s="4">
        <f>-SUMIFS('01_異動主檔'!$F:$F,'01_異動主檔'!$B:$B,100,'01_異動主檔'!$D:$D,A222,'01_異動主檔'!$E:$E,"移出")</f>
        <v/>
      </c>
      <c r="F222" s="4">
        <f>SUMIFS('01_異動主檔'!$F:$F,'01_異動主檔'!$B:$B,100,'01_異動主檔'!$D:$D,A222,'01_異動主檔'!$E:$E,"新增")</f>
        <v/>
      </c>
      <c r="G222" s="4">
        <f>-SUMIFS('01_異動主檔'!$F:$F,'01_異動主檔'!$B:$B,100,'01_異動主檔'!$D:$D,A222,'01_異動主檔'!$E:$E,"減列")</f>
        <v/>
      </c>
      <c r="H222" s="4">
        <f>-SUMIFS('01_異動主檔'!$F:$F,'01_異動主檔'!$B:$B,100,'01_異動主檔'!$D:$D,A222,'01_異動主檔'!$E:$E,"精簡")</f>
        <v/>
      </c>
      <c r="I222" s="8">
        <f>C222+D222+E222+F222+G222+H222</f>
        <v/>
      </c>
    </row>
    <row r="223" ht="18" customHeight="1">
      <c r="A223" s="3" t="inlineStr">
        <is>
          <t>第一組</t>
        </is>
      </c>
      <c r="B223" s="4" t="n">
        <v>101</v>
      </c>
      <c r="C223" s="8">
        <f>I222</f>
        <v/>
      </c>
      <c r="D223" s="4">
        <f>SUMIFS('01_異動主檔'!$F:$F,'01_異動主檔'!$B:$B,101,'01_異動主檔'!$D:$D,A223,'01_異動主檔'!$E:$E,"移入")</f>
        <v/>
      </c>
      <c r="E223" s="4">
        <f>-SUMIFS('01_異動主檔'!$F:$F,'01_異動主檔'!$B:$B,101,'01_異動主檔'!$D:$D,A223,'01_異動主檔'!$E:$E,"移出")</f>
        <v/>
      </c>
      <c r="F223" s="4">
        <f>SUMIFS('01_異動主檔'!$F:$F,'01_異動主檔'!$B:$B,101,'01_異動主檔'!$D:$D,A223,'01_異動主檔'!$E:$E,"新增")</f>
        <v/>
      </c>
      <c r="G223" s="4">
        <f>-SUMIFS('01_異動主檔'!$F:$F,'01_異動主檔'!$B:$B,101,'01_異動主檔'!$D:$D,A223,'01_異動主檔'!$E:$E,"減列")</f>
        <v/>
      </c>
      <c r="H223" s="4">
        <f>-SUMIFS('01_異動主檔'!$F:$F,'01_異動主檔'!$B:$B,101,'01_異動主檔'!$D:$D,A223,'01_異動主檔'!$E:$E,"精簡")</f>
        <v/>
      </c>
      <c r="I223" s="8">
        <f>C223+D223+E223+F223+G223+H223</f>
        <v/>
      </c>
    </row>
    <row r="224" ht="18" customHeight="1">
      <c r="A224" s="5" t="inlineStr">
        <is>
          <t>第一組</t>
        </is>
      </c>
      <c r="B224" s="6" t="n">
        <v>102</v>
      </c>
      <c r="C224" s="8">
        <f>I223</f>
        <v/>
      </c>
      <c r="D224" s="4">
        <f>SUMIFS('01_異動主檔'!$F:$F,'01_異動主檔'!$B:$B,102,'01_異動主檔'!$D:$D,A224,'01_異動主檔'!$E:$E,"移入")</f>
        <v/>
      </c>
      <c r="E224" s="4">
        <f>-SUMIFS('01_異動主檔'!$F:$F,'01_異動主檔'!$B:$B,102,'01_異動主檔'!$D:$D,A224,'01_異動主檔'!$E:$E,"移出")</f>
        <v/>
      </c>
      <c r="F224" s="4">
        <f>SUMIFS('01_異動主檔'!$F:$F,'01_異動主檔'!$B:$B,102,'01_異動主檔'!$D:$D,A224,'01_異動主檔'!$E:$E,"新增")</f>
        <v/>
      </c>
      <c r="G224" s="4">
        <f>-SUMIFS('01_異動主檔'!$F:$F,'01_異動主檔'!$B:$B,102,'01_異動主檔'!$D:$D,A224,'01_異動主檔'!$E:$E,"減列")</f>
        <v/>
      </c>
      <c r="H224" s="4">
        <f>-SUMIFS('01_異動主檔'!$F:$F,'01_異動主檔'!$B:$B,102,'01_異動主檔'!$D:$D,A224,'01_異動主檔'!$E:$E,"精簡")</f>
        <v/>
      </c>
      <c r="I224" s="8">
        <f>C224+D224+E224+F224+G224+H224</f>
        <v/>
      </c>
    </row>
    <row r="225" ht="18" customHeight="1">
      <c r="A225" s="3" t="inlineStr">
        <is>
          <t>第一組</t>
        </is>
      </c>
      <c r="B225" s="4" t="n">
        <v>103</v>
      </c>
      <c r="C225" s="8">
        <f>I224</f>
        <v/>
      </c>
      <c r="D225" s="4">
        <f>SUMIFS('01_異動主檔'!$F:$F,'01_異動主檔'!$B:$B,103,'01_異動主檔'!$D:$D,A225,'01_異動主檔'!$E:$E,"移入")</f>
        <v/>
      </c>
      <c r="E225" s="4">
        <f>-SUMIFS('01_異動主檔'!$F:$F,'01_異動主檔'!$B:$B,103,'01_異動主檔'!$D:$D,A225,'01_異動主檔'!$E:$E,"移出")</f>
        <v/>
      </c>
      <c r="F225" s="4">
        <f>SUMIFS('01_異動主檔'!$F:$F,'01_異動主檔'!$B:$B,103,'01_異動主檔'!$D:$D,A225,'01_異動主檔'!$E:$E,"新增")</f>
        <v/>
      </c>
      <c r="G225" s="4">
        <f>-SUMIFS('01_異動主檔'!$F:$F,'01_異動主檔'!$B:$B,103,'01_異動主檔'!$D:$D,A225,'01_異動主檔'!$E:$E,"減列")</f>
        <v/>
      </c>
      <c r="H225" s="4">
        <f>-SUMIFS('01_異動主檔'!$F:$F,'01_異動主檔'!$B:$B,103,'01_異動主檔'!$D:$D,A225,'01_異動主檔'!$E:$E,"精簡")</f>
        <v/>
      </c>
      <c r="I225" s="8">
        <f>C225+D225+E225+F225+G225+H225</f>
        <v/>
      </c>
    </row>
    <row r="226" ht="18" customHeight="1">
      <c r="A226" s="5" t="inlineStr">
        <is>
          <t>第一組</t>
        </is>
      </c>
      <c r="B226" s="6" t="n">
        <v>104</v>
      </c>
      <c r="C226" s="8">
        <f>I225</f>
        <v/>
      </c>
      <c r="D226" s="4">
        <f>SUMIFS('01_異動主檔'!$F:$F,'01_異動主檔'!$B:$B,104,'01_異動主檔'!$D:$D,A226,'01_異動主檔'!$E:$E,"移入")</f>
        <v/>
      </c>
      <c r="E226" s="4">
        <f>-SUMIFS('01_異動主檔'!$F:$F,'01_異動主檔'!$B:$B,104,'01_異動主檔'!$D:$D,A226,'01_異動主檔'!$E:$E,"移出")</f>
        <v/>
      </c>
      <c r="F226" s="4">
        <f>SUMIFS('01_異動主檔'!$F:$F,'01_異動主檔'!$B:$B,104,'01_異動主檔'!$D:$D,A226,'01_異動主檔'!$E:$E,"新增")</f>
        <v/>
      </c>
      <c r="G226" s="4">
        <f>-SUMIFS('01_異動主檔'!$F:$F,'01_異動主檔'!$B:$B,104,'01_異動主檔'!$D:$D,A226,'01_異動主檔'!$E:$E,"減列")</f>
        <v/>
      </c>
      <c r="H226" s="4">
        <f>-SUMIFS('01_異動主檔'!$F:$F,'01_異動主檔'!$B:$B,104,'01_異動主檔'!$D:$D,A226,'01_異動主檔'!$E:$E,"精簡")</f>
        <v/>
      </c>
      <c r="I226" s="8">
        <f>C226+D226+E226+F226+G226+H226</f>
        <v/>
      </c>
    </row>
    <row r="227" ht="18" customHeight="1">
      <c r="A227" s="3" t="inlineStr">
        <is>
          <t>第一組</t>
        </is>
      </c>
      <c r="B227" s="4" t="n">
        <v>105</v>
      </c>
      <c r="C227" s="8">
        <f>I226</f>
        <v/>
      </c>
      <c r="D227" s="4">
        <f>SUMIFS('01_異動主檔'!$F:$F,'01_異動主檔'!$B:$B,105,'01_異動主檔'!$D:$D,A227,'01_異動主檔'!$E:$E,"移入")</f>
        <v/>
      </c>
      <c r="E227" s="4">
        <f>-SUMIFS('01_異動主檔'!$F:$F,'01_異動主檔'!$B:$B,105,'01_異動主檔'!$D:$D,A227,'01_異動主檔'!$E:$E,"移出")</f>
        <v/>
      </c>
      <c r="F227" s="4">
        <f>SUMIFS('01_異動主檔'!$F:$F,'01_異動主檔'!$B:$B,105,'01_異動主檔'!$D:$D,A227,'01_異動主檔'!$E:$E,"新增")</f>
        <v/>
      </c>
      <c r="G227" s="4">
        <f>-SUMIFS('01_異動主檔'!$F:$F,'01_異動主檔'!$B:$B,105,'01_異動主檔'!$D:$D,A227,'01_異動主檔'!$E:$E,"減列")</f>
        <v/>
      </c>
      <c r="H227" s="4">
        <f>-SUMIFS('01_異動主檔'!$F:$F,'01_異動主檔'!$B:$B,105,'01_異動主檔'!$D:$D,A227,'01_異動主檔'!$E:$E,"精簡")</f>
        <v/>
      </c>
      <c r="I227" s="8">
        <f>C227+D227+E227+F227+G227+H227</f>
        <v/>
      </c>
    </row>
    <row r="228" ht="18" customHeight="1">
      <c r="A228" s="5" t="inlineStr">
        <is>
          <t>第一組</t>
        </is>
      </c>
      <c r="B228" s="6" t="n">
        <v>106</v>
      </c>
      <c r="C228" s="8">
        <f>I227</f>
        <v/>
      </c>
      <c r="D228" s="4">
        <f>SUMIFS('01_異動主檔'!$F:$F,'01_異動主檔'!$B:$B,106,'01_異動主檔'!$D:$D,A228,'01_異動主檔'!$E:$E,"移入")</f>
        <v/>
      </c>
      <c r="E228" s="4">
        <f>-SUMIFS('01_異動主檔'!$F:$F,'01_異動主檔'!$B:$B,106,'01_異動主檔'!$D:$D,A228,'01_異動主檔'!$E:$E,"移出")</f>
        <v/>
      </c>
      <c r="F228" s="4">
        <f>SUMIFS('01_異動主檔'!$F:$F,'01_異動主檔'!$B:$B,106,'01_異動主檔'!$D:$D,A228,'01_異動主檔'!$E:$E,"新增")</f>
        <v/>
      </c>
      <c r="G228" s="4">
        <f>-SUMIFS('01_異動主檔'!$F:$F,'01_異動主檔'!$B:$B,106,'01_異動主檔'!$D:$D,A228,'01_異動主檔'!$E:$E,"減列")</f>
        <v/>
      </c>
      <c r="H228" s="4">
        <f>-SUMIFS('01_異動主檔'!$F:$F,'01_異動主檔'!$B:$B,106,'01_異動主檔'!$D:$D,A228,'01_異動主檔'!$E:$E,"精簡")</f>
        <v/>
      </c>
      <c r="I228" s="8">
        <f>C228+D228+E228+F228+G228+H228</f>
        <v/>
      </c>
    </row>
    <row r="229" ht="18" customHeight="1">
      <c r="A229" s="3" t="inlineStr">
        <is>
          <t>第一組</t>
        </is>
      </c>
      <c r="B229" s="4" t="n">
        <v>107</v>
      </c>
      <c r="C229" s="8">
        <f>I228</f>
        <v/>
      </c>
      <c r="D229" s="4">
        <f>SUMIFS('01_異動主檔'!$F:$F,'01_異動主檔'!$B:$B,107,'01_異動主檔'!$D:$D,A229,'01_異動主檔'!$E:$E,"移入")</f>
        <v/>
      </c>
      <c r="E229" s="4">
        <f>-SUMIFS('01_異動主檔'!$F:$F,'01_異動主檔'!$B:$B,107,'01_異動主檔'!$D:$D,A229,'01_異動主檔'!$E:$E,"移出")</f>
        <v/>
      </c>
      <c r="F229" s="4">
        <f>SUMIFS('01_異動主檔'!$F:$F,'01_異動主檔'!$B:$B,107,'01_異動主檔'!$D:$D,A229,'01_異動主檔'!$E:$E,"新增")</f>
        <v/>
      </c>
      <c r="G229" s="4">
        <f>-SUMIFS('01_異動主檔'!$F:$F,'01_異動主檔'!$B:$B,107,'01_異動主檔'!$D:$D,A229,'01_異動主檔'!$E:$E,"減列")</f>
        <v/>
      </c>
      <c r="H229" s="4">
        <f>-SUMIFS('01_異動主檔'!$F:$F,'01_異動主檔'!$B:$B,107,'01_異動主檔'!$D:$D,A229,'01_異動主檔'!$E:$E,"精簡")</f>
        <v/>
      </c>
      <c r="I229" s="8">
        <f>C229+D229+E229+F229+G229+H229</f>
        <v/>
      </c>
    </row>
    <row r="230" ht="18" customHeight="1">
      <c r="A230" s="5" t="inlineStr">
        <is>
          <t>第一組</t>
        </is>
      </c>
      <c r="B230" s="6" t="n">
        <v>108</v>
      </c>
      <c r="C230" s="8">
        <f>I229</f>
        <v/>
      </c>
      <c r="D230" s="4">
        <f>SUMIFS('01_異動主檔'!$F:$F,'01_異動主檔'!$B:$B,108,'01_異動主檔'!$D:$D,A230,'01_異動主檔'!$E:$E,"移入")</f>
        <v/>
      </c>
      <c r="E230" s="4">
        <f>-SUMIFS('01_異動主檔'!$F:$F,'01_異動主檔'!$B:$B,108,'01_異動主檔'!$D:$D,A230,'01_異動主檔'!$E:$E,"移出")</f>
        <v/>
      </c>
      <c r="F230" s="4">
        <f>SUMIFS('01_異動主檔'!$F:$F,'01_異動主檔'!$B:$B,108,'01_異動主檔'!$D:$D,A230,'01_異動主檔'!$E:$E,"新增")</f>
        <v/>
      </c>
      <c r="G230" s="4">
        <f>-SUMIFS('01_異動主檔'!$F:$F,'01_異動主檔'!$B:$B,108,'01_異動主檔'!$D:$D,A230,'01_異動主檔'!$E:$E,"減列")</f>
        <v/>
      </c>
      <c r="H230" s="4">
        <f>-SUMIFS('01_異動主檔'!$F:$F,'01_異動主檔'!$B:$B,108,'01_異動主檔'!$D:$D,A230,'01_異動主檔'!$E:$E,"精簡")</f>
        <v/>
      </c>
      <c r="I230" s="8">
        <f>C230+D230+E230+F230+G230+H230</f>
        <v/>
      </c>
    </row>
    <row r="231" ht="18" customHeight="1">
      <c r="A231" s="3" t="inlineStr">
        <is>
          <t>第一組</t>
        </is>
      </c>
      <c r="B231" s="4" t="n">
        <v>109</v>
      </c>
      <c r="C231" s="8">
        <f>I230</f>
        <v/>
      </c>
      <c r="D231" s="4">
        <f>SUMIFS('01_異動主檔'!$F:$F,'01_異動主檔'!$B:$B,109,'01_異動主檔'!$D:$D,A231,'01_異動主檔'!$E:$E,"移入")</f>
        <v/>
      </c>
      <c r="E231" s="4">
        <f>-SUMIFS('01_異動主檔'!$F:$F,'01_異動主檔'!$B:$B,109,'01_異動主檔'!$D:$D,A231,'01_異動主檔'!$E:$E,"移出")</f>
        <v/>
      </c>
      <c r="F231" s="4">
        <f>SUMIFS('01_異動主檔'!$F:$F,'01_異動主檔'!$B:$B,109,'01_異動主檔'!$D:$D,A231,'01_異動主檔'!$E:$E,"新增")</f>
        <v/>
      </c>
      <c r="G231" s="4">
        <f>-SUMIFS('01_異動主檔'!$F:$F,'01_異動主檔'!$B:$B,109,'01_異動主檔'!$D:$D,A231,'01_異動主檔'!$E:$E,"減列")</f>
        <v/>
      </c>
      <c r="H231" s="4">
        <f>-SUMIFS('01_異動主檔'!$F:$F,'01_異動主檔'!$B:$B,109,'01_異動主檔'!$D:$D,A231,'01_異動主檔'!$E:$E,"精簡")</f>
        <v/>
      </c>
      <c r="I231" s="8">
        <f>C231+D231+E231+F231+G231+H231</f>
        <v/>
      </c>
    </row>
    <row r="232" ht="18" customHeight="1">
      <c r="A232" s="5" t="inlineStr">
        <is>
          <t>第一組</t>
        </is>
      </c>
      <c r="B232" s="6" t="n">
        <v>110</v>
      </c>
      <c r="C232" s="8">
        <f>I231</f>
        <v/>
      </c>
      <c r="D232" s="4">
        <f>SUMIFS('01_異動主檔'!$F:$F,'01_異動主檔'!$B:$B,110,'01_異動主檔'!$D:$D,A232,'01_異動主檔'!$E:$E,"移入")</f>
        <v/>
      </c>
      <c r="E232" s="4">
        <f>-SUMIFS('01_異動主檔'!$F:$F,'01_異動主檔'!$B:$B,110,'01_異動主檔'!$D:$D,A232,'01_異動主檔'!$E:$E,"移出")</f>
        <v/>
      </c>
      <c r="F232" s="4">
        <f>SUMIFS('01_異動主檔'!$F:$F,'01_異動主檔'!$B:$B,110,'01_異動主檔'!$D:$D,A232,'01_異動主檔'!$E:$E,"新增")</f>
        <v/>
      </c>
      <c r="G232" s="4">
        <f>-SUMIFS('01_異動主檔'!$F:$F,'01_異動主檔'!$B:$B,110,'01_異動主檔'!$D:$D,A232,'01_異動主檔'!$E:$E,"減列")</f>
        <v/>
      </c>
      <c r="H232" s="4">
        <f>-SUMIFS('01_異動主檔'!$F:$F,'01_異動主檔'!$B:$B,110,'01_異動主檔'!$D:$D,A232,'01_異動主檔'!$E:$E,"精簡")</f>
        <v/>
      </c>
      <c r="I232" s="8">
        <f>C232+D232+E232+F232+G232+H232</f>
        <v/>
      </c>
    </row>
    <row r="233" ht="18" customHeight="1">
      <c r="A233" s="3" t="inlineStr">
        <is>
          <t>第一組</t>
        </is>
      </c>
      <c r="B233" s="4" t="n">
        <v>111</v>
      </c>
      <c r="C233" s="8">
        <f>I232</f>
        <v/>
      </c>
      <c r="D233" s="4">
        <f>SUMIFS('01_異動主檔'!$F:$F,'01_異動主檔'!$B:$B,111,'01_異動主檔'!$D:$D,A233,'01_異動主檔'!$E:$E,"移入")</f>
        <v/>
      </c>
      <c r="E233" s="4">
        <f>-SUMIFS('01_異動主檔'!$F:$F,'01_異動主檔'!$B:$B,111,'01_異動主檔'!$D:$D,A233,'01_異動主檔'!$E:$E,"移出")</f>
        <v/>
      </c>
      <c r="F233" s="4">
        <f>SUMIFS('01_異動主檔'!$F:$F,'01_異動主檔'!$B:$B,111,'01_異動主檔'!$D:$D,A233,'01_異動主檔'!$E:$E,"新增")</f>
        <v/>
      </c>
      <c r="G233" s="4">
        <f>-SUMIFS('01_異動主檔'!$F:$F,'01_異動主檔'!$B:$B,111,'01_異動主檔'!$D:$D,A233,'01_異動主檔'!$E:$E,"減列")</f>
        <v/>
      </c>
      <c r="H233" s="4">
        <f>-SUMIFS('01_異動主檔'!$F:$F,'01_異動主檔'!$B:$B,111,'01_異動主檔'!$D:$D,A233,'01_異動主檔'!$E:$E,"精簡")</f>
        <v/>
      </c>
      <c r="I233" s="8">
        <f>C233+D233+E233+F233+G233+H233</f>
        <v/>
      </c>
    </row>
    <row r="234" ht="18" customHeight="1">
      <c r="A234" s="5" t="inlineStr">
        <is>
          <t>第一組</t>
        </is>
      </c>
      <c r="B234" s="6" t="n">
        <v>112</v>
      </c>
      <c r="C234" s="8">
        <f>I233</f>
        <v/>
      </c>
      <c r="D234" s="4">
        <f>SUMIFS('01_異動主檔'!$F:$F,'01_異動主檔'!$B:$B,112,'01_異動主檔'!$D:$D,A234,'01_異動主檔'!$E:$E,"移入")</f>
        <v/>
      </c>
      <c r="E234" s="4">
        <f>-SUMIFS('01_異動主檔'!$F:$F,'01_異動主檔'!$B:$B,112,'01_異動主檔'!$D:$D,A234,'01_異動主檔'!$E:$E,"移出")</f>
        <v/>
      </c>
      <c r="F234" s="4">
        <f>SUMIFS('01_異動主檔'!$F:$F,'01_異動主檔'!$B:$B,112,'01_異動主檔'!$D:$D,A234,'01_異動主檔'!$E:$E,"新增")</f>
        <v/>
      </c>
      <c r="G234" s="4">
        <f>-SUMIFS('01_異動主檔'!$F:$F,'01_異動主檔'!$B:$B,112,'01_異動主檔'!$D:$D,A234,'01_異動主檔'!$E:$E,"減列")</f>
        <v/>
      </c>
      <c r="H234" s="4">
        <f>-SUMIFS('01_異動主檔'!$F:$F,'01_異動主檔'!$B:$B,112,'01_異動主檔'!$D:$D,A234,'01_異動主檔'!$E:$E,"精簡")</f>
        <v/>
      </c>
      <c r="I234" s="8">
        <f>C234+D234+E234+F234+G234+H234</f>
        <v/>
      </c>
    </row>
    <row r="235" ht="18" customHeight="1">
      <c r="A235" s="3" t="inlineStr">
        <is>
          <t>第一組</t>
        </is>
      </c>
      <c r="B235" s="4" t="n">
        <v>113</v>
      </c>
      <c r="C235" s="8">
        <f>I234</f>
        <v/>
      </c>
      <c r="D235" s="4">
        <f>SUMIFS('01_異動主檔'!$F:$F,'01_異動主檔'!$B:$B,113,'01_異動主檔'!$D:$D,A235,'01_異動主檔'!$E:$E,"移入")</f>
        <v/>
      </c>
      <c r="E235" s="4">
        <f>-SUMIFS('01_異動主檔'!$F:$F,'01_異動主檔'!$B:$B,113,'01_異動主檔'!$D:$D,A235,'01_異動主檔'!$E:$E,"移出")</f>
        <v/>
      </c>
      <c r="F235" s="4">
        <f>SUMIFS('01_異動主檔'!$F:$F,'01_異動主檔'!$B:$B,113,'01_異動主檔'!$D:$D,A235,'01_異動主檔'!$E:$E,"新增")</f>
        <v/>
      </c>
      <c r="G235" s="4">
        <f>-SUMIFS('01_異動主檔'!$F:$F,'01_異動主檔'!$B:$B,113,'01_異動主檔'!$D:$D,A235,'01_異動主檔'!$E:$E,"減列")</f>
        <v/>
      </c>
      <c r="H235" s="4">
        <f>-SUMIFS('01_異動主檔'!$F:$F,'01_異動主檔'!$B:$B,113,'01_異動主檔'!$D:$D,A235,'01_異動主檔'!$E:$E,"精簡")</f>
        <v/>
      </c>
      <c r="I235" s="8">
        <f>C235+D235+E235+F235+G235+H235</f>
        <v/>
      </c>
    </row>
    <row r="236" ht="18" customHeight="1">
      <c r="A236" s="5" t="inlineStr">
        <is>
          <t>第一組</t>
        </is>
      </c>
      <c r="B236" s="6" t="n">
        <v>114</v>
      </c>
      <c r="C236" s="8">
        <f>I235</f>
        <v/>
      </c>
      <c r="D236" s="4">
        <f>SUMIFS('01_異動主檔'!$F:$F,'01_異動主檔'!$B:$B,114,'01_異動主檔'!$D:$D,A236,'01_異動主檔'!$E:$E,"移入")</f>
        <v/>
      </c>
      <c r="E236" s="4">
        <f>-SUMIFS('01_異動主檔'!$F:$F,'01_異動主檔'!$B:$B,114,'01_異動主檔'!$D:$D,A236,'01_異動主檔'!$E:$E,"移出")</f>
        <v/>
      </c>
      <c r="F236" s="4">
        <f>SUMIFS('01_異動主檔'!$F:$F,'01_異動主檔'!$B:$B,114,'01_異動主檔'!$D:$D,A236,'01_異動主檔'!$E:$E,"新增")</f>
        <v/>
      </c>
      <c r="G236" s="4">
        <f>-SUMIFS('01_異動主檔'!$F:$F,'01_異動主檔'!$B:$B,114,'01_異動主檔'!$D:$D,A236,'01_異動主檔'!$E:$E,"減列")</f>
        <v/>
      </c>
      <c r="H236" s="4">
        <f>-SUMIFS('01_異動主檔'!$F:$F,'01_異動主檔'!$B:$B,114,'01_異動主檔'!$D:$D,A236,'01_異動主檔'!$E:$E,"精簡")</f>
        <v/>
      </c>
      <c r="I236" s="8">
        <f>C236+D236+E236+F236+G236+H236</f>
        <v/>
      </c>
    </row>
    <row r="237" ht="18" customHeight="1">
      <c r="A237" s="3" t="inlineStr">
        <is>
          <t>第一組</t>
        </is>
      </c>
      <c r="B237" s="4" t="n">
        <v>115</v>
      </c>
      <c r="C237" s="8">
        <f>I236</f>
        <v/>
      </c>
      <c r="D237" s="4">
        <f>SUMIFS('01_異動主檔'!$F:$F,'01_異動主檔'!$B:$B,115,'01_異動主檔'!$D:$D,A237,'01_異動主檔'!$E:$E,"移入")</f>
        <v/>
      </c>
      <c r="E237" s="4">
        <f>-SUMIFS('01_異動主檔'!$F:$F,'01_異動主檔'!$B:$B,115,'01_異動主檔'!$D:$D,A237,'01_異動主檔'!$E:$E,"移出")</f>
        <v/>
      </c>
      <c r="F237" s="4">
        <f>SUMIFS('01_異動主檔'!$F:$F,'01_異動主檔'!$B:$B,115,'01_異動主檔'!$D:$D,A237,'01_異動主檔'!$E:$E,"新增")</f>
        <v/>
      </c>
      <c r="G237" s="4">
        <f>-SUMIFS('01_異動主檔'!$F:$F,'01_異動主檔'!$B:$B,115,'01_異動主檔'!$D:$D,A237,'01_異動主檔'!$E:$E,"減列")</f>
        <v/>
      </c>
      <c r="H237" s="4">
        <f>-SUMIFS('01_異動主檔'!$F:$F,'01_異動主檔'!$B:$B,115,'01_異動主檔'!$D:$D,A237,'01_異動主檔'!$E:$E,"精簡")</f>
        <v/>
      </c>
      <c r="I237" s="8">
        <f>C237+D237+E237+F237+G237+H237</f>
        <v/>
      </c>
    </row>
    <row r="238" ht="18" customHeight="1">
      <c r="A238" s="5" t="inlineStr">
        <is>
          <t>第一組</t>
        </is>
      </c>
      <c r="B238" s="6" t="n">
        <v>116</v>
      </c>
      <c r="C238" s="8">
        <f>I237</f>
        <v/>
      </c>
      <c r="D238" s="4">
        <f>SUMIFS('01_異動主檔'!$F:$F,'01_異動主檔'!$B:$B,116,'01_異動主檔'!$D:$D,A238,'01_異動主檔'!$E:$E,"移入")</f>
        <v/>
      </c>
      <c r="E238" s="4">
        <f>-SUMIFS('01_異動主檔'!$F:$F,'01_異動主檔'!$B:$B,116,'01_異動主檔'!$D:$D,A238,'01_異動主檔'!$E:$E,"移出")</f>
        <v/>
      </c>
      <c r="F238" s="4">
        <f>SUMIFS('01_異動主檔'!$F:$F,'01_異動主檔'!$B:$B,116,'01_異動主檔'!$D:$D,A238,'01_異動主檔'!$E:$E,"新增")</f>
        <v/>
      </c>
      <c r="G238" s="4">
        <f>-SUMIFS('01_異動主檔'!$F:$F,'01_異動主檔'!$B:$B,116,'01_異動主檔'!$D:$D,A238,'01_異動主檔'!$E:$E,"減列")</f>
        <v/>
      </c>
      <c r="H238" s="4">
        <f>-SUMIFS('01_異動主檔'!$F:$F,'01_異動主檔'!$B:$B,116,'01_異動主檔'!$D:$D,A238,'01_異動主檔'!$E:$E,"精簡")</f>
        <v/>
      </c>
      <c r="I238" s="8">
        <f>C238+D238+E238+F238+G238+H238</f>
        <v/>
      </c>
    </row>
    <row r="239" ht="18" customHeight="1">
      <c r="A239" s="3" t="inlineStr">
        <is>
          <t>第一組</t>
        </is>
      </c>
      <c r="B239" s="4" t="n">
        <v>117</v>
      </c>
      <c r="C239" s="8">
        <f>I238</f>
        <v/>
      </c>
      <c r="D239" s="4">
        <f>SUMIFS('01_異動主檔'!$F:$F,'01_異動主檔'!$B:$B,117,'01_異動主檔'!$D:$D,A239,'01_異動主檔'!$E:$E,"移入")</f>
        <v/>
      </c>
      <c r="E239" s="4">
        <f>-SUMIFS('01_異動主檔'!$F:$F,'01_異動主檔'!$B:$B,117,'01_異動主檔'!$D:$D,A239,'01_異動主檔'!$E:$E,"移出")</f>
        <v/>
      </c>
      <c r="F239" s="4">
        <f>SUMIFS('01_異動主檔'!$F:$F,'01_異動主檔'!$B:$B,117,'01_異動主檔'!$D:$D,A239,'01_異動主檔'!$E:$E,"新增")</f>
        <v/>
      </c>
      <c r="G239" s="4">
        <f>-SUMIFS('01_異動主檔'!$F:$F,'01_異動主檔'!$B:$B,117,'01_異動主檔'!$D:$D,A239,'01_異動主檔'!$E:$E,"減列")</f>
        <v/>
      </c>
      <c r="H239" s="4">
        <f>-SUMIFS('01_異動主檔'!$F:$F,'01_異動主檔'!$B:$B,117,'01_異動主檔'!$D:$D,A239,'01_異動主檔'!$E:$E,"精簡")</f>
        <v/>
      </c>
      <c r="I239" s="8">
        <f>C239+D239+E239+F239+G239+H239</f>
        <v/>
      </c>
    </row>
    <row r="240" ht="18" customHeight="1">
      <c r="A240" s="5" t="inlineStr">
        <is>
          <t>第一組</t>
        </is>
      </c>
      <c r="B240" s="6" t="n">
        <v>118</v>
      </c>
      <c r="C240" s="8">
        <f>I239</f>
        <v/>
      </c>
      <c r="D240" s="4">
        <f>SUMIFS('01_異動主檔'!$F:$F,'01_異動主檔'!$B:$B,118,'01_異動主檔'!$D:$D,A240,'01_異動主檔'!$E:$E,"移入")</f>
        <v/>
      </c>
      <c r="E240" s="4">
        <f>-SUMIFS('01_異動主檔'!$F:$F,'01_異動主檔'!$B:$B,118,'01_異動主檔'!$D:$D,A240,'01_異動主檔'!$E:$E,"移出")</f>
        <v/>
      </c>
      <c r="F240" s="4">
        <f>SUMIFS('01_異動主檔'!$F:$F,'01_異動主檔'!$B:$B,118,'01_異動主檔'!$D:$D,A240,'01_異動主檔'!$E:$E,"新增")</f>
        <v/>
      </c>
      <c r="G240" s="4">
        <f>-SUMIFS('01_異動主檔'!$F:$F,'01_異動主檔'!$B:$B,118,'01_異動主檔'!$D:$D,A240,'01_異動主檔'!$E:$E,"減列")</f>
        <v/>
      </c>
      <c r="H240" s="4">
        <f>-SUMIFS('01_異動主檔'!$F:$F,'01_異動主檔'!$B:$B,118,'01_異動主檔'!$D:$D,A240,'01_異動主檔'!$E:$E,"精簡")</f>
        <v/>
      </c>
      <c r="I240" s="8">
        <f>C240+D240+E240+F240+G240+H240</f>
        <v/>
      </c>
    </row>
    <row r="241" ht="18" customHeight="1">
      <c r="A241" s="3" t="inlineStr">
        <is>
          <t>第一組</t>
        </is>
      </c>
      <c r="B241" s="4" t="n">
        <v>119</v>
      </c>
      <c r="C241" s="8">
        <f>I240</f>
        <v/>
      </c>
      <c r="D241" s="4">
        <f>SUMIFS('01_異動主檔'!$F:$F,'01_異動主檔'!$B:$B,119,'01_異動主檔'!$D:$D,A241,'01_異動主檔'!$E:$E,"移入")</f>
        <v/>
      </c>
      <c r="E241" s="4">
        <f>-SUMIFS('01_異動主檔'!$F:$F,'01_異動主檔'!$B:$B,119,'01_異動主檔'!$D:$D,A241,'01_異動主檔'!$E:$E,"移出")</f>
        <v/>
      </c>
      <c r="F241" s="4">
        <f>SUMIFS('01_異動主檔'!$F:$F,'01_異動主檔'!$B:$B,119,'01_異動主檔'!$D:$D,A241,'01_異動主檔'!$E:$E,"新增")</f>
        <v/>
      </c>
      <c r="G241" s="4">
        <f>-SUMIFS('01_異動主檔'!$F:$F,'01_異動主檔'!$B:$B,119,'01_異動主檔'!$D:$D,A241,'01_異動主檔'!$E:$E,"減列")</f>
        <v/>
      </c>
      <c r="H241" s="4">
        <f>-SUMIFS('01_異動主檔'!$F:$F,'01_異動主檔'!$B:$B,119,'01_異動主檔'!$D:$D,A241,'01_異動主檔'!$E:$E,"精簡")</f>
        <v/>
      </c>
      <c r="I241" s="8">
        <f>C241+D241+E241+F241+G241+H241</f>
        <v/>
      </c>
    </row>
    <row r="242" ht="18" customHeight="1">
      <c r="A242" s="5" t="inlineStr">
        <is>
          <t>第一組</t>
        </is>
      </c>
      <c r="B242" s="6" t="n">
        <v>120</v>
      </c>
      <c r="C242" s="8">
        <f>I241</f>
        <v/>
      </c>
      <c r="D242" s="4">
        <f>SUMIFS('01_異動主檔'!$F:$F,'01_異動主檔'!$B:$B,120,'01_異動主檔'!$D:$D,A242,'01_異動主檔'!$E:$E,"移入")</f>
        <v/>
      </c>
      <c r="E242" s="4">
        <f>-SUMIFS('01_異動主檔'!$F:$F,'01_異動主檔'!$B:$B,120,'01_異動主檔'!$D:$D,A242,'01_異動主檔'!$E:$E,"移出")</f>
        <v/>
      </c>
      <c r="F242" s="4">
        <f>SUMIFS('01_異動主檔'!$F:$F,'01_異動主檔'!$B:$B,120,'01_異動主檔'!$D:$D,A242,'01_異動主檔'!$E:$E,"新增")</f>
        <v/>
      </c>
      <c r="G242" s="4">
        <f>-SUMIFS('01_異動主檔'!$F:$F,'01_異動主檔'!$B:$B,120,'01_異動主檔'!$D:$D,A242,'01_異動主檔'!$E:$E,"減列")</f>
        <v/>
      </c>
      <c r="H242" s="4">
        <f>-SUMIFS('01_異動主檔'!$F:$F,'01_異動主檔'!$B:$B,120,'01_異動主檔'!$D:$D,A242,'01_異動主檔'!$E:$E,"精簡")</f>
        <v/>
      </c>
      <c r="I242" s="8">
        <f>C242+D242+E242+F242+G242+H242</f>
        <v/>
      </c>
    </row>
    <row r="243" ht="18" customHeight="1">
      <c r="A243" s="3" t="inlineStr">
        <is>
          <t>第一組</t>
        </is>
      </c>
      <c r="B243" s="4" t="n">
        <v>121</v>
      </c>
      <c r="C243" s="8">
        <f>I242</f>
        <v/>
      </c>
      <c r="D243" s="4">
        <f>SUMIFS('01_異動主檔'!$F:$F,'01_異動主檔'!$B:$B,121,'01_異動主檔'!$D:$D,A243,'01_異動主檔'!$E:$E,"移入")</f>
        <v/>
      </c>
      <c r="E243" s="4">
        <f>-SUMIFS('01_異動主檔'!$F:$F,'01_異動主檔'!$B:$B,121,'01_異動主檔'!$D:$D,A243,'01_異動主檔'!$E:$E,"移出")</f>
        <v/>
      </c>
      <c r="F243" s="4">
        <f>SUMIFS('01_異動主檔'!$F:$F,'01_異動主檔'!$B:$B,121,'01_異動主檔'!$D:$D,A243,'01_異動主檔'!$E:$E,"新增")</f>
        <v/>
      </c>
      <c r="G243" s="4">
        <f>-SUMIFS('01_異動主檔'!$F:$F,'01_異動主檔'!$B:$B,121,'01_異動主檔'!$D:$D,A243,'01_異動主檔'!$E:$E,"減列")</f>
        <v/>
      </c>
      <c r="H243" s="4">
        <f>-SUMIFS('01_異動主檔'!$F:$F,'01_異動主檔'!$B:$B,121,'01_異動主檔'!$D:$D,A243,'01_異動主檔'!$E:$E,"精簡")</f>
        <v/>
      </c>
      <c r="I243" s="8">
        <f>C243+D243+E243+F243+G243+H243</f>
        <v/>
      </c>
    </row>
    <row r="244" ht="18" customHeight="1">
      <c r="A244" s="5" t="inlineStr">
        <is>
          <t>第一組</t>
        </is>
      </c>
      <c r="B244" s="6" t="n">
        <v>122</v>
      </c>
      <c r="C244" s="8">
        <f>I243</f>
        <v/>
      </c>
      <c r="D244" s="4">
        <f>SUMIFS('01_異動主檔'!$F:$F,'01_異動主檔'!$B:$B,122,'01_異動主檔'!$D:$D,A244,'01_異動主檔'!$E:$E,"移入")</f>
        <v/>
      </c>
      <c r="E244" s="4">
        <f>-SUMIFS('01_異動主檔'!$F:$F,'01_異動主檔'!$B:$B,122,'01_異動主檔'!$D:$D,A244,'01_異動主檔'!$E:$E,"移出")</f>
        <v/>
      </c>
      <c r="F244" s="4">
        <f>SUMIFS('01_異動主檔'!$F:$F,'01_異動主檔'!$B:$B,122,'01_異動主檔'!$D:$D,A244,'01_異動主檔'!$E:$E,"新增")</f>
        <v/>
      </c>
      <c r="G244" s="4">
        <f>-SUMIFS('01_異動主檔'!$F:$F,'01_異動主檔'!$B:$B,122,'01_異動主檔'!$D:$D,A244,'01_異動主檔'!$E:$E,"減列")</f>
        <v/>
      </c>
      <c r="H244" s="4">
        <f>-SUMIFS('01_異動主檔'!$F:$F,'01_異動主檔'!$B:$B,122,'01_異動主檔'!$D:$D,A244,'01_異動主檔'!$E:$E,"精簡")</f>
        <v/>
      </c>
      <c r="I244" s="8">
        <f>C244+D244+E244+F244+G244+H244</f>
        <v/>
      </c>
    </row>
    <row r="245" ht="18" customHeight="1">
      <c r="A245" s="3" t="inlineStr">
        <is>
          <t>第一組</t>
        </is>
      </c>
      <c r="B245" s="4" t="n">
        <v>123</v>
      </c>
      <c r="C245" s="8">
        <f>I244</f>
        <v/>
      </c>
      <c r="D245" s="4">
        <f>SUMIFS('01_異動主檔'!$F:$F,'01_異動主檔'!$B:$B,123,'01_異動主檔'!$D:$D,A245,'01_異動主檔'!$E:$E,"移入")</f>
        <v/>
      </c>
      <c r="E245" s="4">
        <f>-SUMIFS('01_異動主檔'!$F:$F,'01_異動主檔'!$B:$B,123,'01_異動主檔'!$D:$D,A245,'01_異動主檔'!$E:$E,"移出")</f>
        <v/>
      </c>
      <c r="F245" s="4">
        <f>SUMIFS('01_異動主檔'!$F:$F,'01_異動主檔'!$B:$B,123,'01_異動主檔'!$D:$D,A245,'01_異動主檔'!$E:$E,"新增")</f>
        <v/>
      </c>
      <c r="G245" s="4">
        <f>-SUMIFS('01_異動主檔'!$F:$F,'01_異動主檔'!$B:$B,123,'01_異動主檔'!$D:$D,A245,'01_異動主檔'!$E:$E,"減列")</f>
        <v/>
      </c>
      <c r="H245" s="4">
        <f>-SUMIFS('01_異動主檔'!$F:$F,'01_異動主檔'!$B:$B,123,'01_異動主檔'!$D:$D,A245,'01_異動主檔'!$E:$E,"精簡")</f>
        <v/>
      </c>
      <c r="I245" s="8">
        <f>C245+D245+E245+F245+G245+H245</f>
        <v/>
      </c>
    </row>
    <row r="246" ht="18" customHeight="1">
      <c r="A246" s="5" t="inlineStr">
        <is>
          <t>第一組</t>
        </is>
      </c>
      <c r="B246" s="6" t="n">
        <v>124</v>
      </c>
      <c r="C246" s="8">
        <f>I245</f>
        <v/>
      </c>
      <c r="D246" s="4">
        <f>SUMIFS('01_異動主檔'!$F:$F,'01_異動主檔'!$B:$B,124,'01_異動主檔'!$D:$D,A246,'01_異動主檔'!$E:$E,"移入")</f>
        <v/>
      </c>
      <c r="E246" s="4">
        <f>-SUMIFS('01_異動主檔'!$F:$F,'01_異動主檔'!$B:$B,124,'01_異動主檔'!$D:$D,A246,'01_異動主檔'!$E:$E,"移出")</f>
        <v/>
      </c>
      <c r="F246" s="4">
        <f>SUMIFS('01_異動主檔'!$F:$F,'01_異動主檔'!$B:$B,124,'01_異動主檔'!$D:$D,A246,'01_異動主檔'!$E:$E,"新增")</f>
        <v/>
      </c>
      <c r="G246" s="4">
        <f>-SUMIFS('01_異動主檔'!$F:$F,'01_異動主檔'!$B:$B,124,'01_異動主檔'!$D:$D,A246,'01_異動主檔'!$E:$E,"減列")</f>
        <v/>
      </c>
      <c r="H246" s="4">
        <f>-SUMIFS('01_異動主檔'!$F:$F,'01_異動主檔'!$B:$B,124,'01_異動主檔'!$D:$D,A246,'01_異動主檔'!$E:$E,"精簡")</f>
        <v/>
      </c>
      <c r="I246" s="8">
        <f>C246+D246+E246+F246+G246+H246</f>
        <v/>
      </c>
    </row>
    <row r="247" ht="18" customHeight="1">
      <c r="A247" s="3" t="inlineStr">
        <is>
          <t>第一組</t>
        </is>
      </c>
      <c r="B247" s="4" t="n">
        <v>125</v>
      </c>
      <c r="C247" s="8">
        <f>I246</f>
        <v/>
      </c>
      <c r="D247" s="4">
        <f>SUMIFS('01_異動主檔'!$F:$F,'01_異動主檔'!$B:$B,125,'01_異動主檔'!$D:$D,A247,'01_異動主檔'!$E:$E,"移入")</f>
        <v/>
      </c>
      <c r="E247" s="4">
        <f>-SUMIFS('01_異動主檔'!$F:$F,'01_異動主檔'!$B:$B,125,'01_異動主檔'!$D:$D,A247,'01_異動主檔'!$E:$E,"移出")</f>
        <v/>
      </c>
      <c r="F247" s="4">
        <f>SUMIFS('01_異動主檔'!$F:$F,'01_異動主檔'!$B:$B,125,'01_異動主檔'!$D:$D,A247,'01_異動主檔'!$E:$E,"新增")</f>
        <v/>
      </c>
      <c r="G247" s="4">
        <f>-SUMIFS('01_異動主檔'!$F:$F,'01_異動主檔'!$B:$B,125,'01_異動主檔'!$D:$D,A247,'01_異動主檔'!$E:$E,"減列")</f>
        <v/>
      </c>
      <c r="H247" s="4">
        <f>-SUMIFS('01_異動主檔'!$F:$F,'01_異動主檔'!$B:$B,125,'01_異動主檔'!$D:$D,A247,'01_異動主檔'!$E:$E,"精簡")</f>
        <v/>
      </c>
      <c r="I247" s="8">
        <f>C247+D247+E247+F247+G247+H247</f>
        <v/>
      </c>
    </row>
    <row r="248" ht="18" customHeight="1">
      <c r="A248" s="5" t="inlineStr">
        <is>
          <t>第二組</t>
        </is>
      </c>
      <c r="B248" s="6" t="n">
        <v>99</v>
      </c>
      <c r="C248" s="8">
        <f>'02_年初員額設定'!B14</f>
        <v/>
      </c>
      <c r="D248" s="4">
        <f>SUMIFS('01_異動主檔'!$F:$F,'01_異動主檔'!$B:$B,99,'01_異動主檔'!$D:$D,A248,'01_異動主檔'!$E:$E,"移入")</f>
        <v/>
      </c>
      <c r="E248" s="4">
        <f>-SUMIFS('01_異動主檔'!$F:$F,'01_異動主檔'!$B:$B,99,'01_異動主檔'!$D:$D,A248,'01_異動主檔'!$E:$E,"移出")</f>
        <v/>
      </c>
      <c r="F248" s="4">
        <f>SUMIFS('01_異動主檔'!$F:$F,'01_異動主檔'!$B:$B,99,'01_異動主檔'!$D:$D,A248,'01_異動主檔'!$E:$E,"新增")</f>
        <v/>
      </c>
      <c r="G248" s="4">
        <f>-SUMIFS('01_異動主檔'!$F:$F,'01_異動主檔'!$B:$B,99,'01_異動主檔'!$D:$D,A248,'01_異動主檔'!$E:$E,"減列")</f>
        <v/>
      </c>
      <c r="H248" s="4">
        <f>-SUMIFS('01_異動主檔'!$F:$F,'01_異動主檔'!$B:$B,99,'01_異動主檔'!$D:$D,A248,'01_異動主檔'!$E:$E,"精簡")</f>
        <v/>
      </c>
      <c r="I248" s="8">
        <f>C248+D248+E248+F248+G248+H248</f>
        <v/>
      </c>
    </row>
    <row r="249" ht="18" customHeight="1">
      <c r="A249" s="3" t="inlineStr">
        <is>
          <t>第二組</t>
        </is>
      </c>
      <c r="B249" s="4" t="n">
        <v>100</v>
      </c>
      <c r="C249" s="8">
        <f>I248</f>
        <v/>
      </c>
      <c r="D249" s="4">
        <f>SUMIFS('01_異動主檔'!$F:$F,'01_異動主檔'!$B:$B,100,'01_異動主檔'!$D:$D,A249,'01_異動主檔'!$E:$E,"移入")</f>
        <v/>
      </c>
      <c r="E249" s="4">
        <f>-SUMIFS('01_異動主檔'!$F:$F,'01_異動主檔'!$B:$B,100,'01_異動主檔'!$D:$D,A249,'01_異動主檔'!$E:$E,"移出")</f>
        <v/>
      </c>
      <c r="F249" s="4">
        <f>SUMIFS('01_異動主檔'!$F:$F,'01_異動主檔'!$B:$B,100,'01_異動主檔'!$D:$D,A249,'01_異動主檔'!$E:$E,"新增")</f>
        <v/>
      </c>
      <c r="G249" s="4">
        <f>-SUMIFS('01_異動主檔'!$F:$F,'01_異動主檔'!$B:$B,100,'01_異動主檔'!$D:$D,A249,'01_異動主檔'!$E:$E,"減列")</f>
        <v/>
      </c>
      <c r="H249" s="4">
        <f>-SUMIFS('01_異動主檔'!$F:$F,'01_異動主檔'!$B:$B,100,'01_異動主檔'!$D:$D,A249,'01_異動主檔'!$E:$E,"精簡")</f>
        <v/>
      </c>
      <c r="I249" s="8">
        <f>C249+D249+E249+F249+G249+H249</f>
        <v/>
      </c>
    </row>
    <row r="250" ht="18" customHeight="1">
      <c r="A250" s="5" t="inlineStr">
        <is>
          <t>第二組</t>
        </is>
      </c>
      <c r="B250" s="6" t="n">
        <v>101</v>
      </c>
      <c r="C250" s="8">
        <f>I249</f>
        <v/>
      </c>
      <c r="D250" s="4">
        <f>SUMIFS('01_異動主檔'!$F:$F,'01_異動主檔'!$B:$B,101,'01_異動主檔'!$D:$D,A250,'01_異動主檔'!$E:$E,"移入")</f>
        <v/>
      </c>
      <c r="E250" s="4">
        <f>-SUMIFS('01_異動主檔'!$F:$F,'01_異動主檔'!$B:$B,101,'01_異動主檔'!$D:$D,A250,'01_異動主檔'!$E:$E,"移出")</f>
        <v/>
      </c>
      <c r="F250" s="4">
        <f>SUMIFS('01_異動主檔'!$F:$F,'01_異動主檔'!$B:$B,101,'01_異動主檔'!$D:$D,A250,'01_異動主檔'!$E:$E,"新增")</f>
        <v/>
      </c>
      <c r="G250" s="4">
        <f>-SUMIFS('01_異動主檔'!$F:$F,'01_異動主檔'!$B:$B,101,'01_異動主檔'!$D:$D,A250,'01_異動主檔'!$E:$E,"減列")</f>
        <v/>
      </c>
      <c r="H250" s="4">
        <f>-SUMIFS('01_異動主檔'!$F:$F,'01_異動主檔'!$B:$B,101,'01_異動主檔'!$D:$D,A250,'01_異動主檔'!$E:$E,"精簡")</f>
        <v/>
      </c>
      <c r="I250" s="8">
        <f>C250+D250+E250+F250+G250+H250</f>
        <v/>
      </c>
    </row>
    <row r="251" ht="18" customHeight="1">
      <c r="A251" s="3" t="inlineStr">
        <is>
          <t>第二組</t>
        </is>
      </c>
      <c r="B251" s="4" t="n">
        <v>102</v>
      </c>
      <c r="C251" s="8">
        <f>I250</f>
        <v/>
      </c>
      <c r="D251" s="4">
        <f>SUMIFS('01_異動主檔'!$F:$F,'01_異動主檔'!$B:$B,102,'01_異動主檔'!$D:$D,A251,'01_異動主檔'!$E:$E,"移入")</f>
        <v/>
      </c>
      <c r="E251" s="4">
        <f>-SUMIFS('01_異動主檔'!$F:$F,'01_異動主檔'!$B:$B,102,'01_異動主檔'!$D:$D,A251,'01_異動主檔'!$E:$E,"移出")</f>
        <v/>
      </c>
      <c r="F251" s="4">
        <f>SUMIFS('01_異動主檔'!$F:$F,'01_異動主檔'!$B:$B,102,'01_異動主檔'!$D:$D,A251,'01_異動主檔'!$E:$E,"新增")</f>
        <v/>
      </c>
      <c r="G251" s="4">
        <f>-SUMIFS('01_異動主檔'!$F:$F,'01_異動主檔'!$B:$B,102,'01_異動主檔'!$D:$D,A251,'01_異動主檔'!$E:$E,"減列")</f>
        <v/>
      </c>
      <c r="H251" s="4">
        <f>-SUMIFS('01_異動主檔'!$F:$F,'01_異動主檔'!$B:$B,102,'01_異動主檔'!$D:$D,A251,'01_異動主檔'!$E:$E,"精簡")</f>
        <v/>
      </c>
      <c r="I251" s="8">
        <f>C251+D251+E251+F251+G251+H251</f>
        <v/>
      </c>
    </row>
    <row r="252" ht="18" customHeight="1">
      <c r="A252" s="5" t="inlineStr">
        <is>
          <t>第二組</t>
        </is>
      </c>
      <c r="B252" s="6" t="n">
        <v>103</v>
      </c>
      <c r="C252" s="8">
        <f>I251</f>
        <v/>
      </c>
      <c r="D252" s="4">
        <f>SUMIFS('01_異動主檔'!$F:$F,'01_異動主檔'!$B:$B,103,'01_異動主檔'!$D:$D,A252,'01_異動主檔'!$E:$E,"移入")</f>
        <v/>
      </c>
      <c r="E252" s="4">
        <f>-SUMIFS('01_異動主檔'!$F:$F,'01_異動主檔'!$B:$B,103,'01_異動主檔'!$D:$D,A252,'01_異動主檔'!$E:$E,"移出")</f>
        <v/>
      </c>
      <c r="F252" s="4">
        <f>SUMIFS('01_異動主檔'!$F:$F,'01_異動主檔'!$B:$B,103,'01_異動主檔'!$D:$D,A252,'01_異動主檔'!$E:$E,"新增")</f>
        <v/>
      </c>
      <c r="G252" s="4">
        <f>-SUMIFS('01_異動主檔'!$F:$F,'01_異動主檔'!$B:$B,103,'01_異動主檔'!$D:$D,A252,'01_異動主檔'!$E:$E,"減列")</f>
        <v/>
      </c>
      <c r="H252" s="4">
        <f>-SUMIFS('01_異動主檔'!$F:$F,'01_異動主檔'!$B:$B,103,'01_異動主檔'!$D:$D,A252,'01_異動主檔'!$E:$E,"精簡")</f>
        <v/>
      </c>
      <c r="I252" s="8">
        <f>C252+D252+E252+F252+G252+H252</f>
        <v/>
      </c>
    </row>
    <row r="253" ht="18" customHeight="1">
      <c r="A253" s="3" t="inlineStr">
        <is>
          <t>第二組</t>
        </is>
      </c>
      <c r="B253" s="4" t="n">
        <v>104</v>
      </c>
      <c r="C253" s="8">
        <f>I252</f>
        <v/>
      </c>
      <c r="D253" s="4">
        <f>SUMIFS('01_異動主檔'!$F:$F,'01_異動主檔'!$B:$B,104,'01_異動主檔'!$D:$D,A253,'01_異動主檔'!$E:$E,"移入")</f>
        <v/>
      </c>
      <c r="E253" s="4">
        <f>-SUMIFS('01_異動主檔'!$F:$F,'01_異動主檔'!$B:$B,104,'01_異動主檔'!$D:$D,A253,'01_異動主檔'!$E:$E,"移出")</f>
        <v/>
      </c>
      <c r="F253" s="4">
        <f>SUMIFS('01_異動主檔'!$F:$F,'01_異動主檔'!$B:$B,104,'01_異動主檔'!$D:$D,A253,'01_異動主檔'!$E:$E,"新增")</f>
        <v/>
      </c>
      <c r="G253" s="4">
        <f>-SUMIFS('01_異動主檔'!$F:$F,'01_異動主檔'!$B:$B,104,'01_異動主檔'!$D:$D,A253,'01_異動主檔'!$E:$E,"減列")</f>
        <v/>
      </c>
      <c r="H253" s="4">
        <f>-SUMIFS('01_異動主檔'!$F:$F,'01_異動主檔'!$B:$B,104,'01_異動主檔'!$D:$D,A253,'01_異動主檔'!$E:$E,"精簡")</f>
        <v/>
      </c>
      <c r="I253" s="8">
        <f>C253+D253+E253+F253+G253+H253</f>
        <v/>
      </c>
    </row>
    <row r="254" ht="18" customHeight="1">
      <c r="A254" s="5" t="inlineStr">
        <is>
          <t>第二組</t>
        </is>
      </c>
      <c r="B254" s="6" t="n">
        <v>105</v>
      </c>
      <c r="C254" s="8">
        <f>I253</f>
        <v/>
      </c>
      <c r="D254" s="4">
        <f>SUMIFS('01_異動主檔'!$F:$F,'01_異動主檔'!$B:$B,105,'01_異動主檔'!$D:$D,A254,'01_異動主檔'!$E:$E,"移入")</f>
        <v/>
      </c>
      <c r="E254" s="4">
        <f>-SUMIFS('01_異動主檔'!$F:$F,'01_異動主檔'!$B:$B,105,'01_異動主檔'!$D:$D,A254,'01_異動主檔'!$E:$E,"移出")</f>
        <v/>
      </c>
      <c r="F254" s="4">
        <f>SUMIFS('01_異動主檔'!$F:$F,'01_異動主檔'!$B:$B,105,'01_異動主檔'!$D:$D,A254,'01_異動主檔'!$E:$E,"新增")</f>
        <v/>
      </c>
      <c r="G254" s="4">
        <f>-SUMIFS('01_異動主檔'!$F:$F,'01_異動主檔'!$B:$B,105,'01_異動主檔'!$D:$D,A254,'01_異動主檔'!$E:$E,"減列")</f>
        <v/>
      </c>
      <c r="H254" s="4">
        <f>-SUMIFS('01_異動主檔'!$F:$F,'01_異動主檔'!$B:$B,105,'01_異動主檔'!$D:$D,A254,'01_異動主檔'!$E:$E,"精簡")</f>
        <v/>
      </c>
      <c r="I254" s="8">
        <f>C254+D254+E254+F254+G254+H254</f>
        <v/>
      </c>
    </row>
    <row r="255" ht="18" customHeight="1">
      <c r="A255" s="3" t="inlineStr">
        <is>
          <t>第二組</t>
        </is>
      </c>
      <c r="B255" s="4" t="n">
        <v>106</v>
      </c>
      <c r="C255" s="8">
        <f>I254</f>
        <v/>
      </c>
      <c r="D255" s="4">
        <f>SUMIFS('01_異動主檔'!$F:$F,'01_異動主檔'!$B:$B,106,'01_異動主檔'!$D:$D,A255,'01_異動主檔'!$E:$E,"移入")</f>
        <v/>
      </c>
      <c r="E255" s="4">
        <f>-SUMIFS('01_異動主檔'!$F:$F,'01_異動主檔'!$B:$B,106,'01_異動主檔'!$D:$D,A255,'01_異動主檔'!$E:$E,"移出")</f>
        <v/>
      </c>
      <c r="F255" s="4">
        <f>SUMIFS('01_異動主檔'!$F:$F,'01_異動主檔'!$B:$B,106,'01_異動主檔'!$D:$D,A255,'01_異動主檔'!$E:$E,"新增")</f>
        <v/>
      </c>
      <c r="G255" s="4">
        <f>-SUMIFS('01_異動主檔'!$F:$F,'01_異動主檔'!$B:$B,106,'01_異動主檔'!$D:$D,A255,'01_異動主檔'!$E:$E,"減列")</f>
        <v/>
      </c>
      <c r="H255" s="4">
        <f>-SUMIFS('01_異動主檔'!$F:$F,'01_異動主檔'!$B:$B,106,'01_異動主檔'!$D:$D,A255,'01_異動主檔'!$E:$E,"精簡")</f>
        <v/>
      </c>
      <c r="I255" s="8">
        <f>C255+D255+E255+F255+G255+H255</f>
        <v/>
      </c>
    </row>
    <row r="256" ht="18" customHeight="1">
      <c r="A256" s="5" t="inlineStr">
        <is>
          <t>第二組</t>
        </is>
      </c>
      <c r="B256" s="6" t="n">
        <v>107</v>
      </c>
      <c r="C256" s="8">
        <f>I255</f>
        <v/>
      </c>
      <c r="D256" s="4">
        <f>SUMIFS('01_異動主檔'!$F:$F,'01_異動主檔'!$B:$B,107,'01_異動主檔'!$D:$D,A256,'01_異動主檔'!$E:$E,"移入")</f>
        <v/>
      </c>
      <c r="E256" s="4">
        <f>-SUMIFS('01_異動主檔'!$F:$F,'01_異動主檔'!$B:$B,107,'01_異動主檔'!$D:$D,A256,'01_異動主檔'!$E:$E,"移出")</f>
        <v/>
      </c>
      <c r="F256" s="4">
        <f>SUMIFS('01_異動主檔'!$F:$F,'01_異動主檔'!$B:$B,107,'01_異動主檔'!$D:$D,A256,'01_異動主檔'!$E:$E,"新增")</f>
        <v/>
      </c>
      <c r="G256" s="4">
        <f>-SUMIFS('01_異動主檔'!$F:$F,'01_異動主檔'!$B:$B,107,'01_異動主檔'!$D:$D,A256,'01_異動主檔'!$E:$E,"減列")</f>
        <v/>
      </c>
      <c r="H256" s="4">
        <f>-SUMIFS('01_異動主檔'!$F:$F,'01_異動主檔'!$B:$B,107,'01_異動主檔'!$D:$D,A256,'01_異動主檔'!$E:$E,"精簡")</f>
        <v/>
      </c>
      <c r="I256" s="8">
        <f>C256+D256+E256+F256+G256+H256</f>
        <v/>
      </c>
    </row>
    <row r="257" ht="18" customHeight="1">
      <c r="A257" s="3" t="inlineStr">
        <is>
          <t>第二組</t>
        </is>
      </c>
      <c r="B257" s="4" t="n">
        <v>108</v>
      </c>
      <c r="C257" s="8">
        <f>I256</f>
        <v/>
      </c>
      <c r="D257" s="4">
        <f>SUMIFS('01_異動主檔'!$F:$F,'01_異動主檔'!$B:$B,108,'01_異動主檔'!$D:$D,A257,'01_異動主檔'!$E:$E,"移入")</f>
        <v/>
      </c>
      <c r="E257" s="4">
        <f>-SUMIFS('01_異動主檔'!$F:$F,'01_異動主檔'!$B:$B,108,'01_異動主檔'!$D:$D,A257,'01_異動主檔'!$E:$E,"移出")</f>
        <v/>
      </c>
      <c r="F257" s="4">
        <f>SUMIFS('01_異動主檔'!$F:$F,'01_異動主檔'!$B:$B,108,'01_異動主檔'!$D:$D,A257,'01_異動主檔'!$E:$E,"新增")</f>
        <v/>
      </c>
      <c r="G257" s="4">
        <f>-SUMIFS('01_異動主檔'!$F:$F,'01_異動主檔'!$B:$B,108,'01_異動主檔'!$D:$D,A257,'01_異動主檔'!$E:$E,"減列")</f>
        <v/>
      </c>
      <c r="H257" s="4">
        <f>-SUMIFS('01_異動主檔'!$F:$F,'01_異動主檔'!$B:$B,108,'01_異動主檔'!$D:$D,A257,'01_異動主檔'!$E:$E,"精簡")</f>
        <v/>
      </c>
      <c r="I257" s="8">
        <f>C257+D257+E257+F257+G257+H257</f>
        <v/>
      </c>
    </row>
    <row r="258" ht="18" customHeight="1">
      <c r="A258" s="5" t="inlineStr">
        <is>
          <t>第二組</t>
        </is>
      </c>
      <c r="B258" s="6" t="n">
        <v>109</v>
      </c>
      <c r="C258" s="8">
        <f>I257</f>
        <v/>
      </c>
      <c r="D258" s="4">
        <f>SUMIFS('01_異動主檔'!$F:$F,'01_異動主檔'!$B:$B,109,'01_異動主檔'!$D:$D,A258,'01_異動主檔'!$E:$E,"移入")</f>
        <v/>
      </c>
      <c r="E258" s="4">
        <f>-SUMIFS('01_異動主檔'!$F:$F,'01_異動主檔'!$B:$B,109,'01_異動主檔'!$D:$D,A258,'01_異動主檔'!$E:$E,"移出")</f>
        <v/>
      </c>
      <c r="F258" s="4">
        <f>SUMIFS('01_異動主檔'!$F:$F,'01_異動主檔'!$B:$B,109,'01_異動主檔'!$D:$D,A258,'01_異動主檔'!$E:$E,"新增")</f>
        <v/>
      </c>
      <c r="G258" s="4">
        <f>-SUMIFS('01_異動主檔'!$F:$F,'01_異動主檔'!$B:$B,109,'01_異動主檔'!$D:$D,A258,'01_異動主檔'!$E:$E,"減列")</f>
        <v/>
      </c>
      <c r="H258" s="4">
        <f>-SUMIFS('01_異動主檔'!$F:$F,'01_異動主檔'!$B:$B,109,'01_異動主檔'!$D:$D,A258,'01_異動主檔'!$E:$E,"精簡")</f>
        <v/>
      </c>
      <c r="I258" s="8">
        <f>C258+D258+E258+F258+G258+H258</f>
        <v/>
      </c>
    </row>
    <row r="259" ht="18" customHeight="1">
      <c r="A259" s="3" t="inlineStr">
        <is>
          <t>第二組</t>
        </is>
      </c>
      <c r="B259" s="4" t="n">
        <v>110</v>
      </c>
      <c r="C259" s="8">
        <f>I258</f>
        <v/>
      </c>
      <c r="D259" s="4">
        <f>SUMIFS('01_異動主檔'!$F:$F,'01_異動主檔'!$B:$B,110,'01_異動主檔'!$D:$D,A259,'01_異動主檔'!$E:$E,"移入")</f>
        <v/>
      </c>
      <c r="E259" s="4">
        <f>-SUMIFS('01_異動主檔'!$F:$F,'01_異動主檔'!$B:$B,110,'01_異動主檔'!$D:$D,A259,'01_異動主檔'!$E:$E,"移出")</f>
        <v/>
      </c>
      <c r="F259" s="4">
        <f>SUMIFS('01_異動主檔'!$F:$F,'01_異動主檔'!$B:$B,110,'01_異動主檔'!$D:$D,A259,'01_異動主檔'!$E:$E,"新增")</f>
        <v/>
      </c>
      <c r="G259" s="4">
        <f>-SUMIFS('01_異動主檔'!$F:$F,'01_異動主檔'!$B:$B,110,'01_異動主檔'!$D:$D,A259,'01_異動主檔'!$E:$E,"減列")</f>
        <v/>
      </c>
      <c r="H259" s="4">
        <f>-SUMIFS('01_異動主檔'!$F:$F,'01_異動主檔'!$B:$B,110,'01_異動主檔'!$D:$D,A259,'01_異動主檔'!$E:$E,"精簡")</f>
        <v/>
      </c>
      <c r="I259" s="8">
        <f>C259+D259+E259+F259+G259+H259</f>
        <v/>
      </c>
    </row>
    <row r="260" ht="18" customHeight="1">
      <c r="A260" s="5" t="inlineStr">
        <is>
          <t>第二組</t>
        </is>
      </c>
      <c r="B260" s="6" t="n">
        <v>111</v>
      </c>
      <c r="C260" s="8">
        <f>I259</f>
        <v/>
      </c>
      <c r="D260" s="4">
        <f>SUMIFS('01_異動主檔'!$F:$F,'01_異動主檔'!$B:$B,111,'01_異動主檔'!$D:$D,A260,'01_異動主檔'!$E:$E,"移入")</f>
        <v/>
      </c>
      <c r="E260" s="4">
        <f>-SUMIFS('01_異動主檔'!$F:$F,'01_異動主檔'!$B:$B,111,'01_異動主檔'!$D:$D,A260,'01_異動主檔'!$E:$E,"移出")</f>
        <v/>
      </c>
      <c r="F260" s="4">
        <f>SUMIFS('01_異動主檔'!$F:$F,'01_異動主檔'!$B:$B,111,'01_異動主檔'!$D:$D,A260,'01_異動主檔'!$E:$E,"新增")</f>
        <v/>
      </c>
      <c r="G260" s="4">
        <f>-SUMIFS('01_異動主檔'!$F:$F,'01_異動主檔'!$B:$B,111,'01_異動主檔'!$D:$D,A260,'01_異動主檔'!$E:$E,"減列")</f>
        <v/>
      </c>
      <c r="H260" s="4">
        <f>-SUMIFS('01_異動主檔'!$F:$F,'01_異動主檔'!$B:$B,111,'01_異動主檔'!$D:$D,A260,'01_異動主檔'!$E:$E,"精簡")</f>
        <v/>
      </c>
      <c r="I260" s="8">
        <f>C260+D260+E260+F260+G260+H260</f>
        <v/>
      </c>
    </row>
    <row r="261" ht="18" customHeight="1">
      <c r="A261" s="3" t="inlineStr">
        <is>
          <t>第二組</t>
        </is>
      </c>
      <c r="B261" s="4" t="n">
        <v>112</v>
      </c>
      <c r="C261" s="8">
        <f>I260</f>
        <v/>
      </c>
      <c r="D261" s="4">
        <f>SUMIFS('01_異動主檔'!$F:$F,'01_異動主檔'!$B:$B,112,'01_異動主檔'!$D:$D,A261,'01_異動主檔'!$E:$E,"移入")</f>
        <v/>
      </c>
      <c r="E261" s="4">
        <f>-SUMIFS('01_異動主檔'!$F:$F,'01_異動主檔'!$B:$B,112,'01_異動主檔'!$D:$D,A261,'01_異動主檔'!$E:$E,"移出")</f>
        <v/>
      </c>
      <c r="F261" s="4">
        <f>SUMIFS('01_異動主檔'!$F:$F,'01_異動主檔'!$B:$B,112,'01_異動主檔'!$D:$D,A261,'01_異動主檔'!$E:$E,"新增")</f>
        <v/>
      </c>
      <c r="G261" s="4">
        <f>-SUMIFS('01_異動主檔'!$F:$F,'01_異動主檔'!$B:$B,112,'01_異動主檔'!$D:$D,A261,'01_異動主檔'!$E:$E,"減列")</f>
        <v/>
      </c>
      <c r="H261" s="4">
        <f>-SUMIFS('01_異動主檔'!$F:$F,'01_異動主檔'!$B:$B,112,'01_異動主檔'!$D:$D,A261,'01_異動主檔'!$E:$E,"精簡")</f>
        <v/>
      </c>
      <c r="I261" s="8">
        <f>C261+D261+E261+F261+G261+H261</f>
        <v/>
      </c>
    </row>
    <row r="262" ht="18" customHeight="1">
      <c r="A262" s="5" t="inlineStr">
        <is>
          <t>第二組</t>
        </is>
      </c>
      <c r="B262" s="6" t="n">
        <v>113</v>
      </c>
      <c r="C262" s="8">
        <f>I261</f>
        <v/>
      </c>
      <c r="D262" s="4">
        <f>SUMIFS('01_異動主檔'!$F:$F,'01_異動主檔'!$B:$B,113,'01_異動主檔'!$D:$D,A262,'01_異動主檔'!$E:$E,"移入")</f>
        <v/>
      </c>
      <c r="E262" s="4">
        <f>-SUMIFS('01_異動主檔'!$F:$F,'01_異動主檔'!$B:$B,113,'01_異動主檔'!$D:$D,A262,'01_異動主檔'!$E:$E,"移出")</f>
        <v/>
      </c>
      <c r="F262" s="4">
        <f>SUMIFS('01_異動主檔'!$F:$F,'01_異動主檔'!$B:$B,113,'01_異動主檔'!$D:$D,A262,'01_異動主檔'!$E:$E,"新增")</f>
        <v/>
      </c>
      <c r="G262" s="4">
        <f>-SUMIFS('01_異動主檔'!$F:$F,'01_異動主檔'!$B:$B,113,'01_異動主檔'!$D:$D,A262,'01_異動主檔'!$E:$E,"減列")</f>
        <v/>
      </c>
      <c r="H262" s="4">
        <f>-SUMIFS('01_異動主檔'!$F:$F,'01_異動主檔'!$B:$B,113,'01_異動主檔'!$D:$D,A262,'01_異動主檔'!$E:$E,"精簡")</f>
        <v/>
      </c>
      <c r="I262" s="8">
        <f>C262+D262+E262+F262+G262+H262</f>
        <v/>
      </c>
    </row>
    <row r="263" ht="18" customHeight="1">
      <c r="A263" s="3" t="inlineStr">
        <is>
          <t>第二組</t>
        </is>
      </c>
      <c r="B263" s="4" t="n">
        <v>114</v>
      </c>
      <c r="C263" s="8">
        <f>I262</f>
        <v/>
      </c>
      <c r="D263" s="4">
        <f>SUMIFS('01_異動主檔'!$F:$F,'01_異動主檔'!$B:$B,114,'01_異動主檔'!$D:$D,A263,'01_異動主檔'!$E:$E,"移入")</f>
        <v/>
      </c>
      <c r="E263" s="4">
        <f>-SUMIFS('01_異動主檔'!$F:$F,'01_異動主檔'!$B:$B,114,'01_異動主檔'!$D:$D,A263,'01_異動主檔'!$E:$E,"移出")</f>
        <v/>
      </c>
      <c r="F263" s="4">
        <f>SUMIFS('01_異動主檔'!$F:$F,'01_異動主檔'!$B:$B,114,'01_異動主檔'!$D:$D,A263,'01_異動主檔'!$E:$E,"新增")</f>
        <v/>
      </c>
      <c r="G263" s="4">
        <f>-SUMIFS('01_異動主檔'!$F:$F,'01_異動主檔'!$B:$B,114,'01_異動主檔'!$D:$D,A263,'01_異動主檔'!$E:$E,"減列")</f>
        <v/>
      </c>
      <c r="H263" s="4">
        <f>-SUMIFS('01_異動主檔'!$F:$F,'01_異動主檔'!$B:$B,114,'01_異動主檔'!$D:$D,A263,'01_異動主檔'!$E:$E,"精簡")</f>
        <v/>
      </c>
      <c r="I263" s="8">
        <f>C263+D263+E263+F263+G263+H263</f>
        <v/>
      </c>
    </row>
    <row r="264" ht="18" customHeight="1">
      <c r="A264" s="5" t="inlineStr">
        <is>
          <t>第二組</t>
        </is>
      </c>
      <c r="B264" s="6" t="n">
        <v>115</v>
      </c>
      <c r="C264" s="8">
        <f>I263</f>
        <v/>
      </c>
      <c r="D264" s="4">
        <f>SUMIFS('01_異動主檔'!$F:$F,'01_異動主檔'!$B:$B,115,'01_異動主檔'!$D:$D,A264,'01_異動主檔'!$E:$E,"移入")</f>
        <v/>
      </c>
      <c r="E264" s="4">
        <f>-SUMIFS('01_異動主檔'!$F:$F,'01_異動主檔'!$B:$B,115,'01_異動主檔'!$D:$D,A264,'01_異動主檔'!$E:$E,"移出")</f>
        <v/>
      </c>
      <c r="F264" s="4">
        <f>SUMIFS('01_異動主檔'!$F:$F,'01_異動主檔'!$B:$B,115,'01_異動主檔'!$D:$D,A264,'01_異動主檔'!$E:$E,"新增")</f>
        <v/>
      </c>
      <c r="G264" s="4">
        <f>-SUMIFS('01_異動主檔'!$F:$F,'01_異動主檔'!$B:$B,115,'01_異動主檔'!$D:$D,A264,'01_異動主檔'!$E:$E,"減列")</f>
        <v/>
      </c>
      <c r="H264" s="4">
        <f>-SUMIFS('01_異動主檔'!$F:$F,'01_異動主檔'!$B:$B,115,'01_異動主檔'!$D:$D,A264,'01_異動主檔'!$E:$E,"精簡")</f>
        <v/>
      </c>
      <c r="I264" s="8">
        <f>C264+D264+E264+F264+G264+H264</f>
        <v/>
      </c>
    </row>
    <row r="265" ht="18" customHeight="1">
      <c r="A265" s="3" t="inlineStr">
        <is>
          <t>第二組</t>
        </is>
      </c>
      <c r="B265" s="4" t="n">
        <v>116</v>
      </c>
      <c r="C265" s="8">
        <f>I264</f>
        <v/>
      </c>
      <c r="D265" s="4">
        <f>SUMIFS('01_異動主檔'!$F:$F,'01_異動主檔'!$B:$B,116,'01_異動主檔'!$D:$D,A265,'01_異動主檔'!$E:$E,"移入")</f>
        <v/>
      </c>
      <c r="E265" s="4">
        <f>-SUMIFS('01_異動主檔'!$F:$F,'01_異動主檔'!$B:$B,116,'01_異動主檔'!$D:$D,A265,'01_異動主檔'!$E:$E,"移出")</f>
        <v/>
      </c>
      <c r="F265" s="4">
        <f>SUMIFS('01_異動主檔'!$F:$F,'01_異動主檔'!$B:$B,116,'01_異動主檔'!$D:$D,A265,'01_異動主檔'!$E:$E,"新增")</f>
        <v/>
      </c>
      <c r="G265" s="4">
        <f>-SUMIFS('01_異動主檔'!$F:$F,'01_異動主檔'!$B:$B,116,'01_異動主檔'!$D:$D,A265,'01_異動主檔'!$E:$E,"減列")</f>
        <v/>
      </c>
      <c r="H265" s="4">
        <f>-SUMIFS('01_異動主檔'!$F:$F,'01_異動主檔'!$B:$B,116,'01_異動主檔'!$D:$D,A265,'01_異動主檔'!$E:$E,"精簡")</f>
        <v/>
      </c>
      <c r="I265" s="8">
        <f>C265+D265+E265+F265+G265+H265</f>
        <v/>
      </c>
    </row>
    <row r="266" ht="18" customHeight="1">
      <c r="A266" s="5" t="inlineStr">
        <is>
          <t>第二組</t>
        </is>
      </c>
      <c r="B266" s="6" t="n">
        <v>117</v>
      </c>
      <c r="C266" s="8">
        <f>I265</f>
        <v/>
      </c>
      <c r="D266" s="4">
        <f>SUMIFS('01_異動主檔'!$F:$F,'01_異動主檔'!$B:$B,117,'01_異動主檔'!$D:$D,A266,'01_異動主檔'!$E:$E,"移入")</f>
        <v/>
      </c>
      <c r="E266" s="4">
        <f>-SUMIFS('01_異動主檔'!$F:$F,'01_異動主檔'!$B:$B,117,'01_異動主檔'!$D:$D,A266,'01_異動主檔'!$E:$E,"移出")</f>
        <v/>
      </c>
      <c r="F266" s="4">
        <f>SUMIFS('01_異動主檔'!$F:$F,'01_異動主檔'!$B:$B,117,'01_異動主檔'!$D:$D,A266,'01_異動主檔'!$E:$E,"新增")</f>
        <v/>
      </c>
      <c r="G266" s="4">
        <f>-SUMIFS('01_異動主檔'!$F:$F,'01_異動主檔'!$B:$B,117,'01_異動主檔'!$D:$D,A266,'01_異動主檔'!$E:$E,"減列")</f>
        <v/>
      </c>
      <c r="H266" s="4">
        <f>-SUMIFS('01_異動主檔'!$F:$F,'01_異動主檔'!$B:$B,117,'01_異動主檔'!$D:$D,A266,'01_異動主檔'!$E:$E,"精簡")</f>
        <v/>
      </c>
      <c r="I266" s="8">
        <f>C266+D266+E266+F266+G266+H266</f>
        <v/>
      </c>
    </row>
    <row r="267" ht="18" customHeight="1">
      <c r="A267" s="3" t="inlineStr">
        <is>
          <t>第二組</t>
        </is>
      </c>
      <c r="B267" s="4" t="n">
        <v>118</v>
      </c>
      <c r="C267" s="8">
        <f>I266</f>
        <v/>
      </c>
      <c r="D267" s="4">
        <f>SUMIFS('01_異動主檔'!$F:$F,'01_異動主檔'!$B:$B,118,'01_異動主檔'!$D:$D,A267,'01_異動主檔'!$E:$E,"移入")</f>
        <v/>
      </c>
      <c r="E267" s="4">
        <f>-SUMIFS('01_異動主檔'!$F:$F,'01_異動主檔'!$B:$B,118,'01_異動主檔'!$D:$D,A267,'01_異動主檔'!$E:$E,"移出")</f>
        <v/>
      </c>
      <c r="F267" s="4">
        <f>SUMIFS('01_異動主檔'!$F:$F,'01_異動主檔'!$B:$B,118,'01_異動主檔'!$D:$D,A267,'01_異動主檔'!$E:$E,"新增")</f>
        <v/>
      </c>
      <c r="G267" s="4">
        <f>-SUMIFS('01_異動主檔'!$F:$F,'01_異動主檔'!$B:$B,118,'01_異動主檔'!$D:$D,A267,'01_異動主檔'!$E:$E,"減列")</f>
        <v/>
      </c>
      <c r="H267" s="4">
        <f>-SUMIFS('01_異動主檔'!$F:$F,'01_異動主檔'!$B:$B,118,'01_異動主檔'!$D:$D,A267,'01_異動主檔'!$E:$E,"精簡")</f>
        <v/>
      </c>
      <c r="I267" s="8">
        <f>C267+D267+E267+F267+G267+H267</f>
        <v/>
      </c>
    </row>
    <row r="268" ht="18" customHeight="1">
      <c r="A268" s="5" t="inlineStr">
        <is>
          <t>第二組</t>
        </is>
      </c>
      <c r="B268" s="6" t="n">
        <v>119</v>
      </c>
      <c r="C268" s="8">
        <f>I267</f>
        <v/>
      </c>
      <c r="D268" s="4">
        <f>SUMIFS('01_異動主檔'!$F:$F,'01_異動主檔'!$B:$B,119,'01_異動主檔'!$D:$D,A268,'01_異動主檔'!$E:$E,"移入")</f>
        <v/>
      </c>
      <c r="E268" s="4">
        <f>-SUMIFS('01_異動主檔'!$F:$F,'01_異動主檔'!$B:$B,119,'01_異動主檔'!$D:$D,A268,'01_異動主檔'!$E:$E,"移出")</f>
        <v/>
      </c>
      <c r="F268" s="4">
        <f>SUMIFS('01_異動主檔'!$F:$F,'01_異動主檔'!$B:$B,119,'01_異動主檔'!$D:$D,A268,'01_異動主檔'!$E:$E,"新增")</f>
        <v/>
      </c>
      <c r="G268" s="4">
        <f>-SUMIFS('01_異動主檔'!$F:$F,'01_異動主檔'!$B:$B,119,'01_異動主檔'!$D:$D,A268,'01_異動主檔'!$E:$E,"減列")</f>
        <v/>
      </c>
      <c r="H268" s="4">
        <f>-SUMIFS('01_異動主檔'!$F:$F,'01_異動主檔'!$B:$B,119,'01_異動主檔'!$D:$D,A268,'01_異動主檔'!$E:$E,"精簡")</f>
        <v/>
      </c>
      <c r="I268" s="8">
        <f>C268+D268+E268+F268+G268+H268</f>
        <v/>
      </c>
    </row>
    <row r="269" ht="18" customHeight="1">
      <c r="A269" s="3" t="inlineStr">
        <is>
          <t>第二組</t>
        </is>
      </c>
      <c r="B269" s="4" t="n">
        <v>120</v>
      </c>
      <c r="C269" s="8">
        <f>I268</f>
        <v/>
      </c>
      <c r="D269" s="4">
        <f>SUMIFS('01_異動主檔'!$F:$F,'01_異動主檔'!$B:$B,120,'01_異動主檔'!$D:$D,A269,'01_異動主檔'!$E:$E,"移入")</f>
        <v/>
      </c>
      <c r="E269" s="4">
        <f>-SUMIFS('01_異動主檔'!$F:$F,'01_異動主檔'!$B:$B,120,'01_異動主檔'!$D:$D,A269,'01_異動主檔'!$E:$E,"移出")</f>
        <v/>
      </c>
      <c r="F269" s="4">
        <f>SUMIFS('01_異動主檔'!$F:$F,'01_異動主檔'!$B:$B,120,'01_異動主檔'!$D:$D,A269,'01_異動主檔'!$E:$E,"新增")</f>
        <v/>
      </c>
      <c r="G269" s="4">
        <f>-SUMIFS('01_異動主檔'!$F:$F,'01_異動主檔'!$B:$B,120,'01_異動主檔'!$D:$D,A269,'01_異動主檔'!$E:$E,"減列")</f>
        <v/>
      </c>
      <c r="H269" s="4">
        <f>-SUMIFS('01_異動主檔'!$F:$F,'01_異動主檔'!$B:$B,120,'01_異動主檔'!$D:$D,A269,'01_異動主檔'!$E:$E,"精簡")</f>
        <v/>
      </c>
      <c r="I269" s="8">
        <f>C269+D269+E269+F269+G269+H269</f>
        <v/>
      </c>
    </row>
    <row r="270" ht="18" customHeight="1">
      <c r="A270" s="5" t="inlineStr">
        <is>
          <t>第二組</t>
        </is>
      </c>
      <c r="B270" s="6" t="n">
        <v>121</v>
      </c>
      <c r="C270" s="8">
        <f>I269</f>
        <v/>
      </c>
      <c r="D270" s="4">
        <f>SUMIFS('01_異動主檔'!$F:$F,'01_異動主檔'!$B:$B,121,'01_異動主檔'!$D:$D,A270,'01_異動主檔'!$E:$E,"移入")</f>
        <v/>
      </c>
      <c r="E270" s="4">
        <f>-SUMIFS('01_異動主檔'!$F:$F,'01_異動主檔'!$B:$B,121,'01_異動主檔'!$D:$D,A270,'01_異動主檔'!$E:$E,"移出")</f>
        <v/>
      </c>
      <c r="F270" s="4">
        <f>SUMIFS('01_異動主檔'!$F:$F,'01_異動主檔'!$B:$B,121,'01_異動主檔'!$D:$D,A270,'01_異動主檔'!$E:$E,"新增")</f>
        <v/>
      </c>
      <c r="G270" s="4">
        <f>-SUMIFS('01_異動主檔'!$F:$F,'01_異動主檔'!$B:$B,121,'01_異動主檔'!$D:$D,A270,'01_異動主檔'!$E:$E,"減列")</f>
        <v/>
      </c>
      <c r="H270" s="4">
        <f>-SUMIFS('01_異動主檔'!$F:$F,'01_異動主檔'!$B:$B,121,'01_異動主檔'!$D:$D,A270,'01_異動主檔'!$E:$E,"精簡")</f>
        <v/>
      </c>
      <c r="I270" s="8">
        <f>C270+D270+E270+F270+G270+H270</f>
        <v/>
      </c>
    </row>
    <row r="271" ht="18" customHeight="1">
      <c r="A271" s="3" t="inlineStr">
        <is>
          <t>第二組</t>
        </is>
      </c>
      <c r="B271" s="4" t="n">
        <v>122</v>
      </c>
      <c r="C271" s="8">
        <f>I270</f>
        <v/>
      </c>
      <c r="D271" s="4">
        <f>SUMIFS('01_異動主檔'!$F:$F,'01_異動主檔'!$B:$B,122,'01_異動主檔'!$D:$D,A271,'01_異動主檔'!$E:$E,"移入")</f>
        <v/>
      </c>
      <c r="E271" s="4">
        <f>-SUMIFS('01_異動主檔'!$F:$F,'01_異動主檔'!$B:$B,122,'01_異動主檔'!$D:$D,A271,'01_異動主檔'!$E:$E,"移出")</f>
        <v/>
      </c>
      <c r="F271" s="4">
        <f>SUMIFS('01_異動主檔'!$F:$F,'01_異動主檔'!$B:$B,122,'01_異動主檔'!$D:$D,A271,'01_異動主檔'!$E:$E,"新增")</f>
        <v/>
      </c>
      <c r="G271" s="4">
        <f>-SUMIFS('01_異動主檔'!$F:$F,'01_異動主檔'!$B:$B,122,'01_異動主檔'!$D:$D,A271,'01_異動主檔'!$E:$E,"減列")</f>
        <v/>
      </c>
      <c r="H271" s="4">
        <f>-SUMIFS('01_異動主檔'!$F:$F,'01_異動主檔'!$B:$B,122,'01_異動主檔'!$D:$D,A271,'01_異動主檔'!$E:$E,"精簡")</f>
        <v/>
      </c>
      <c r="I271" s="8">
        <f>C271+D271+E271+F271+G271+H271</f>
        <v/>
      </c>
    </row>
    <row r="272" ht="18" customHeight="1">
      <c r="A272" s="5" t="inlineStr">
        <is>
          <t>第二組</t>
        </is>
      </c>
      <c r="B272" s="6" t="n">
        <v>123</v>
      </c>
      <c r="C272" s="8">
        <f>I271</f>
        <v/>
      </c>
      <c r="D272" s="4">
        <f>SUMIFS('01_異動主檔'!$F:$F,'01_異動主檔'!$B:$B,123,'01_異動主檔'!$D:$D,A272,'01_異動主檔'!$E:$E,"移入")</f>
        <v/>
      </c>
      <c r="E272" s="4">
        <f>-SUMIFS('01_異動主檔'!$F:$F,'01_異動主檔'!$B:$B,123,'01_異動主檔'!$D:$D,A272,'01_異動主檔'!$E:$E,"移出")</f>
        <v/>
      </c>
      <c r="F272" s="4">
        <f>SUMIFS('01_異動主檔'!$F:$F,'01_異動主檔'!$B:$B,123,'01_異動主檔'!$D:$D,A272,'01_異動主檔'!$E:$E,"新增")</f>
        <v/>
      </c>
      <c r="G272" s="4">
        <f>-SUMIFS('01_異動主檔'!$F:$F,'01_異動主檔'!$B:$B,123,'01_異動主檔'!$D:$D,A272,'01_異動主檔'!$E:$E,"減列")</f>
        <v/>
      </c>
      <c r="H272" s="4">
        <f>-SUMIFS('01_異動主檔'!$F:$F,'01_異動主檔'!$B:$B,123,'01_異動主檔'!$D:$D,A272,'01_異動主檔'!$E:$E,"精簡")</f>
        <v/>
      </c>
      <c r="I272" s="8">
        <f>C272+D272+E272+F272+G272+H272</f>
        <v/>
      </c>
    </row>
    <row r="273" ht="18" customHeight="1">
      <c r="A273" s="3" t="inlineStr">
        <is>
          <t>第二組</t>
        </is>
      </c>
      <c r="B273" s="4" t="n">
        <v>124</v>
      </c>
      <c r="C273" s="8">
        <f>I272</f>
        <v/>
      </c>
      <c r="D273" s="4">
        <f>SUMIFS('01_異動主檔'!$F:$F,'01_異動主檔'!$B:$B,124,'01_異動主檔'!$D:$D,A273,'01_異動主檔'!$E:$E,"移入")</f>
        <v/>
      </c>
      <c r="E273" s="4">
        <f>-SUMIFS('01_異動主檔'!$F:$F,'01_異動主檔'!$B:$B,124,'01_異動主檔'!$D:$D,A273,'01_異動主檔'!$E:$E,"移出")</f>
        <v/>
      </c>
      <c r="F273" s="4">
        <f>SUMIFS('01_異動主檔'!$F:$F,'01_異動主檔'!$B:$B,124,'01_異動主檔'!$D:$D,A273,'01_異動主檔'!$E:$E,"新增")</f>
        <v/>
      </c>
      <c r="G273" s="4">
        <f>-SUMIFS('01_異動主檔'!$F:$F,'01_異動主檔'!$B:$B,124,'01_異動主檔'!$D:$D,A273,'01_異動主檔'!$E:$E,"減列")</f>
        <v/>
      </c>
      <c r="H273" s="4">
        <f>-SUMIFS('01_異動主檔'!$F:$F,'01_異動主檔'!$B:$B,124,'01_異動主檔'!$D:$D,A273,'01_異動主檔'!$E:$E,"精簡")</f>
        <v/>
      </c>
      <c r="I273" s="8">
        <f>C273+D273+E273+F273+G273+H273</f>
        <v/>
      </c>
    </row>
    <row r="274" ht="18" customHeight="1">
      <c r="A274" s="5" t="inlineStr">
        <is>
          <t>第二組</t>
        </is>
      </c>
      <c r="B274" s="6" t="n">
        <v>125</v>
      </c>
      <c r="C274" s="8">
        <f>I273</f>
        <v/>
      </c>
      <c r="D274" s="4">
        <f>SUMIFS('01_異動主檔'!$F:$F,'01_異動主檔'!$B:$B,125,'01_異動主檔'!$D:$D,A274,'01_異動主檔'!$E:$E,"移入")</f>
        <v/>
      </c>
      <c r="E274" s="4">
        <f>-SUMIFS('01_異動主檔'!$F:$F,'01_異動主檔'!$B:$B,125,'01_異動主檔'!$D:$D,A274,'01_異動主檔'!$E:$E,"移出")</f>
        <v/>
      </c>
      <c r="F274" s="4">
        <f>SUMIFS('01_異動主檔'!$F:$F,'01_異動主檔'!$B:$B,125,'01_異動主檔'!$D:$D,A274,'01_異動主檔'!$E:$E,"新增")</f>
        <v/>
      </c>
      <c r="G274" s="4">
        <f>-SUMIFS('01_異動主檔'!$F:$F,'01_異動主檔'!$B:$B,125,'01_異動主檔'!$D:$D,A274,'01_異動主檔'!$E:$E,"減列")</f>
        <v/>
      </c>
      <c r="H274" s="4">
        <f>-SUMIFS('01_異動主檔'!$F:$F,'01_異動主檔'!$B:$B,125,'01_異動主檔'!$D:$D,A274,'01_異動主檔'!$E:$E,"精簡")</f>
        <v/>
      </c>
      <c r="I274" s="8">
        <f>C274+D274+E274+F274+G274+H274</f>
        <v/>
      </c>
    </row>
    <row r="275" ht="18" customHeight="1">
      <c r="A275" s="3" t="inlineStr">
        <is>
          <t>第三組</t>
        </is>
      </c>
      <c r="B275" s="4" t="n">
        <v>99</v>
      </c>
      <c r="C275" s="8">
        <f>'02_年初員額設定'!B15</f>
        <v/>
      </c>
      <c r="D275" s="4">
        <f>SUMIFS('01_異動主檔'!$F:$F,'01_異動主檔'!$B:$B,99,'01_異動主檔'!$D:$D,A275,'01_異動主檔'!$E:$E,"移入")</f>
        <v/>
      </c>
      <c r="E275" s="4">
        <f>-SUMIFS('01_異動主檔'!$F:$F,'01_異動主檔'!$B:$B,99,'01_異動主檔'!$D:$D,A275,'01_異動主檔'!$E:$E,"移出")</f>
        <v/>
      </c>
      <c r="F275" s="4">
        <f>SUMIFS('01_異動主檔'!$F:$F,'01_異動主檔'!$B:$B,99,'01_異動主檔'!$D:$D,A275,'01_異動主檔'!$E:$E,"新增")</f>
        <v/>
      </c>
      <c r="G275" s="4">
        <f>-SUMIFS('01_異動主檔'!$F:$F,'01_異動主檔'!$B:$B,99,'01_異動主檔'!$D:$D,A275,'01_異動主檔'!$E:$E,"減列")</f>
        <v/>
      </c>
      <c r="H275" s="4">
        <f>-SUMIFS('01_異動主檔'!$F:$F,'01_異動主檔'!$B:$B,99,'01_異動主檔'!$D:$D,A275,'01_異動主檔'!$E:$E,"精簡")</f>
        <v/>
      </c>
      <c r="I275" s="8">
        <f>C275+D275+E275+F275+G275+H275</f>
        <v/>
      </c>
    </row>
    <row r="276" ht="18" customHeight="1">
      <c r="A276" s="5" t="inlineStr">
        <is>
          <t>第三組</t>
        </is>
      </c>
      <c r="B276" s="6" t="n">
        <v>100</v>
      </c>
      <c r="C276" s="8">
        <f>I275</f>
        <v/>
      </c>
      <c r="D276" s="4">
        <f>SUMIFS('01_異動主檔'!$F:$F,'01_異動主檔'!$B:$B,100,'01_異動主檔'!$D:$D,A276,'01_異動主檔'!$E:$E,"移入")</f>
        <v/>
      </c>
      <c r="E276" s="4">
        <f>-SUMIFS('01_異動主檔'!$F:$F,'01_異動主檔'!$B:$B,100,'01_異動主檔'!$D:$D,A276,'01_異動主檔'!$E:$E,"移出")</f>
        <v/>
      </c>
      <c r="F276" s="4">
        <f>SUMIFS('01_異動主檔'!$F:$F,'01_異動主檔'!$B:$B,100,'01_異動主檔'!$D:$D,A276,'01_異動主檔'!$E:$E,"新增")</f>
        <v/>
      </c>
      <c r="G276" s="4">
        <f>-SUMIFS('01_異動主檔'!$F:$F,'01_異動主檔'!$B:$B,100,'01_異動主檔'!$D:$D,A276,'01_異動主檔'!$E:$E,"減列")</f>
        <v/>
      </c>
      <c r="H276" s="4">
        <f>-SUMIFS('01_異動主檔'!$F:$F,'01_異動主檔'!$B:$B,100,'01_異動主檔'!$D:$D,A276,'01_異動主檔'!$E:$E,"精簡")</f>
        <v/>
      </c>
      <c r="I276" s="8">
        <f>C276+D276+E276+F276+G276+H276</f>
        <v/>
      </c>
    </row>
    <row r="277" ht="18" customHeight="1">
      <c r="A277" s="3" t="inlineStr">
        <is>
          <t>第三組</t>
        </is>
      </c>
      <c r="B277" s="4" t="n">
        <v>101</v>
      </c>
      <c r="C277" s="8">
        <f>I276</f>
        <v/>
      </c>
      <c r="D277" s="4">
        <f>SUMIFS('01_異動主檔'!$F:$F,'01_異動主檔'!$B:$B,101,'01_異動主檔'!$D:$D,A277,'01_異動主檔'!$E:$E,"移入")</f>
        <v/>
      </c>
      <c r="E277" s="4">
        <f>-SUMIFS('01_異動主檔'!$F:$F,'01_異動主檔'!$B:$B,101,'01_異動主檔'!$D:$D,A277,'01_異動主檔'!$E:$E,"移出")</f>
        <v/>
      </c>
      <c r="F277" s="4">
        <f>SUMIFS('01_異動主檔'!$F:$F,'01_異動主檔'!$B:$B,101,'01_異動主檔'!$D:$D,A277,'01_異動主檔'!$E:$E,"新增")</f>
        <v/>
      </c>
      <c r="G277" s="4">
        <f>-SUMIFS('01_異動主檔'!$F:$F,'01_異動主檔'!$B:$B,101,'01_異動主檔'!$D:$D,A277,'01_異動主檔'!$E:$E,"減列")</f>
        <v/>
      </c>
      <c r="H277" s="4">
        <f>-SUMIFS('01_異動主檔'!$F:$F,'01_異動主檔'!$B:$B,101,'01_異動主檔'!$D:$D,A277,'01_異動主檔'!$E:$E,"精簡")</f>
        <v/>
      </c>
      <c r="I277" s="8">
        <f>C277+D277+E277+F277+G277+H277</f>
        <v/>
      </c>
    </row>
    <row r="278" ht="18" customHeight="1">
      <c r="A278" s="5" t="inlineStr">
        <is>
          <t>第三組</t>
        </is>
      </c>
      <c r="B278" s="6" t="n">
        <v>102</v>
      </c>
      <c r="C278" s="8">
        <f>I277</f>
        <v/>
      </c>
      <c r="D278" s="4">
        <f>SUMIFS('01_異動主檔'!$F:$F,'01_異動主檔'!$B:$B,102,'01_異動主檔'!$D:$D,A278,'01_異動主檔'!$E:$E,"移入")</f>
        <v/>
      </c>
      <c r="E278" s="4">
        <f>-SUMIFS('01_異動主檔'!$F:$F,'01_異動主檔'!$B:$B,102,'01_異動主檔'!$D:$D,A278,'01_異動主檔'!$E:$E,"移出")</f>
        <v/>
      </c>
      <c r="F278" s="4">
        <f>SUMIFS('01_異動主檔'!$F:$F,'01_異動主檔'!$B:$B,102,'01_異動主檔'!$D:$D,A278,'01_異動主檔'!$E:$E,"新增")</f>
        <v/>
      </c>
      <c r="G278" s="4">
        <f>-SUMIFS('01_異動主檔'!$F:$F,'01_異動主檔'!$B:$B,102,'01_異動主檔'!$D:$D,A278,'01_異動主檔'!$E:$E,"減列")</f>
        <v/>
      </c>
      <c r="H278" s="4">
        <f>-SUMIFS('01_異動主檔'!$F:$F,'01_異動主檔'!$B:$B,102,'01_異動主檔'!$D:$D,A278,'01_異動主檔'!$E:$E,"精簡")</f>
        <v/>
      </c>
      <c r="I278" s="8">
        <f>C278+D278+E278+F278+G278+H278</f>
        <v/>
      </c>
    </row>
    <row r="279" ht="18" customHeight="1">
      <c r="A279" s="3" t="inlineStr">
        <is>
          <t>第三組</t>
        </is>
      </c>
      <c r="B279" s="4" t="n">
        <v>103</v>
      </c>
      <c r="C279" s="8">
        <f>I278</f>
        <v/>
      </c>
      <c r="D279" s="4">
        <f>SUMIFS('01_異動主檔'!$F:$F,'01_異動主檔'!$B:$B,103,'01_異動主檔'!$D:$D,A279,'01_異動主檔'!$E:$E,"移入")</f>
        <v/>
      </c>
      <c r="E279" s="4">
        <f>-SUMIFS('01_異動主檔'!$F:$F,'01_異動主檔'!$B:$B,103,'01_異動主檔'!$D:$D,A279,'01_異動主檔'!$E:$E,"移出")</f>
        <v/>
      </c>
      <c r="F279" s="4">
        <f>SUMIFS('01_異動主檔'!$F:$F,'01_異動主檔'!$B:$B,103,'01_異動主檔'!$D:$D,A279,'01_異動主檔'!$E:$E,"新增")</f>
        <v/>
      </c>
      <c r="G279" s="4">
        <f>-SUMIFS('01_異動主檔'!$F:$F,'01_異動主檔'!$B:$B,103,'01_異動主檔'!$D:$D,A279,'01_異動主檔'!$E:$E,"減列")</f>
        <v/>
      </c>
      <c r="H279" s="4">
        <f>-SUMIFS('01_異動主檔'!$F:$F,'01_異動主檔'!$B:$B,103,'01_異動主檔'!$D:$D,A279,'01_異動主檔'!$E:$E,"精簡")</f>
        <v/>
      </c>
      <c r="I279" s="8">
        <f>C279+D279+E279+F279+G279+H279</f>
        <v/>
      </c>
    </row>
    <row r="280" ht="18" customHeight="1">
      <c r="A280" s="5" t="inlineStr">
        <is>
          <t>第三組</t>
        </is>
      </c>
      <c r="B280" s="6" t="n">
        <v>104</v>
      </c>
      <c r="C280" s="8">
        <f>I279</f>
        <v/>
      </c>
      <c r="D280" s="4">
        <f>SUMIFS('01_異動主檔'!$F:$F,'01_異動主檔'!$B:$B,104,'01_異動主檔'!$D:$D,A280,'01_異動主檔'!$E:$E,"移入")</f>
        <v/>
      </c>
      <c r="E280" s="4">
        <f>-SUMIFS('01_異動主檔'!$F:$F,'01_異動主檔'!$B:$B,104,'01_異動主檔'!$D:$D,A280,'01_異動主檔'!$E:$E,"移出")</f>
        <v/>
      </c>
      <c r="F280" s="4">
        <f>SUMIFS('01_異動主檔'!$F:$F,'01_異動主檔'!$B:$B,104,'01_異動主檔'!$D:$D,A280,'01_異動主檔'!$E:$E,"新增")</f>
        <v/>
      </c>
      <c r="G280" s="4">
        <f>-SUMIFS('01_異動主檔'!$F:$F,'01_異動主檔'!$B:$B,104,'01_異動主檔'!$D:$D,A280,'01_異動主檔'!$E:$E,"減列")</f>
        <v/>
      </c>
      <c r="H280" s="4">
        <f>-SUMIFS('01_異動主檔'!$F:$F,'01_異動主檔'!$B:$B,104,'01_異動主檔'!$D:$D,A280,'01_異動主檔'!$E:$E,"精簡")</f>
        <v/>
      </c>
      <c r="I280" s="8">
        <f>C280+D280+E280+F280+G280+H280</f>
        <v/>
      </c>
    </row>
    <row r="281" ht="18" customHeight="1">
      <c r="A281" s="3" t="inlineStr">
        <is>
          <t>第三組</t>
        </is>
      </c>
      <c r="B281" s="4" t="n">
        <v>105</v>
      </c>
      <c r="C281" s="8">
        <f>I280</f>
        <v/>
      </c>
      <c r="D281" s="4">
        <f>SUMIFS('01_異動主檔'!$F:$F,'01_異動主檔'!$B:$B,105,'01_異動主檔'!$D:$D,A281,'01_異動主檔'!$E:$E,"移入")</f>
        <v/>
      </c>
      <c r="E281" s="4">
        <f>-SUMIFS('01_異動主檔'!$F:$F,'01_異動主檔'!$B:$B,105,'01_異動主檔'!$D:$D,A281,'01_異動主檔'!$E:$E,"移出")</f>
        <v/>
      </c>
      <c r="F281" s="4">
        <f>SUMIFS('01_異動主檔'!$F:$F,'01_異動主檔'!$B:$B,105,'01_異動主檔'!$D:$D,A281,'01_異動主檔'!$E:$E,"新增")</f>
        <v/>
      </c>
      <c r="G281" s="4">
        <f>-SUMIFS('01_異動主檔'!$F:$F,'01_異動主檔'!$B:$B,105,'01_異動主檔'!$D:$D,A281,'01_異動主檔'!$E:$E,"減列")</f>
        <v/>
      </c>
      <c r="H281" s="4">
        <f>-SUMIFS('01_異動主檔'!$F:$F,'01_異動主檔'!$B:$B,105,'01_異動主檔'!$D:$D,A281,'01_異動主檔'!$E:$E,"精簡")</f>
        <v/>
      </c>
      <c r="I281" s="8">
        <f>C281+D281+E281+F281+G281+H281</f>
        <v/>
      </c>
    </row>
    <row r="282" ht="18" customHeight="1">
      <c r="A282" s="5" t="inlineStr">
        <is>
          <t>第三組</t>
        </is>
      </c>
      <c r="B282" s="6" t="n">
        <v>106</v>
      </c>
      <c r="C282" s="8">
        <f>I281</f>
        <v/>
      </c>
      <c r="D282" s="4">
        <f>SUMIFS('01_異動主檔'!$F:$F,'01_異動主檔'!$B:$B,106,'01_異動主檔'!$D:$D,A282,'01_異動主檔'!$E:$E,"移入")</f>
        <v/>
      </c>
      <c r="E282" s="4">
        <f>-SUMIFS('01_異動主檔'!$F:$F,'01_異動主檔'!$B:$B,106,'01_異動主檔'!$D:$D,A282,'01_異動主檔'!$E:$E,"移出")</f>
        <v/>
      </c>
      <c r="F282" s="4">
        <f>SUMIFS('01_異動主檔'!$F:$F,'01_異動主檔'!$B:$B,106,'01_異動主檔'!$D:$D,A282,'01_異動主檔'!$E:$E,"新增")</f>
        <v/>
      </c>
      <c r="G282" s="4">
        <f>-SUMIFS('01_異動主檔'!$F:$F,'01_異動主檔'!$B:$B,106,'01_異動主檔'!$D:$D,A282,'01_異動主檔'!$E:$E,"減列")</f>
        <v/>
      </c>
      <c r="H282" s="4">
        <f>-SUMIFS('01_異動主檔'!$F:$F,'01_異動主檔'!$B:$B,106,'01_異動主檔'!$D:$D,A282,'01_異動主檔'!$E:$E,"精簡")</f>
        <v/>
      </c>
      <c r="I282" s="8">
        <f>C282+D282+E282+F282+G282+H282</f>
        <v/>
      </c>
    </row>
    <row r="283" ht="18" customHeight="1">
      <c r="A283" s="3" t="inlineStr">
        <is>
          <t>第三組</t>
        </is>
      </c>
      <c r="B283" s="4" t="n">
        <v>107</v>
      </c>
      <c r="C283" s="8">
        <f>I282</f>
        <v/>
      </c>
      <c r="D283" s="4">
        <f>SUMIFS('01_異動主檔'!$F:$F,'01_異動主檔'!$B:$B,107,'01_異動主檔'!$D:$D,A283,'01_異動主檔'!$E:$E,"移入")</f>
        <v/>
      </c>
      <c r="E283" s="4">
        <f>-SUMIFS('01_異動主檔'!$F:$F,'01_異動主檔'!$B:$B,107,'01_異動主檔'!$D:$D,A283,'01_異動主檔'!$E:$E,"移出")</f>
        <v/>
      </c>
      <c r="F283" s="4">
        <f>SUMIFS('01_異動主檔'!$F:$F,'01_異動主檔'!$B:$B,107,'01_異動主檔'!$D:$D,A283,'01_異動主檔'!$E:$E,"新增")</f>
        <v/>
      </c>
      <c r="G283" s="4">
        <f>-SUMIFS('01_異動主檔'!$F:$F,'01_異動主檔'!$B:$B,107,'01_異動主檔'!$D:$D,A283,'01_異動主檔'!$E:$E,"減列")</f>
        <v/>
      </c>
      <c r="H283" s="4">
        <f>-SUMIFS('01_異動主檔'!$F:$F,'01_異動主檔'!$B:$B,107,'01_異動主檔'!$D:$D,A283,'01_異動主檔'!$E:$E,"精簡")</f>
        <v/>
      </c>
      <c r="I283" s="8">
        <f>C283+D283+E283+F283+G283+H283</f>
        <v/>
      </c>
    </row>
    <row r="284" ht="18" customHeight="1">
      <c r="A284" s="5" t="inlineStr">
        <is>
          <t>第三組</t>
        </is>
      </c>
      <c r="B284" s="6" t="n">
        <v>108</v>
      </c>
      <c r="C284" s="8">
        <f>I283</f>
        <v/>
      </c>
      <c r="D284" s="4">
        <f>SUMIFS('01_異動主檔'!$F:$F,'01_異動主檔'!$B:$B,108,'01_異動主檔'!$D:$D,A284,'01_異動主檔'!$E:$E,"移入")</f>
        <v/>
      </c>
      <c r="E284" s="4">
        <f>-SUMIFS('01_異動主檔'!$F:$F,'01_異動主檔'!$B:$B,108,'01_異動主檔'!$D:$D,A284,'01_異動主檔'!$E:$E,"移出")</f>
        <v/>
      </c>
      <c r="F284" s="4">
        <f>SUMIFS('01_異動主檔'!$F:$F,'01_異動主檔'!$B:$B,108,'01_異動主檔'!$D:$D,A284,'01_異動主檔'!$E:$E,"新增")</f>
        <v/>
      </c>
      <c r="G284" s="4">
        <f>-SUMIFS('01_異動主檔'!$F:$F,'01_異動主檔'!$B:$B,108,'01_異動主檔'!$D:$D,A284,'01_異動主檔'!$E:$E,"減列")</f>
        <v/>
      </c>
      <c r="H284" s="4">
        <f>-SUMIFS('01_異動主檔'!$F:$F,'01_異動主檔'!$B:$B,108,'01_異動主檔'!$D:$D,A284,'01_異動主檔'!$E:$E,"精簡")</f>
        <v/>
      </c>
      <c r="I284" s="8">
        <f>C284+D284+E284+F284+G284+H284</f>
        <v/>
      </c>
    </row>
    <row r="285" ht="18" customHeight="1">
      <c r="A285" s="3" t="inlineStr">
        <is>
          <t>第三組</t>
        </is>
      </c>
      <c r="B285" s="4" t="n">
        <v>109</v>
      </c>
      <c r="C285" s="8">
        <f>I284</f>
        <v/>
      </c>
      <c r="D285" s="4">
        <f>SUMIFS('01_異動主檔'!$F:$F,'01_異動主檔'!$B:$B,109,'01_異動主檔'!$D:$D,A285,'01_異動主檔'!$E:$E,"移入")</f>
        <v/>
      </c>
      <c r="E285" s="4">
        <f>-SUMIFS('01_異動主檔'!$F:$F,'01_異動主檔'!$B:$B,109,'01_異動主檔'!$D:$D,A285,'01_異動主檔'!$E:$E,"移出")</f>
        <v/>
      </c>
      <c r="F285" s="4">
        <f>SUMIFS('01_異動主檔'!$F:$F,'01_異動主檔'!$B:$B,109,'01_異動主檔'!$D:$D,A285,'01_異動主檔'!$E:$E,"新增")</f>
        <v/>
      </c>
      <c r="G285" s="4">
        <f>-SUMIFS('01_異動主檔'!$F:$F,'01_異動主檔'!$B:$B,109,'01_異動主檔'!$D:$D,A285,'01_異動主檔'!$E:$E,"減列")</f>
        <v/>
      </c>
      <c r="H285" s="4">
        <f>-SUMIFS('01_異動主檔'!$F:$F,'01_異動主檔'!$B:$B,109,'01_異動主檔'!$D:$D,A285,'01_異動主檔'!$E:$E,"精簡")</f>
        <v/>
      </c>
      <c r="I285" s="8">
        <f>C285+D285+E285+F285+G285+H285</f>
        <v/>
      </c>
    </row>
    <row r="286" ht="18" customHeight="1">
      <c r="A286" s="5" t="inlineStr">
        <is>
          <t>第三組</t>
        </is>
      </c>
      <c r="B286" s="6" t="n">
        <v>110</v>
      </c>
      <c r="C286" s="8">
        <f>I285</f>
        <v/>
      </c>
      <c r="D286" s="4">
        <f>SUMIFS('01_異動主檔'!$F:$F,'01_異動主檔'!$B:$B,110,'01_異動主檔'!$D:$D,A286,'01_異動主檔'!$E:$E,"移入")</f>
        <v/>
      </c>
      <c r="E286" s="4">
        <f>-SUMIFS('01_異動主檔'!$F:$F,'01_異動主檔'!$B:$B,110,'01_異動主檔'!$D:$D,A286,'01_異動主檔'!$E:$E,"移出")</f>
        <v/>
      </c>
      <c r="F286" s="4">
        <f>SUMIFS('01_異動主檔'!$F:$F,'01_異動主檔'!$B:$B,110,'01_異動主檔'!$D:$D,A286,'01_異動主檔'!$E:$E,"新增")</f>
        <v/>
      </c>
      <c r="G286" s="4">
        <f>-SUMIFS('01_異動主檔'!$F:$F,'01_異動主檔'!$B:$B,110,'01_異動主檔'!$D:$D,A286,'01_異動主檔'!$E:$E,"減列")</f>
        <v/>
      </c>
      <c r="H286" s="4">
        <f>-SUMIFS('01_異動主檔'!$F:$F,'01_異動主檔'!$B:$B,110,'01_異動主檔'!$D:$D,A286,'01_異動主檔'!$E:$E,"精簡")</f>
        <v/>
      </c>
      <c r="I286" s="8">
        <f>C286+D286+E286+F286+G286+H286</f>
        <v/>
      </c>
    </row>
    <row r="287" ht="18" customHeight="1">
      <c r="A287" s="3" t="inlineStr">
        <is>
          <t>第三組</t>
        </is>
      </c>
      <c r="B287" s="4" t="n">
        <v>111</v>
      </c>
      <c r="C287" s="8">
        <f>I286</f>
        <v/>
      </c>
      <c r="D287" s="4">
        <f>SUMIFS('01_異動主檔'!$F:$F,'01_異動主檔'!$B:$B,111,'01_異動主檔'!$D:$D,A287,'01_異動主檔'!$E:$E,"移入")</f>
        <v/>
      </c>
      <c r="E287" s="4">
        <f>-SUMIFS('01_異動主檔'!$F:$F,'01_異動主檔'!$B:$B,111,'01_異動主檔'!$D:$D,A287,'01_異動主檔'!$E:$E,"移出")</f>
        <v/>
      </c>
      <c r="F287" s="4">
        <f>SUMIFS('01_異動主檔'!$F:$F,'01_異動主檔'!$B:$B,111,'01_異動主檔'!$D:$D,A287,'01_異動主檔'!$E:$E,"新增")</f>
        <v/>
      </c>
      <c r="G287" s="4">
        <f>-SUMIFS('01_異動主檔'!$F:$F,'01_異動主檔'!$B:$B,111,'01_異動主檔'!$D:$D,A287,'01_異動主檔'!$E:$E,"減列")</f>
        <v/>
      </c>
      <c r="H287" s="4">
        <f>-SUMIFS('01_異動主檔'!$F:$F,'01_異動主檔'!$B:$B,111,'01_異動主檔'!$D:$D,A287,'01_異動主檔'!$E:$E,"精簡")</f>
        <v/>
      </c>
      <c r="I287" s="8">
        <f>C287+D287+E287+F287+G287+H287</f>
        <v/>
      </c>
    </row>
    <row r="288" ht="18" customHeight="1">
      <c r="A288" s="5" t="inlineStr">
        <is>
          <t>第三組</t>
        </is>
      </c>
      <c r="B288" s="6" t="n">
        <v>112</v>
      </c>
      <c r="C288" s="8">
        <f>I287</f>
        <v/>
      </c>
      <c r="D288" s="4">
        <f>SUMIFS('01_異動主檔'!$F:$F,'01_異動主檔'!$B:$B,112,'01_異動主檔'!$D:$D,A288,'01_異動主檔'!$E:$E,"移入")</f>
        <v/>
      </c>
      <c r="E288" s="4">
        <f>-SUMIFS('01_異動主檔'!$F:$F,'01_異動主檔'!$B:$B,112,'01_異動主檔'!$D:$D,A288,'01_異動主檔'!$E:$E,"移出")</f>
        <v/>
      </c>
      <c r="F288" s="4">
        <f>SUMIFS('01_異動主檔'!$F:$F,'01_異動主檔'!$B:$B,112,'01_異動主檔'!$D:$D,A288,'01_異動主檔'!$E:$E,"新增")</f>
        <v/>
      </c>
      <c r="G288" s="4">
        <f>-SUMIFS('01_異動主檔'!$F:$F,'01_異動主檔'!$B:$B,112,'01_異動主檔'!$D:$D,A288,'01_異動主檔'!$E:$E,"減列")</f>
        <v/>
      </c>
      <c r="H288" s="4">
        <f>-SUMIFS('01_異動主檔'!$F:$F,'01_異動主檔'!$B:$B,112,'01_異動主檔'!$D:$D,A288,'01_異動主檔'!$E:$E,"精簡")</f>
        <v/>
      </c>
      <c r="I288" s="8">
        <f>C288+D288+E288+F288+G288+H288</f>
        <v/>
      </c>
    </row>
    <row r="289" ht="18" customHeight="1">
      <c r="A289" s="3" t="inlineStr">
        <is>
          <t>第三組</t>
        </is>
      </c>
      <c r="B289" s="4" t="n">
        <v>113</v>
      </c>
      <c r="C289" s="8">
        <f>I288</f>
        <v/>
      </c>
      <c r="D289" s="4">
        <f>SUMIFS('01_異動主檔'!$F:$F,'01_異動主檔'!$B:$B,113,'01_異動主檔'!$D:$D,A289,'01_異動主檔'!$E:$E,"移入")</f>
        <v/>
      </c>
      <c r="E289" s="4">
        <f>-SUMIFS('01_異動主檔'!$F:$F,'01_異動主檔'!$B:$B,113,'01_異動主檔'!$D:$D,A289,'01_異動主檔'!$E:$E,"移出")</f>
        <v/>
      </c>
      <c r="F289" s="4">
        <f>SUMIFS('01_異動主檔'!$F:$F,'01_異動主檔'!$B:$B,113,'01_異動主檔'!$D:$D,A289,'01_異動主檔'!$E:$E,"新增")</f>
        <v/>
      </c>
      <c r="G289" s="4">
        <f>-SUMIFS('01_異動主檔'!$F:$F,'01_異動主檔'!$B:$B,113,'01_異動主檔'!$D:$D,A289,'01_異動主檔'!$E:$E,"減列")</f>
        <v/>
      </c>
      <c r="H289" s="4">
        <f>-SUMIFS('01_異動主檔'!$F:$F,'01_異動主檔'!$B:$B,113,'01_異動主檔'!$D:$D,A289,'01_異動主檔'!$E:$E,"精簡")</f>
        <v/>
      </c>
      <c r="I289" s="8">
        <f>C289+D289+E289+F289+G289+H289</f>
        <v/>
      </c>
    </row>
    <row r="290" ht="18" customHeight="1">
      <c r="A290" s="5" t="inlineStr">
        <is>
          <t>第三組</t>
        </is>
      </c>
      <c r="B290" s="6" t="n">
        <v>114</v>
      </c>
      <c r="C290" s="8">
        <f>I289</f>
        <v/>
      </c>
      <c r="D290" s="4">
        <f>SUMIFS('01_異動主檔'!$F:$F,'01_異動主檔'!$B:$B,114,'01_異動主檔'!$D:$D,A290,'01_異動主檔'!$E:$E,"移入")</f>
        <v/>
      </c>
      <c r="E290" s="4">
        <f>-SUMIFS('01_異動主檔'!$F:$F,'01_異動主檔'!$B:$B,114,'01_異動主檔'!$D:$D,A290,'01_異動主檔'!$E:$E,"移出")</f>
        <v/>
      </c>
      <c r="F290" s="4">
        <f>SUMIFS('01_異動主檔'!$F:$F,'01_異動主檔'!$B:$B,114,'01_異動主檔'!$D:$D,A290,'01_異動主檔'!$E:$E,"新增")</f>
        <v/>
      </c>
      <c r="G290" s="4">
        <f>-SUMIFS('01_異動主檔'!$F:$F,'01_異動主檔'!$B:$B,114,'01_異動主檔'!$D:$D,A290,'01_異動主檔'!$E:$E,"減列")</f>
        <v/>
      </c>
      <c r="H290" s="4">
        <f>-SUMIFS('01_異動主檔'!$F:$F,'01_異動主檔'!$B:$B,114,'01_異動主檔'!$D:$D,A290,'01_異動主檔'!$E:$E,"精簡")</f>
        <v/>
      </c>
      <c r="I290" s="8">
        <f>C290+D290+E290+F290+G290+H290</f>
        <v/>
      </c>
    </row>
    <row r="291" ht="18" customHeight="1">
      <c r="A291" s="3" t="inlineStr">
        <is>
          <t>第三組</t>
        </is>
      </c>
      <c r="B291" s="4" t="n">
        <v>115</v>
      </c>
      <c r="C291" s="8">
        <f>I290</f>
        <v/>
      </c>
      <c r="D291" s="4">
        <f>SUMIFS('01_異動主檔'!$F:$F,'01_異動主檔'!$B:$B,115,'01_異動主檔'!$D:$D,A291,'01_異動主檔'!$E:$E,"移入")</f>
        <v/>
      </c>
      <c r="E291" s="4">
        <f>-SUMIFS('01_異動主檔'!$F:$F,'01_異動主檔'!$B:$B,115,'01_異動主檔'!$D:$D,A291,'01_異動主檔'!$E:$E,"移出")</f>
        <v/>
      </c>
      <c r="F291" s="4">
        <f>SUMIFS('01_異動主檔'!$F:$F,'01_異動主檔'!$B:$B,115,'01_異動主檔'!$D:$D,A291,'01_異動主檔'!$E:$E,"新增")</f>
        <v/>
      </c>
      <c r="G291" s="4">
        <f>-SUMIFS('01_異動主檔'!$F:$F,'01_異動主檔'!$B:$B,115,'01_異動主檔'!$D:$D,A291,'01_異動主檔'!$E:$E,"減列")</f>
        <v/>
      </c>
      <c r="H291" s="4">
        <f>-SUMIFS('01_異動主檔'!$F:$F,'01_異動主檔'!$B:$B,115,'01_異動主檔'!$D:$D,A291,'01_異動主檔'!$E:$E,"精簡")</f>
        <v/>
      </c>
      <c r="I291" s="8">
        <f>C291+D291+E291+F291+G291+H291</f>
        <v/>
      </c>
    </row>
    <row r="292" ht="18" customHeight="1">
      <c r="A292" s="5" t="inlineStr">
        <is>
          <t>第三組</t>
        </is>
      </c>
      <c r="B292" s="6" t="n">
        <v>116</v>
      </c>
      <c r="C292" s="8">
        <f>I291</f>
        <v/>
      </c>
      <c r="D292" s="4">
        <f>SUMIFS('01_異動主檔'!$F:$F,'01_異動主檔'!$B:$B,116,'01_異動主檔'!$D:$D,A292,'01_異動主檔'!$E:$E,"移入")</f>
        <v/>
      </c>
      <c r="E292" s="4">
        <f>-SUMIFS('01_異動主檔'!$F:$F,'01_異動主檔'!$B:$B,116,'01_異動主檔'!$D:$D,A292,'01_異動主檔'!$E:$E,"移出")</f>
        <v/>
      </c>
      <c r="F292" s="4">
        <f>SUMIFS('01_異動主檔'!$F:$F,'01_異動主檔'!$B:$B,116,'01_異動主檔'!$D:$D,A292,'01_異動主檔'!$E:$E,"新增")</f>
        <v/>
      </c>
      <c r="G292" s="4">
        <f>-SUMIFS('01_異動主檔'!$F:$F,'01_異動主檔'!$B:$B,116,'01_異動主檔'!$D:$D,A292,'01_異動主檔'!$E:$E,"減列")</f>
        <v/>
      </c>
      <c r="H292" s="4">
        <f>-SUMIFS('01_異動主檔'!$F:$F,'01_異動主檔'!$B:$B,116,'01_異動主檔'!$D:$D,A292,'01_異動主檔'!$E:$E,"精簡")</f>
        <v/>
      </c>
      <c r="I292" s="8">
        <f>C292+D292+E292+F292+G292+H292</f>
        <v/>
      </c>
    </row>
    <row r="293" ht="18" customHeight="1">
      <c r="A293" s="3" t="inlineStr">
        <is>
          <t>第三組</t>
        </is>
      </c>
      <c r="B293" s="4" t="n">
        <v>117</v>
      </c>
      <c r="C293" s="8">
        <f>I292</f>
        <v/>
      </c>
      <c r="D293" s="4">
        <f>SUMIFS('01_異動主檔'!$F:$F,'01_異動主檔'!$B:$B,117,'01_異動主檔'!$D:$D,A293,'01_異動主檔'!$E:$E,"移入")</f>
        <v/>
      </c>
      <c r="E293" s="4">
        <f>-SUMIFS('01_異動主檔'!$F:$F,'01_異動主檔'!$B:$B,117,'01_異動主檔'!$D:$D,A293,'01_異動主檔'!$E:$E,"移出")</f>
        <v/>
      </c>
      <c r="F293" s="4">
        <f>SUMIFS('01_異動主檔'!$F:$F,'01_異動主檔'!$B:$B,117,'01_異動主檔'!$D:$D,A293,'01_異動主檔'!$E:$E,"新增")</f>
        <v/>
      </c>
      <c r="G293" s="4">
        <f>-SUMIFS('01_異動主檔'!$F:$F,'01_異動主檔'!$B:$B,117,'01_異動主檔'!$D:$D,A293,'01_異動主檔'!$E:$E,"減列")</f>
        <v/>
      </c>
      <c r="H293" s="4">
        <f>-SUMIFS('01_異動主檔'!$F:$F,'01_異動主檔'!$B:$B,117,'01_異動主檔'!$D:$D,A293,'01_異動主檔'!$E:$E,"精簡")</f>
        <v/>
      </c>
      <c r="I293" s="8">
        <f>C293+D293+E293+F293+G293+H293</f>
        <v/>
      </c>
    </row>
    <row r="294" ht="18" customHeight="1">
      <c r="A294" s="5" t="inlineStr">
        <is>
          <t>第三組</t>
        </is>
      </c>
      <c r="B294" s="6" t="n">
        <v>118</v>
      </c>
      <c r="C294" s="8">
        <f>I293</f>
        <v/>
      </c>
      <c r="D294" s="4">
        <f>SUMIFS('01_異動主檔'!$F:$F,'01_異動主檔'!$B:$B,118,'01_異動主檔'!$D:$D,A294,'01_異動主檔'!$E:$E,"移入")</f>
        <v/>
      </c>
      <c r="E294" s="4">
        <f>-SUMIFS('01_異動主檔'!$F:$F,'01_異動主檔'!$B:$B,118,'01_異動主檔'!$D:$D,A294,'01_異動主檔'!$E:$E,"移出")</f>
        <v/>
      </c>
      <c r="F294" s="4">
        <f>SUMIFS('01_異動主檔'!$F:$F,'01_異動主檔'!$B:$B,118,'01_異動主檔'!$D:$D,A294,'01_異動主檔'!$E:$E,"新增")</f>
        <v/>
      </c>
      <c r="G294" s="4">
        <f>-SUMIFS('01_異動主檔'!$F:$F,'01_異動主檔'!$B:$B,118,'01_異動主檔'!$D:$D,A294,'01_異動主檔'!$E:$E,"減列")</f>
        <v/>
      </c>
      <c r="H294" s="4">
        <f>-SUMIFS('01_異動主檔'!$F:$F,'01_異動主檔'!$B:$B,118,'01_異動主檔'!$D:$D,A294,'01_異動主檔'!$E:$E,"精簡")</f>
        <v/>
      </c>
      <c r="I294" s="8">
        <f>C294+D294+E294+F294+G294+H294</f>
        <v/>
      </c>
    </row>
    <row r="295" ht="18" customHeight="1">
      <c r="A295" s="3" t="inlineStr">
        <is>
          <t>第三組</t>
        </is>
      </c>
      <c r="B295" s="4" t="n">
        <v>119</v>
      </c>
      <c r="C295" s="8">
        <f>I294</f>
        <v/>
      </c>
      <c r="D295" s="4">
        <f>SUMIFS('01_異動主檔'!$F:$F,'01_異動主檔'!$B:$B,119,'01_異動主檔'!$D:$D,A295,'01_異動主檔'!$E:$E,"移入")</f>
        <v/>
      </c>
      <c r="E295" s="4">
        <f>-SUMIFS('01_異動主檔'!$F:$F,'01_異動主檔'!$B:$B,119,'01_異動主檔'!$D:$D,A295,'01_異動主檔'!$E:$E,"移出")</f>
        <v/>
      </c>
      <c r="F295" s="4">
        <f>SUMIFS('01_異動主檔'!$F:$F,'01_異動主檔'!$B:$B,119,'01_異動主檔'!$D:$D,A295,'01_異動主檔'!$E:$E,"新增")</f>
        <v/>
      </c>
      <c r="G295" s="4">
        <f>-SUMIFS('01_異動主檔'!$F:$F,'01_異動主檔'!$B:$B,119,'01_異動主檔'!$D:$D,A295,'01_異動主檔'!$E:$E,"減列")</f>
        <v/>
      </c>
      <c r="H295" s="4">
        <f>-SUMIFS('01_異動主檔'!$F:$F,'01_異動主檔'!$B:$B,119,'01_異動主檔'!$D:$D,A295,'01_異動主檔'!$E:$E,"精簡")</f>
        <v/>
      </c>
      <c r="I295" s="8">
        <f>C295+D295+E295+F295+G295+H295</f>
        <v/>
      </c>
    </row>
    <row r="296" ht="18" customHeight="1">
      <c r="A296" s="5" t="inlineStr">
        <is>
          <t>第三組</t>
        </is>
      </c>
      <c r="B296" s="6" t="n">
        <v>120</v>
      </c>
      <c r="C296" s="8">
        <f>I295</f>
        <v/>
      </c>
      <c r="D296" s="4">
        <f>SUMIFS('01_異動主檔'!$F:$F,'01_異動主檔'!$B:$B,120,'01_異動主檔'!$D:$D,A296,'01_異動主檔'!$E:$E,"移入")</f>
        <v/>
      </c>
      <c r="E296" s="4">
        <f>-SUMIFS('01_異動主檔'!$F:$F,'01_異動主檔'!$B:$B,120,'01_異動主檔'!$D:$D,A296,'01_異動主檔'!$E:$E,"移出")</f>
        <v/>
      </c>
      <c r="F296" s="4">
        <f>SUMIFS('01_異動主檔'!$F:$F,'01_異動主檔'!$B:$B,120,'01_異動主檔'!$D:$D,A296,'01_異動主檔'!$E:$E,"新增")</f>
        <v/>
      </c>
      <c r="G296" s="4">
        <f>-SUMIFS('01_異動主檔'!$F:$F,'01_異動主檔'!$B:$B,120,'01_異動主檔'!$D:$D,A296,'01_異動主檔'!$E:$E,"減列")</f>
        <v/>
      </c>
      <c r="H296" s="4">
        <f>-SUMIFS('01_異動主檔'!$F:$F,'01_異動主檔'!$B:$B,120,'01_異動主檔'!$D:$D,A296,'01_異動主檔'!$E:$E,"精簡")</f>
        <v/>
      </c>
      <c r="I296" s="8">
        <f>C296+D296+E296+F296+G296+H296</f>
        <v/>
      </c>
    </row>
    <row r="297" ht="18" customHeight="1">
      <c r="A297" s="3" t="inlineStr">
        <is>
          <t>第三組</t>
        </is>
      </c>
      <c r="B297" s="4" t="n">
        <v>121</v>
      </c>
      <c r="C297" s="8">
        <f>I296</f>
        <v/>
      </c>
      <c r="D297" s="4">
        <f>SUMIFS('01_異動主檔'!$F:$F,'01_異動主檔'!$B:$B,121,'01_異動主檔'!$D:$D,A297,'01_異動主檔'!$E:$E,"移入")</f>
        <v/>
      </c>
      <c r="E297" s="4">
        <f>-SUMIFS('01_異動主檔'!$F:$F,'01_異動主檔'!$B:$B,121,'01_異動主檔'!$D:$D,A297,'01_異動主檔'!$E:$E,"移出")</f>
        <v/>
      </c>
      <c r="F297" s="4">
        <f>SUMIFS('01_異動主檔'!$F:$F,'01_異動主檔'!$B:$B,121,'01_異動主檔'!$D:$D,A297,'01_異動主檔'!$E:$E,"新增")</f>
        <v/>
      </c>
      <c r="G297" s="4">
        <f>-SUMIFS('01_異動主檔'!$F:$F,'01_異動主檔'!$B:$B,121,'01_異動主檔'!$D:$D,A297,'01_異動主檔'!$E:$E,"減列")</f>
        <v/>
      </c>
      <c r="H297" s="4">
        <f>-SUMIFS('01_異動主檔'!$F:$F,'01_異動主檔'!$B:$B,121,'01_異動主檔'!$D:$D,A297,'01_異動主檔'!$E:$E,"精簡")</f>
        <v/>
      </c>
      <c r="I297" s="8">
        <f>C297+D297+E297+F297+G297+H297</f>
        <v/>
      </c>
    </row>
    <row r="298" ht="18" customHeight="1">
      <c r="A298" s="5" t="inlineStr">
        <is>
          <t>第三組</t>
        </is>
      </c>
      <c r="B298" s="6" t="n">
        <v>122</v>
      </c>
      <c r="C298" s="8">
        <f>I297</f>
        <v/>
      </c>
      <c r="D298" s="4">
        <f>SUMIFS('01_異動主檔'!$F:$F,'01_異動主檔'!$B:$B,122,'01_異動主檔'!$D:$D,A298,'01_異動主檔'!$E:$E,"移入")</f>
        <v/>
      </c>
      <c r="E298" s="4">
        <f>-SUMIFS('01_異動主檔'!$F:$F,'01_異動主檔'!$B:$B,122,'01_異動主檔'!$D:$D,A298,'01_異動主檔'!$E:$E,"移出")</f>
        <v/>
      </c>
      <c r="F298" s="4">
        <f>SUMIFS('01_異動主檔'!$F:$F,'01_異動主檔'!$B:$B,122,'01_異動主檔'!$D:$D,A298,'01_異動主檔'!$E:$E,"新增")</f>
        <v/>
      </c>
      <c r="G298" s="4">
        <f>-SUMIFS('01_異動主檔'!$F:$F,'01_異動主檔'!$B:$B,122,'01_異動主檔'!$D:$D,A298,'01_異動主檔'!$E:$E,"減列")</f>
        <v/>
      </c>
      <c r="H298" s="4">
        <f>-SUMIFS('01_異動主檔'!$F:$F,'01_異動主檔'!$B:$B,122,'01_異動主檔'!$D:$D,A298,'01_異動主檔'!$E:$E,"精簡")</f>
        <v/>
      </c>
      <c r="I298" s="8">
        <f>C298+D298+E298+F298+G298+H298</f>
        <v/>
      </c>
    </row>
    <row r="299" ht="18" customHeight="1">
      <c r="A299" s="3" t="inlineStr">
        <is>
          <t>第三組</t>
        </is>
      </c>
      <c r="B299" s="4" t="n">
        <v>123</v>
      </c>
      <c r="C299" s="8">
        <f>I298</f>
        <v/>
      </c>
      <c r="D299" s="4">
        <f>SUMIFS('01_異動主檔'!$F:$F,'01_異動主檔'!$B:$B,123,'01_異動主檔'!$D:$D,A299,'01_異動主檔'!$E:$E,"移入")</f>
        <v/>
      </c>
      <c r="E299" s="4">
        <f>-SUMIFS('01_異動主檔'!$F:$F,'01_異動主檔'!$B:$B,123,'01_異動主檔'!$D:$D,A299,'01_異動主檔'!$E:$E,"移出")</f>
        <v/>
      </c>
      <c r="F299" s="4">
        <f>SUMIFS('01_異動主檔'!$F:$F,'01_異動主檔'!$B:$B,123,'01_異動主檔'!$D:$D,A299,'01_異動主檔'!$E:$E,"新增")</f>
        <v/>
      </c>
      <c r="G299" s="4">
        <f>-SUMIFS('01_異動主檔'!$F:$F,'01_異動主檔'!$B:$B,123,'01_異動主檔'!$D:$D,A299,'01_異動主檔'!$E:$E,"減列")</f>
        <v/>
      </c>
      <c r="H299" s="4">
        <f>-SUMIFS('01_異動主檔'!$F:$F,'01_異動主檔'!$B:$B,123,'01_異動主檔'!$D:$D,A299,'01_異動主檔'!$E:$E,"精簡")</f>
        <v/>
      </c>
      <c r="I299" s="8">
        <f>C299+D299+E299+F299+G299+H299</f>
        <v/>
      </c>
    </row>
    <row r="300" ht="18" customHeight="1">
      <c r="A300" s="5" t="inlineStr">
        <is>
          <t>第三組</t>
        </is>
      </c>
      <c r="B300" s="6" t="n">
        <v>124</v>
      </c>
      <c r="C300" s="8">
        <f>I299</f>
        <v/>
      </c>
      <c r="D300" s="4">
        <f>SUMIFS('01_異動主檔'!$F:$F,'01_異動主檔'!$B:$B,124,'01_異動主檔'!$D:$D,A300,'01_異動主檔'!$E:$E,"移入")</f>
        <v/>
      </c>
      <c r="E300" s="4">
        <f>-SUMIFS('01_異動主檔'!$F:$F,'01_異動主檔'!$B:$B,124,'01_異動主檔'!$D:$D,A300,'01_異動主檔'!$E:$E,"移出")</f>
        <v/>
      </c>
      <c r="F300" s="4">
        <f>SUMIFS('01_異動主檔'!$F:$F,'01_異動主檔'!$B:$B,124,'01_異動主檔'!$D:$D,A300,'01_異動主檔'!$E:$E,"新增")</f>
        <v/>
      </c>
      <c r="G300" s="4">
        <f>-SUMIFS('01_異動主檔'!$F:$F,'01_異動主檔'!$B:$B,124,'01_異動主檔'!$D:$D,A300,'01_異動主檔'!$E:$E,"減列")</f>
        <v/>
      </c>
      <c r="H300" s="4">
        <f>-SUMIFS('01_異動主檔'!$F:$F,'01_異動主檔'!$B:$B,124,'01_異動主檔'!$D:$D,A300,'01_異動主檔'!$E:$E,"精簡")</f>
        <v/>
      </c>
      <c r="I300" s="8">
        <f>C300+D300+E300+F300+G300+H300</f>
        <v/>
      </c>
    </row>
    <row r="301" ht="18" customHeight="1">
      <c r="A301" s="3" t="inlineStr">
        <is>
          <t>第三組</t>
        </is>
      </c>
      <c r="B301" s="4" t="n">
        <v>125</v>
      </c>
      <c r="C301" s="8">
        <f>I300</f>
        <v/>
      </c>
      <c r="D301" s="4">
        <f>SUMIFS('01_異動主檔'!$F:$F,'01_異動主檔'!$B:$B,125,'01_異動主檔'!$D:$D,A301,'01_異動主檔'!$E:$E,"移入")</f>
        <v/>
      </c>
      <c r="E301" s="4">
        <f>-SUMIFS('01_異動主檔'!$F:$F,'01_異動主檔'!$B:$B,125,'01_異動主檔'!$D:$D,A301,'01_異動主檔'!$E:$E,"移出")</f>
        <v/>
      </c>
      <c r="F301" s="4">
        <f>SUMIFS('01_異動主檔'!$F:$F,'01_異動主檔'!$B:$B,125,'01_異動主檔'!$D:$D,A301,'01_異動主檔'!$E:$E,"新增")</f>
        <v/>
      </c>
      <c r="G301" s="4">
        <f>-SUMIFS('01_異動主檔'!$F:$F,'01_異動主檔'!$B:$B,125,'01_異動主檔'!$D:$D,A301,'01_異動主檔'!$E:$E,"減列")</f>
        <v/>
      </c>
      <c r="H301" s="4">
        <f>-SUMIFS('01_異動主檔'!$F:$F,'01_異動主檔'!$B:$B,125,'01_異動主檔'!$D:$D,A301,'01_異動主檔'!$E:$E,"精簡")</f>
        <v/>
      </c>
      <c r="I301" s="8">
        <f>C301+D301+E301+F301+G301+H301</f>
        <v/>
      </c>
    </row>
    <row r="302" ht="18" customHeight="1">
      <c r="A302" s="5" t="inlineStr">
        <is>
          <t>第四組</t>
        </is>
      </c>
      <c r="B302" s="6" t="n">
        <v>99</v>
      </c>
      <c r="C302" s="8">
        <f>'02_年初員額設定'!B16</f>
        <v/>
      </c>
      <c r="D302" s="4">
        <f>SUMIFS('01_異動主檔'!$F:$F,'01_異動主檔'!$B:$B,99,'01_異動主檔'!$D:$D,A302,'01_異動主檔'!$E:$E,"移入")</f>
        <v/>
      </c>
      <c r="E302" s="4">
        <f>-SUMIFS('01_異動主檔'!$F:$F,'01_異動主檔'!$B:$B,99,'01_異動主檔'!$D:$D,A302,'01_異動主檔'!$E:$E,"移出")</f>
        <v/>
      </c>
      <c r="F302" s="4">
        <f>SUMIFS('01_異動主檔'!$F:$F,'01_異動主檔'!$B:$B,99,'01_異動主檔'!$D:$D,A302,'01_異動主檔'!$E:$E,"新增")</f>
        <v/>
      </c>
      <c r="G302" s="4">
        <f>-SUMIFS('01_異動主檔'!$F:$F,'01_異動主檔'!$B:$B,99,'01_異動主檔'!$D:$D,A302,'01_異動主檔'!$E:$E,"減列")</f>
        <v/>
      </c>
      <c r="H302" s="4">
        <f>-SUMIFS('01_異動主檔'!$F:$F,'01_異動主檔'!$B:$B,99,'01_異動主檔'!$D:$D,A302,'01_異動主檔'!$E:$E,"精簡")</f>
        <v/>
      </c>
      <c r="I302" s="8">
        <f>C302+D302+E302+F302+G302+H302</f>
        <v/>
      </c>
    </row>
    <row r="303" ht="18" customHeight="1">
      <c r="A303" s="3" t="inlineStr">
        <is>
          <t>第四組</t>
        </is>
      </c>
      <c r="B303" s="4" t="n">
        <v>100</v>
      </c>
      <c r="C303" s="8">
        <f>I302</f>
        <v/>
      </c>
      <c r="D303" s="4">
        <f>SUMIFS('01_異動主檔'!$F:$F,'01_異動主檔'!$B:$B,100,'01_異動主檔'!$D:$D,A303,'01_異動主檔'!$E:$E,"移入")</f>
        <v/>
      </c>
      <c r="E303" s="4">
        <f>-SUMIFS('01_異動主檔'!$F:$F,'01_異動主檔'!$B:$B,100,'01_異動主檔'!$D:$D,A303,'01_異動主檔'!$E:$E,"移出")</f>
        <v/>
      </c>
      <c r="F303" s="4">
        <f>SUMIFS('01_異動主檔'!$F:$F,'01_異動主檔'!$B:$B,100,'01_異動主檔'!$D:$D,A303,'01_異動主檔'!$E:$E,"新增")</f>
        <v/>
      </c>
      <c r="G303" s="4">
        <f>-SUMIFS('01_異動主檔'!$F:$F,'01_異動主檔'!$B:$B,100,'01_異動主檔'!$D:$D,A303,'01_異動主檔'!$E:$E,"減列")</f>
        <v/>
      </c>
      <c r="H303" s="4">
        <f>-SUMIFS('01_異動主檔'!$F:$F,'01_異動主檔'!$B:$B,100,'01_異動主檔'!$D:$D,A303,'01_異動主檔'!$E:$E,"精簡")</f>
        <v/>
      </c>
      <c r="I303" s="8">
        <f>C303+D303+E303+F303+G303+H303</f>
        <v/>
      </c>
    </row>
    <row r="304" ht="18" customHeight="1">
      <c r="A304" s="5" t="inlineStr">
        <is>
          <t>第四組</t>
        </is>
      </c>
      <c r="B304" s="6" t="n">
        <v>101</v>
      </c>
      <c r="C304" s="8">
        <f>I303</f>
        <v/>
      </c>
      <c r="D304" s="4">
        <f>SUMIFS('01_異動主檔'!$F:$F,'01_異動主檔'!$B:$B,101,'01_異動主檔'!$D:$D,A304,'01_異動主檔'!$E:$E,"移入")</f>
        <v/>
      </c>
      <c r="E304" s="4">
        <f>-SUMIFS('01_異動主檔'!$F:$F,'01_異動主檔'!$B:$B,101,'01_異動主檔'!$D:$D,A304,'01_異動主檔'!$E:$E,"移出")</f>
        <v/>
      </c>
      <c r="F304" s="4">
        <f>SUMIFS('01_異動主檔'!$F:$F,'01_異動主檔'!$B:$B,101,'01_異動主檔'!$D:$D,A304,'01_異動主檔'!$E:$E,"新增")</f>
        <v/>
      </c>
      <c r="G304" s="4">
        <f>-SUMIFS('01_異動主檔'!$F:$F,'01_異動主檔'!$B:$B,101,'01_異動主檔'!$D:$D,A304,'01_異動主檔'!$E:$E,"減列")</f>
        <v/>
      </c>
      <c r="H304" s="4">
        <f>-SUMIFS('01_異動主檔'!$F:$F,'01_異動主檔'!$B:$B,101,'01_異動主檔'!$D:$D,A304,'01_異動主檔'!$E:$E,"精簡")</f>
        <v/>
      </c>
      <c r="I304" s="8">
        <f>C304+D304+E304+F304+G304+H304</f>
        <v/>
      </c>
    </row>
    <row r="305" ht="18" customHeight="1">
      <c r="A305" s="3" t="inlineStr">
        <is>
          <t>第四組</t>
        </is>
      </c>
      <c r="B305" s="4" t="n">
        <v>102</v>
      </c>
      <c r="C305" s="8">
        <f>I304</f>
        <v/>
      </c>
      <c r="D305" s="4">
        <f>SUMIFS('01_異動主檔'!$F:$F,'01_異動主檔'!$B:$B,102,'01_異動主檔'!$D:$D,A305,'01_異動主檔'!$E:$E,"移入")</f>
        <v/>
      </c>
      <c r="E305" s="4">
        <f>-SUMIFS('01_異動主檔'!$F:$F,'01_異動主檔'!$B:$B,102,'01_異動主檔'!$D:$D,A305,'01_異動主檔'!$E:$E,"移出")</f>
        <v/>
      </c>
      <c r="F305" s="4">
        <f>SUMIFS('01_異動主檔'!$F:$F,'01_異動主檔'!$B:$B,102,'01_異動主檔'!$D:$D,A305,'01_異動主檔'!$E:$E,"新增")</f>
        <v/>
      </c>
      <c r="G305" s="4">
        <f>-SUMIFS('01_異動主檔'!$F:$F,'01_異動主檔'!$B:$B,102,'01_異動主檔'!$D:$D,A305,'01_異動主檔'!$E:$E,"減列")</f>
        <v/>
      </c>
      <c r="H305" s="4">
        <f>-SUMIFS('01_異動主檔'!$F:$F,'01_異動主檔'!$B:$B,102,'01_異動主檔'!$D:$D,A305,'01_異動主檔'!$E:$E,"精簡")</f>
        <v/>
      </c>
      <c r="I305" s="8">
        <f>C305+D305+E305+F305+G305+H305</f>
        <v/>
      </c>
    </row>
    <row r="306" ht="18" customHeight="1">
      <c r="A306" s="5" t="inlineStr">
        <is>
          <t>第四組</t>
        </is>
      </c>
      <c r="B306" s="6" t="n">
        <v>103</v>
      </c>
      <c r="C306" s="8">
        <f>I305</f>
        <v/>
      </c>
      <c r="D306" s="4">
        <f>SUMIFS('01_異動主檔'!$F:$F,'01_異動主檔'!$B:$B,103,'01_異動主檔'!$D:$D,A306,'01_異動主檔'!$E:$E,"移入")</f>
        <v/>
      </c>
      <c r="E306" s="4">
        <f>-SUMIFS('01_異動主檔'!$F:$F,'01_異動主檔'!$B:$B,103,'01_異動主檔'!$D:$D,A306,'01_異動主檔'!$E:$E,"移出")</f>
        <v/>
      </c>
      <c r="F306" s="4">
        <f>SUMIFS('01_異動主檔'!$F:$F,'01_異動主檔'!$B:$B,103,'01_異動主檔'!$D:$D,A306,'01_異動主檔'!$E:$E,"新增")</f>
        <v/>
      </c>
      <c r="G306" s="4">
        <f>-SUMIFS('01_異動主檔'!$F:$F,'01_異動主檔'!$B:$B,103,'01_異動主檔'!$D:$D,A306,'01_異動主檔'!$E:$E,"減列")</f>
        <v/>
      </c>
      <c r="H306" s="4">
        <f>-SUMIFS('01_異動主檔'!$F:$F,'01_異動主檔'!$B:$B,103,'01_異動主檔'!$D:$D,A306,'01_異動主檔'!$E:$E,"精簡")</f>
        <v/>
      </c>
      <c r="I306" s="8">
        <f>C306+D306+E306+F306+G306+H306</f>
        <v/>
      </c>
    </row>
    <row r="307" ht="18" customHeight="1">
      <c r="A307" s="3" t="inlineStr">
        <is>
          <t>第四組</t>
        </is>
      </c>
      <c r="B307" s="4" t="n">
        <v>104</v>
      </c>
      <c r="C307" s="8">
        <f>I306</f>
        <v/>
      </c>
      <c r="D307" s="4">
        <f>SUMIFS('01_異動主檔'!$F:$F,'01_異動主檔'!$B:$B,104,'01_異動主檔'!$D:$D,A307,'01_異動主檔'!$E:$E,"移入")</f>
        <v/>
      </c>
      <c r="E307" s="4">
        <f>-SUMIFS('01_異動主檔'!$F:$F,'01_異動主檔'!$B:$B,104,'01_異動主檔'!$D:$D,A307,'01_異動主檔'!$E:$E,"移出")</f>
        <v/>
      </c>
      <c r="F307" s="4">
        <f>SUMIFS('01_異動主檔'!$F:$F,'01_異動主檔'!$B:$B,104,'01_異動主檔'!$D:$D,A307,'01_異動主檔'!$E:$E,"新增")</f>
        <v/>
      </c>
      <c r="G307" s="4">
        <f>-SUMIFS('01_異動主檔'!$F:$F,'01_異動主檔'!$B:$B,104,'01_異動主檔'!$D:$D,A307,'01_異動主檔'!$E:$E,"減列")</f>
        <v/>
      </c>
      <c r="H307" s="4">
        <f>-SUMIFS('01_異動主檔'!$F:$F,'01_異動主檔'!$B:$B,104,'01_異動主檔'!$D:$D,A307,'01_異動主檔'!$E:$E,"精簡")</f>
        <v/>
      </c>
      <c r="I307" s="8">
        <f>C307+D307+E307+F307+G307+H307</f>
        <v/>
      </c>
    </row>
    <row r="308" ht="18" customHeight="1">
      <c r="A308" s="5" t="inlineStr">
        <is>
          <t>第四組</t>
        </is>
      </c>
      <c r="B308" s="6" t="n">
        <v>105</v>
      </c>
      <c r="C308" s="8">
        <f>I307</f>
        <v/>
      </c>
      <c r="D308" s="4">
        <f>SUMIFS('01_異動主檔'!$F:$F,'01_異動主檔'!$B:$B,105,'01_異動主檔'!$D:$D,A308,'01_異動主檔'!$E:$E,"移入")</f>
        <v/>
      </c>
      <c r="E308" s="4">
        <f>-SUMIFS('01_異動主檔'!$F:$F,'01_異動主檔'!$B:$B,105,'01_異動主檔'!$D:$D,A308,'01_異動主檔'!$E:$E,"移出")</f>
        <v/>
      </c>
      <c r="F308" s="4">
        <f>SUMIFS('01_異動主檔'!$F:$F,'01_異動主檔'!$B:$B,105,'01_異動主檔'!$D:$D,A308,'01_異動主檔'!$E:$E,"新增")</f>
        <v/>
      </c>
      <c r="G308" s="4">
        <f>-SUMIFS('01_異動主檔'!$F:$F,'01_異動主檔'!$B:$B,105,'01_異動主檔'!$D:$D,A308,'01_異動主檔'!$E:$E,"減列")</f>
        <v/>
      </c>
      <c r="H308" s="4">
        <f>-SUMIFS('01_異動主檔'!$F:$F,'01_異動主檔'!$B:$B,105,'01_異動主檔'!$D:$D,A308,'01_異動主檔'!$E:$E,"精簡")</f>
        <v/>
      </c>
      <c r="I308" s="8">
        <f>C308+D308+E308+F308+G308+H308</f>
        <v/>
      </c>
    </row>
    <row r="309" ht="18" customHeight="1">
      <c r="A309" s="3" t="inlineStr">
        <is>
          <t>第四組</t>
        </is>
      </c>
      <c r="B309" s="4" t="n">
        <v>106</v>
      </c>
      <c r="C309" s="8">
        <f>I308</f>
        <v/>
      </c>
      <c r="D309" s="4">
        <f>SUMIFS('01_異動主檔'!$F:$F,'01_異動主檔'!$B:$B,106,'01_異動主檔'!$D:$D,A309,'01_異動主檔'!$E:$E,"移入")</f>
        <v/>
      </c>
      <c r="E309" s="4">
        <f>-SUMIFS('01_異動主檔'!$F:$F,'01_異動主檔'!$B:$B,106,'01_異動主檔'!$D:$D,A309,'01_異動主檔'!$E:$E,"移出")</f>
        <v/>
      </c>
      <c r="F309" s="4">
        <f>SUMIFS('01_異動主檔'!$F:$F,'01_異動主檔'!$B:$B,106,'01_異動主檔'!$D:$D,A309,'01_異動主檔'!$E:$E,"新增")</f>
        <v/>
      </c>
      <c r="G309" s="4">
        <f>-SUMIFS('01_異動主檔'!$F:$F,'01_異動主檔'!$B:$B,106,'01_異動主檔'!$D:$D,A309,'01_異動主檔'!$E:$E,"減列")</f>
        <v/>
      </c>
      <c r="H309" s="4">
        <f>-SUMIFS('01_異動主檔'!$F:$F,'01_異動主檔'!$B:$B,106,'01_異動主檔'!$D:$D,A309,'01_異動主檔'!$E:$E,"精簡")</f>
        <v/>
      </c>
      <c r="I309" s="8">
        <f>C309+D309+E309+F309+G309+H309</f>
        <v/>
      </c>
    </row>
    <row r="310" ht="18" customHeight="1">
      <c r="A310" s="5" t="inlineStr">
        <is>
          <t>第四組</t>
        </is>
      </c>
      <c r="B310" s="6" t="n">
        <v>107</v>
      </c>
      <c r="C310" s="8">
        <f>I309</f>
        <v/>
      </c>
      <c r="D310" s="4">
        <f>SUMIFS('01_異動主檔'!$F:$F,'01_異動主檔'!$B:$B,107,'01_異動主檔'!$D:$D,A310,'01_異動主檔'!$E:$E,"移入")</f>
        <v/>
      </c>
      <c r="E310" s="4">
        <f>-SUMIFS('01_異動主檔'!$F:$F,'01_異動主檔'!$B:$B,107,'01_異動主檔'!$D:$D,A310,'01_異動主檔'!$E:$E,"移出")</f>
        <v/>
      </c>
      <c r="F310" s="4">
        <f>SUMIFS('01_異動主檔'!$F:$F,'01_異動主檔'!$B:$B,107,'01_異動主檔'!$D:$D,A310,'01_異動主檔'!$E:$E,"新增")</f>
        <v/>
      </c>
      <c r="G310" s="4">
        <f>-SUMIFS('01_異動主檔'!$F:$F,'01_異動主檔'!$B:$B,107,'01_異動主檔'!$D:$D,A310,'01_異動主檔'!$E:$E,"減列")</f>
        <v/>
      </c>
      <c r="H310" s="4">
        <f>-SUMIFS('01_異動主檔'!$F:$F,'01_異動主檔'!$B:$B,107,'01_異動主檔'!$D:$D,A310,'01_異動主檔'!$E:$E,"精簡")</f>
        <v/>
      </c>
      <c r="I310" s="8">
        <f>C310+D310+E310+F310+G310+H310</f>
        <v/>
      </c>
    </row>
    <row r="311" ht="18" customHeight="1">
      <c r="A311" s="3" t="inlineStr">
        <is>
          <t>第四組</t>
        </is>
      </c>
      <c r="B311" s="4" t="n">
        <v>108</v>
      </c>
      <c r="C311" s="8">
        <f>I310</f>
        <v/>
      </c>
      <c r="D311" s="4">
        <f>SUMIFS('01_異動主檔'!$F:$F,'01_異動主檔'!$B:$B,108,'01_異動主檔'!$D:$D,A311,'01_異動主檔'!$E:$E,"移入")</f>
        <v/>
      </c>
      <c r="E311" s="4">
        <f>-SUMIFS('01_異動主檔'!$F:$F,'01_異動主檔'!$B:$B,108,'01_異動主檔'!$D:$D,A311,'01_異動主檔'!$E:$E,"移出")</f>
        <v/>
      </c>
      <c r="F311" s="4">
        <f>SUMIFS('01_異動主檔'!$F:$F,'01_異動主檔'!$B:$B,108,'01_異動主檔'!$D:$D,A311,'01_異動主檔'!$E:$E,"新增")</f>
        <v/>
      </c>
      <c r="G311" s="4">
        <f>-SUMIFS('01_異動主檔'!$F:$F,'01_異動主檔'!$B:$B,108,'01_異動主檔'!$D:$D,A311,'01_異動主檔'!$E:$E,"減列")</f>
        <v/>
      </c>
      <c r="H311" s="4">
        <f>-SUMIFS('01_異動主檔'!$F:$F,'01_異動主檔'!$B:$B,108,'01_異動主檔'!$D:$D,A311,'01_異動主檔'!$E:$E,"精簡")</f>
        <v/>
      </c>
      <c r="I311" s="8">
        <f>C311+D311+E311+F311+G311+H311</f>
        <v/>
      </c>
    </row>
    <row r="312" ht="18" customHeight="1">
      <c r="A312" s="5" t="inlineStr">
        <is>
          <t>第四組</t>
        </is>
      </c>
      <c r="B312" s="6" t="n">
        <v>109</v>
      </c>
      <c r="C312" s="8">
        <f>I311</f>
        <v/>
      </c>
      <c r="D312" s="4">
        <f>SUMIFS('01_異動主檔'!$F:$F,'01_異動主檔'!$B:$B,109,'01_異動主檔'!$D:$D,A312,'01_異動主檔'!$E:$E,"移入")</f>
        <v/>
      </c>
      <c r="E312" s="4">
        <f>-SUMIFS('01_異動主檔'!$F:$F,'01_異動主檔'!$B:$B,109,'01_異動主檔'!$D:$D,A312,'01_異動主檔'!$E:$E,"移出")</f>
        <v/>
      </c>
      <c r="F312" s="4">
        <f>SUMIFS('01_異動主檔'!$F:$F,'01_異動主檔'!$B:$B,109,'01_異動主檔'!$D:$D,A312,'01_異動主檔'!$E:$E,"新增")</f>
        <v/>
      </c>
      <c r="G312" s="4">
        <f>-SUMIFS('01_異動主檔'!$F:$F,'01_異動主檔'!$B:$B,109,'01_異動主檔'!$D:$D,A312,'01_異動主檔'!$E:$E,"減列")</f>
        <v/>
      </c>
      <c r="H312" s="4">
        <f>-SUMIFS('01_異動主檔'!$F:$F,'01_異動主檔'!$B:$B,109,'01_異動主檔'!$D:$D,A312,'01_異動主檔'!$E:$E,"精簡")</f>
        <v/>
      </c>
      <c r="I312" s="8">
        <f>C312+D312+E312+F312+G312+H312</f>
        <v/>
      </c>
    </row>
    <row r="313" ht="18" customHeight="1">
      <c r="A313" s="3" t="inlineStr">
        <is>
          <t>第四組</t>
        </is>
      </c>
      <c r="B313" s="4" t="n">
        <v>110</v>
      </c>
      <c r="C313" s="8">
        <f>I312</f>
        <v/>
      </c>
      <c r="D313" s="4">
        <f>SUMIFS('01_異動主檔'!$F:$F,'01_異動主檔'!$B:$B,110,'01_異動主檔'!$D:$D,A313,'01_異動主檔'!$E:$E,"移入")</f>
        <v/>
      </c>
      <c r="E313" s="4">
        <f>-SUMIFS('01_異動主檔'!$F:$F,'01_異動主檔'!$B:$B,110,'01_異動主檔'!$D:$D,A313,'01_異動主檔'!$E:$E,"移出")</f>
        <v/>
      </c>
      <c r="F313" s="4">
        <f>SUMIFS('01_異動主檔'!$F:$F,'01_異動主檔'!$B:$B,110,'01_異動主檔'!$D:$D,A313,'01_異動主檔'!$E:$E,"新增")</f>
        <v/>
      </c>
      <c r="G313" s="4">
        <f>-SUMIFS('01_異動主檔'!$F:$F,'01_異動主檔'!$B:$B,110,'01_異動主檔'!$D:$D,A313,'01_異動主檔'!$E:$E,"減列")</f>
        <v/>
      </c>
      <c r="H313" s="4">
        <f>-SUMIFS('01_異動主檔'!$F:$F,'01_異動主檔'!$B:$B,110,'01_異動主檔'!$D:$D,A313,'01_異動主檔'!$E:$E,"精簡")</f>
        <v/>
      </c>
      <c r="I313" s="8">
        <f>C313+D313+E313+F313+G313+H313</f>
        <v/>
      </c>
    </row>
    <row r="314" ht="18" customHeight="1">
      <c r="A314" s="5" t="inlineStr">
        <is>
          <t>第四組</t>
        </is>
      </c>
      <c r="B314" s="6" t="n">
        <v>111</v>
      </c>
      <c r="C314" s="8">
        <f>I313</f>
        <v/>
      </c>
      <c r="D314" s="4">
        <f>SUMIFS('01_異動主檔'!$F:$F,'01_異動主檔'!$B:$B,111,'01_異動主檔'!$D:$D,A314,'01_異動主檔'!$E:$E,"移入")</f>
        <v/>
      </c>
      <c r="E314" s="4">
        <f>-SUMIFS('01_異動主檔'!$F:$F,'01_異動主檔'!$B:$B,111,'01_異動主檔'!$D:$D,A314,'01_異動主檔'!$E:$E,"移出")</f>
        <v/>
      </c>
      <c r="F314" s="4">
        <f>SUMIFS('01_異動主檔'!$F:$F,'01_異動主檔'!$B:$B,111,'01_異動主檔'!$D:$D,A314,'01_異動主檔'!$E:$E,"新增")</f>
        <v/>
      </c>
      <c r="G314" s="4">
        <f>-SUMIFS('01_異動主檔'!$F:$F,'01_異動主檔'!$B:$B,111,'01_異動主檔'!$D:$D,A314,'01_異動主檔'!$E:$E,"減列")</f>
        <v/>
      </c>
      <c r="H314" s="4">
        <f>-SUMIFS('01_異動主檔'!$F:$F,'01_異動主檔'!$B:$B,111,'01_異動主檔'!$D:$D,A314,'01_異動主檔'!$E:$E,"精簡")</f>
        <v/>
      </c>
      <c r="I314" s="8">
        <f>C314+D314+E314+F314+G314+H314</f>
        <v/>
      </c>
    </row>
    <row r="315" ht="18" customHeight="1">
      <c r="A315" s="3" t="inlineStr">
        <is>
          <t>第四組</t>
        </is>
      </c>
      <c r="B315" s="4" t="n">
        <v>112</v>
      </c>
      <c r="C315" s="8">
        <f>I314</f>
        <v/>
      </c>
      <c r="D315" s="4">
        <f>SUMIFS('01_異動主檔'!$F:$F,'01_異動主檔'!$B:$B,112,'01_異動主檔'!$D:$D,A315,'01_異動主檔'!$E:$E,"移入")</f>
        <v/>
      </c>
      <c r="E315" s="4">
        <f>-SUMIFS('01_異動主檔'!$F:$F,'01_異動主檔'!$B:$B,112,'01_異動主檔'!$D:$D,A315,'01_異動主檔'!$E:$E,"移出")</f>
        <v/>
      </c>
      <c r="F315" s="4">
        <f>SUMIFS('01_異動主檔'!$F:$F,'01_異動主檔'!$B:$B,112,'01_異動主檔'!$D:$D,A315,'01_異動主檔'!$E:$E,"新增")</f>
        <v/>
      </c>
      <c r="G315" s="4">
        <f>-SUMIFS('01_異動主檔'!$F:$F,'01_異動主檔'!$B:$B,112,'01_異動主檔'!$D:$D,A315,'01_異動主檔'!$E:$E,"減列")</f>
        <v/>
      </c>
      <c r="H315" s="4">
        <f>-SUMIFS('01_異動主檔'!$F:$F,'01_異動主檔'!$B:$B,112,'01_異動主檔'!$D:$D,A315,'01_異動主檔'!$E:$E,"精簡")</f>
        <v/>
      </c>
      <c r="I315" s="8">
        <f>C315+D315+E315+F315+G315+H315</f>
        <v/>
      </c>
    </row>
    <row r="316" ht="18" customHeight="1">
      <c r="A316" s="5" t="inlineStr">
        <is>
          <t>第四組</t>
        </is>
      </c>
      <c r="B316" s="6" t="n">
        <v>113</v>
      </c>
      <c r="C316" s="8">
        <f>I315</f>
        <v/>
      </c>
      <c r="D316" s="4">
        <f>SUMIFS('01_異動主檔'!$F:$F,'01_異動主檔'!$B:$B,113,'01_異動主檔'!$D:$D,A316,'01_異動主檔'!$E:$E,"移入")</f>
        <v/>
      </c>
      <c r="E316" s="4">
        <f>-SUMIFS('01_異動主檔'!$F:$F,'01_異動主檔'!$B:$B,113,'01_異動主檔'!$D:$D,A316,'01_異動主檔'!$E:$E,"移出")</f>
        <v/>
      </c>
      <c r="F316" s="4">
        <f>SUMIFS('01_異動主檔'!$F:$F,'01_異動主檔'!$B:$B,113,'01_異動主檔'!$D:$D,A316,'01_異動主檔'!$E:$E,"新增")</f>
        <v/>
      </c>
      <c r="G316" s="4">
        <f>-SUMIFS('01_異動主檔'!$F:$F,'01_異動主檔'!$B:$B,113,'01_異動主檔'!$D:$D,A316,'01_異動主檔'!$E:$E,"減列")</f>
        <v/>
      </c>
      <c r="H316" s="4">
        <f>-SUMIFS('01_異動主檔'!$F:$F,'01_異動主檔'!$B:$B,113,'01_異動主檔'!$D:$D,A316,'01_異動主檔'!$E:$E,"精簡")</f>
        <v/>
      </c>
      <c r="I316" s="8">
        <f>C316+D316+E316+F316+G316+H316</f>
        <v/>
      </c>
    </row>
    <row r="317" ht="18" customHeight="1">
      <c r="A317" s="3" t="inlineStr">
        <is>
          <t>第四組</t>
        </is>
      </c>
      <c r="B317" s="4" t="n">
        <v>114</v>
      </c>
      <c r="C317" s="8">
        <f>I316</f>
        <v/>
      </c>
      <c r="D317" s="4">
        <f>SUMIFS('01_異動主檔'!$F:$F,'01_異動主檔'!$B:$B,114,'01_異動主檔'!$D:$D,A317,'01_異動主檔'!$E:$E,"移入")</f>
        <v/>
      </c>
      <c r="E317" s="4">
        <f>-SUMIFS('01_異動主檔'!$F:$F,'01_異動主檔'!$B:$B,114,'01_異動主檔'!$D:$D,A317,'01_異動主檔'!$E:$E,"移出")</f>
        <v/>
      </c>
      <c r="F317" s="4">
        <f>SUMIFS('01_異動主檔'!$F:$F,'01_異動主檔'!$B:$B,114,'01_異動主檔'!$D:$D,A317,'01_異動主檔'!$E:$E,"新增")</f>
        <v/>
      </c>
      <c r="G317" s="4">
        <f>-SUMIFS('01_異動主檔'!$F:$F,'01_異動主檔'!$B:$B,114,'01_異動主檔'!$D:$D,A317,'01_異動主檔'!$E:$E,"減列")</f>
        <v/>
      </c>
      <c r="H317" s="4">
        <f>-SUMIFS('01_異動主檔'!$F:$F,'01_異動主檔'!$B:$B,114,'01_異動主檔'!$D:$D,A317,'01_異動主檔'!$E:$E,"精簡")</f>
        <v/>
      </c>
      <c r="I317" s="8">
        <f>C317+D317+E317+F317+G317+H317</f>
        <v/>
      </c>
    </row>
    <row r="318" ht="18" customHeight="1">
      <c r="A318" s="5" t="inlineStr">
        <is>
          <t>第四組</t>
        </is>
      </c>
      <c r="B318" s="6" t="n">
        <v>115</v>
      </c>
      <c r="C318" s="8">
        <f>I317</f>
        <v/>
      </c>
      <c r="D318" s="4">
        <f>SUMIFS('01_異動主檔'!$F:$F,'01_異動主檔'!$B:$B,115,'01_異動主檔'!$D:$D,A318,'01_異動主檔'!$E:$E,"移入")</f>
        <v/>
      </c>
      <c r="E318" s="4">
        <f>-SUMIFS('01_異動主檔'!$F:$F,'01_異動主檔'!$B:$B,115,'01_異動主檔'!$D:$D,A318,'01_異動主檔'!$E:$E,"移出")</f>
        <v/>
      </c>
      <c r="F318" s="4">
        <f>SUMIFS('01_異動主檔'!$F:$F,'01_異動主檔'!$B:$B,115,'01_異動主檔'!$D:$D,A318,'01_異動主檔'!$E:$E,"新增")</f>
        <v/>
      </c>
      <c r="G318" s="4">
        <f>-SUMIFS('01_異動主檔'!$F:$F,'01_異動主檔'!$B:$B,115,'01_異動主檔'!$D:$D,A318,'01_異動主檔'!$E:$E,"減列")</f>
        <v/>
      </c>
      <c r="H318" s="4">
        <f>-SUMIFS('01_異動主檔'!$F:$F,'01_異動主檔'!$B:$B,115,'01_異動主檔'!$D:$D,A318,'01_異動主檔'!$E:$E,"精簡")</f>
        <v/>
      </c>
      <c r="I318" s="8">
        <f>C318+D318+E318+F318+G318+H318</f>
        <v/>
      </c>
    </row>
    <row r="319" ht="18" customHeight="1">
      <c r="A319" s="3" t="inlineStr">
        <is>
          <t>第四組</t>
        </is>
      </c>
      <c r="B319" s="4" t="n">
        <v>116</v>
      </c>
      <c r="C319" s="8">
        <f>I318</f>
        <v/>
      </c>
      <c r="D319" s="4">
        <f>SUMIFS('01_異動主檔'!$F:$F,'01_異動主檔'!$B:$B,116,'01_異動主檔'!$D:$D,A319,'01_異動主檔'!$E:$E,"移入")</f>
        <v/>
      </c>
      <c r="E319" s="4">
        <f>-SUMIFS('01_異動主檔'!$F:$F,'01_異動主檔'!$B:$B,116,'01_異動主檔'!$D:$D,A319,'01_異動主檔'!$E:$E,"移出")</f>
        <v/>
      </c>
      <c r="F319" s="4">
        <f>SUMIFS('01_異動主檔'!$F:$F,'01_異動主檔'!$B:$B,116,'01_異動主檔'!$D:$D,A319,'01_異動主檔'!$E:$E,"新增")</f>
        <v/>
      </c>
      <c r="G319" s="4">
        <f>-SUMIFS('01_異動主檔'!$F:$F,'01_異動主檔'!$B:$B,116,'01_異動主檔'!$D:$D,A319,'01_異動主檔'!$E:$E,"減列")</f>
        <v/>
      </c>
      <c r="H319" s="4">
        <f>-SUMIFS('01_異動主檔'!$F:$F,'01_異動主檔'!$B:$B,116,'01_異動主檔'!$D:$D,A319,'01_異動主檔'!$E:$E,"精簡")</f>
        <v/>
      </c>
      <c r="I319" s="8">
        <f>C319+D319+E319+F319+G319+H319</f>
        <v/>
      </c>
    </row>
    <row r="320" ht="18" customHeight="1">
      <c r="A320" s="5" t="inlineStr">
        <is>
          <t>第四組</t>
        </is>
      </c>
      <c r="B320" s="6" t="n">
        <v>117</v>
      </c>
      <c r="C320" s="8">
        <f>I319</f>
        <v/>
      </c>
      <c r="D320" s="4">
        <f>SUMIFS('01_異動主檔'!$F:$F,'01_異動主檔'!$B:$B,117,'01_異動主檔'!$D:$D,A320,'01_異動主檔'!$E:$E,"移入")</f>
        <v/>
      </c>
      <c r="E320" s="4">
        <f>-SUMIFS('01_異動主檔'!$F:$F,'01_異動主檔'!$B:$B,117,'01_異動主檔'!$D:$D,A320,'01_異動主檔'!$E:$E,"移出")</f>
        <v/>
      </c>
      <c r="F320" s="4">
        <f>SUMIFS('01_異動主檔'!$F:$F,'01_異動主檔'!$B:$B,117,'01_異動主檔'!$D:$D,A320,'01_異動主檔'!$E:$E,"新增")</f>
        <v/>
      </c>
      <c r="G320" s="4">
        <f>-SUMIFS('01_異動主檔'!$F:$F,'01_異動主檔'!$B:$B,117,'01_異動主檔'!$D:$D,A320,'01_異動主檔'!$E:$E,"減列")</f>
        <v/>
      </c>
      <c r="H320" s="4">
        <f>-SUMIFS('01_異動主檔'!$F:$F,'01_異動主檔'!$B:$B,117,'01_異動主檔'!$D:$D,A320,'01_異動主檔'!$E:$E,"精簡")</f>
        <v/>
      </c>
      <c r="I320" s="8">
        <f>C320+D320+E320+F320+G320+H320</f>
        <v/>
      </c>
    </row>
    <row r="321" ht="18" customHeight="1">
      <c r="A321" s="3" t="inlineStr">
        <is>
          <t>第四組</t>
        </is>
      </c>
      <c r="B321" s="4" t="n">
        <v>118</v>
      </c>
      <c r="C321" s="8">
        <f>I320</f>
        <v/>
      </c>
      <c r="D321" s="4">
        <f>SUMIFS('01_異動主檔'!$F:$F,'01_異動主檔'!$B:$B,118,'01_異動主檔'!$D:$D,A321,'01_異動主檔'!$E:$E,"移入")</f>
        <v/>
      </c>
      <c r="E321" s="4">
        <f>-SUMIFS('01_異動主檔'!$F:$F,'01_異動主檔'!$B:$B,118,'01_異動主檔'!$D:$D,A321,'01_異動主檔'!$E:$E,"移出")</f>
        <v/>
      </c>
      <c r="F321" s="4">
        <f>SUMIFS('01_異動主檔'!$F:$F,'01_異動主檔'!$B:$B,118,'01_異動主檔'!$D:$D,A321,'01_異動主檔'!$E:$E,"新增")</f>
        <v/>
      </c>
      <c r="G321" s="4">
        <f>-SUMIFS('01_異動主檔'!$F:$F,'01_異動主檔'!$B:$B,118,'01_異動主檔'!$D:$D,A321,'01_異動主檔'!$E:$E,"減列")</f>
        <v/>
      </c>
      <c r="H321" s="4">
        <f>-SUMIFS('01_異動主檔'!$F:$F,'01_異動主檔'!$B:$B,118,'01_異動主檔'!$D:$D,A321,'01_異動主檔'!$E:$E,"精簡")</f>
        <v/>
      </c>
      <c r="I321" s="8">
        <f>C321+D321+E321+F321+G321+H321</f>
        <v/>
      </c>
    </row>
    <row r="322" ht="18" customHeight="1">
      <c r="A322" s="5" t="inlineStr">
        <is>
          <t>第四組</t>
        </is>
      </c>
      <c r="B322" s="6" t="n">
        <v>119</v>
      </c>
      <c r="C322" s="8">
        <f>I321</f>
        <v/>
      </c>
      <c r="D322" s="4">
        <f>SUMIFS('01_異動主檔'!$F:$F,'01_異動主檔'!$B:$B,119,'01_異動主檔'!$D:$D,A322,'01_異動主檔'!$E:$E,"移入")</f>
        <v/>
      </c>
      <c r="E322" s="4">
        <f>-SUMIFS('01_異動主檔'!$F:$F,'01_異動主檔'!$B:$B,119,'01_異動主檔'!$D:$D,A322,'01_異動主檔'!$E:$E,"移出")</f>
        <v/>
      </c>
      <c r="F322" s="4">
        <f>SUMIFS('01_異動主檔'!$F:$F,'01_異動主檔'!$B:$B,119,'01_異動主檔'!$D:$D,A322,'01_異動主檔'!$E:$E,"新增")</f>
        <v/>
      </c>
      <c r="G322" s="4">
        <f>-SUMIFS('01_異動主檔'!$F:$F,'01_異動主檔'!$B:$B,119,'01_異動主檔'!$D:$D,A322,'01_異動主檔'!$E:$E,"減列")</f>
        <v/>
      </c>
      <c r="H322" s="4">
        <f>-SUMIFS('01_異動主檔'!$F:$F,'01_異動主檔'!$B:$B,119,'01_異動主檔'!$D:$D,A322,'01_異動主檔'!$E:$E,"精簡")</f>
        <v/>
      </c>
      <c r="I322" s="8">
        <f>C322+D322+E322+F322+G322+H322</f>
        <v/>
      </c>
    </row>
    <row r="323" ht="18" customHeight="1">
      <c r="A323" s="3" t="inlineStr">
        <is>
          <t>第四組</t>
        </is>
      </c>
      <c r="B323" s="4" t="n">
        <v>120</v>
      </c>
      <c r="C323" s="8">
        <f>I322</f>
        <v/>
      </c>
      <c r="D323" s="4">
        <f>SUMIFS('01_異動主檔'!$F:$F,'01_異動主檔'!$B:$B,120,'01_異動主檔'!$D:$D,A323,'01_異動主檔'!$E:$E,"移入")</f>
        <v/>
      </c>
      <c r="E323" s="4">
        <f>-SUMIFS('01_異動主檔'!$F:$F,'01_異動主檔'!$B:$B,120,'01_異動主檔'!$D:$D,A323,'01_異動主檔'!$E:$E,"移出")</f>
        <v/>
      </c>
      <c r="F323" s="4">
        <f>SUMIFS('01_異動主檔'!$F:$F,'01_異動主檔'!$B:$B,120,'01_異動主檔'!$D:$D,A323,'01_異動主檔'!$E:$E,"新增")</f>
        <v/>
      </c>
      <c r="G323" s="4">
        <f>-SUMIFS('01_異動主檔'!$F:$F,'01_異動主檔'!$B:$B,120,'01_異動主檔'!$D:$D,A323,'01_異動主檔'!$E:$E,"減列")</f>
        <v/>
      </c>
      <c r="H323" s="4">
        <f>-SUMIFS('01_異動主檔'!$F:$F,'01_異動主檔'!$B:$B,120,'01_異動主檔'!$D:$D,A323,'01_異動主檔'!$E:$E,"精簡")</f>
        <v/>
      </c>
      <c r="I323" s="8">
        <f>C323+D323+E323+F323+G323+H323</f>
        <v/>
      </c>
    </row>
    <row r="324" ht="18" customHeight="1">
      <c r="A324" s="5" t="inlineStr">
        <is>
          <t>第四組</t>
        </is>
      </c>
      <c r="B324" s="6" t="n">
        <v>121</v>
      </c>
      <c r="C324" s="8">
        <f>I323</f>
        <v/>
      </c>
      <c r="D324" s="4">
        <f>SUMIFS('01_異動主檔'!$F:$F,'01_異動主檔'!$B:$B,121,'01_異動主檔'!$D:$D,A324,'01_異動主檔'!$E:$E,"移入")</f>
        <v/>
      </c>
      <c r="E324" s="4">
        <f>-SUMIFS('01_異動主檔'!$F:$F,'01_異動主檔'!$B:$B,121,'01_異動主檔'!$D:$D,A324,'01_異動主檔'!$E:$E,"移出")</f>
        <v/>
      </c>
      <c r="F324" s="4">
        <f>SUMIFS('01_異動主檔'!$F:$F,'01_異動主檔'!$B:$B,121,'01_異動主檔'!$D:$D,A324,'01_異動主檔'!$E:$E,"新增")</f>
        <v/>
      </c>
      <c r="G324" s="4">
        <f>-SUMIFS('01_異動主檔'!$F:$F,'01_異動主檔'!$B:$B,121,'01_異動主檔'!$D:$D,A324,'01_異動主檔'!$E:$E,"減列")</f>
        <v/>
      </c>
      <c r="H324" s="4">
        <f>-SUMIFS('01_異動主檔'!$F:$F,'01_異動主檔'!$B:$B,121,'01_異動主檔'!$D:$D,A324,'01_異動主檔'!$E:$E,"精簡")</f>
        <v/>
      </c>
      <c r="I324" s="8">
        <f>C324+D324+E324+F324+G324+H324</f>
        <v/>
      </c>
    </row>
    <row r="325" ht="18" customHeight="1">
      <c r="A325" s="3" t="inlineStr">
        <is>
          <t>第四組</t>
        </is>
      </c>
      <c r="B325" s="4" t="n">
        <v>122</v>
      </c>
      <c r="C325" s="8">
        <f>I324</f>
        <v/>
      </c>
      <c r="D325" s="4">
        <f>SUMIFS('01_異動主檔'!$F:$F,'01_異動主檔'!$B:$B,122,'01_異動主檔'!$D:$D,A325,'01_異動主檔'!$E:$E,"移入")</f>
        <v/>
      </c>
      <c r="E325" s="4">
        <f>-SUMIFS('01_異動主檔'!$F:$F,'01_異動主檔'!$B:$B,122,'01_異動主檔'!$D:$D,A325,'01_異動主檔'!$E:$E,"移出")</f>
        <v/>
      </c>
      <c r="F325" s="4">
        <f>SUMIFS('01_異動主檔'!$F:$F,'01_異動主檔'!$B:$B,122,'01_異動主檔'!$D:$D,A325,'01_異動主檔'!$E:$E,"新增")</f>
        <v/>
      </c>
      <c r="G325" s="4">
        <f>-SUMIFS('01_異動主檔'!$F:$F,'01_異動主檔'!$B:$B,122,'01_異動主檔'!$D:$D,A325,'01_異動主檔'!$E:$E,"減列")</f>
        <v/>
      </c>
      <c r="H325" s="4">
        <f>-SUMIFS('01_異動主檔'!$F:$F,'01_異動主檔'!$B:$B,122,'01_異動主檔'!$D:$D,A325,'01_異動主檔'!$E:$E,"精簡")</f>
        <v/>
      </c>
      <c r="I325" s="8">
        <f>C325+D325+E325+F325+G325+H325</f>
        <v/>
      </c>
    </row>
    <row r="326" ht="18" customHeight="1">
      <c r="A326" s="5" t="inlineStr">
        <is>
          <t>第四組</t>
        </is>
      </c>
      <c r="B326" s="6" t="n">
        <v>123</v>
      </c>
      <c r="C326" s="8">
        <f>I325</f>
        <v/>
      </c>
      <c r="D326" s="4">
        <f>SUMIFS('01_異動主檔'!$F:$F,'01_異動主檔'!$B:$B,123,'01_異動主檔'!$D:$D,A326,'01_異動主檔'!$E:$E,"移入")</f>
        <v/>
      </c>
      <c r="E326" s="4">
        <f>-SUMIFS('01_異動主檔'!$F:$F,'01_異動主檔'!$B:$B,123,'01_異動主檔'!$D:$D,A326,'01_異動主檔'!$E:$E,"移出")</f>
        <v/>
      </c>
      <c r="F326" s="4">
        <f>SUMIFS('01_異動主檔'!$F:$F,'01_異動主檔'!$B:$B,123,'01_異動主檔'!$D:$D,A326,'01_異動主檔'!$E:$E,"新增")</f>
        <v/>
      </c>
      <c r="G326" s="4">
        <f>-SUMIFS('01_異動主檔'!$F:$F,'01_異動主檔'!$B:$B,123,'01_異動主檔'!$D:$D,A326,'01_異動主檔'!$E:$E,"減列")</f>
        <v/>
      </c>
      <c r="H326" s="4">
        <f>-SUMIFS('01_異動主檔'!$F:$F,'01_異動主檔'!$B:$B,123,'01_異動主檔'!$D:$D,A326,'01_異動主檔'!$E:$E,"精簡")</f>
        <v/>
      </c>
      <c r="I326" s="8">
        <f>C326+D326+E326+F326+G326+H326</f>
        <v/>
      </c>
    </row>
    <row r="327" ht="18" customHeight="1">
      <c r="A327" s="3" t="inlineStr">
        <is>
          <t>第四組</t>
        </is>
      </c>
      <c r="B327" s="4" t="n">
        <v>124</v>
      </c>
      <c r="C327" s="8">
        <f>I326</f>
        <v/>
      </c>
      <c r="D327" s="4">
        <f>SUMIFS('01_異動主檔'!$F:$F,'01_異動主檔'!$B:$B,124,'01_異動主檔'!$D:$D,A327,'01_異動主檔'!$E:$E,"移入")</f>
        <v/>
      </c>
      <c r="E327" s="4">
        <f>-SUMIFS('01_異動主檔'!$F:$F,'01_異動主檔'!$B:$B,124,'01_異動主檔'!$D:$D,A327,'01_異動主檔'!$E:$E,"移出")</f>
        <v/>
      </c>
      <c r="F327" s="4">
        <f>SUMIFS('01_異動主檔'!$F:$F,'01_異動主檔'!$B:$B,124,'01_異動主檔'!$D:$D,A327,'01_異動主檔'!$E:$E,"新增")</f>
        <v/>
      </c>
      <c r="G327" s="4">
        <f>-SUMIFS('01_異動主檔'!$F:$F,'01_異動主檔'!$B:$B,124,'01_異動主檔'!$D:$D,A327,'01_異動主檔'!$E:$E,"減列")</f>
        <v/>
      </c>
      <c r="H327" s="4">
        <f>-SUMIFS('01_異動主檔'!$F:$F,'01_異動主檔'!$B:$B,124,'01_異動主檔'!$D:$D,A327,'01_異動主檔'!$E:$E,"精簡")</f>
        <v/>
      </c>
      <c r="I327" s="8">
        <f>C327+D327+E327+F327+G327+H327</f>
        <v/>
      </c>
    </row>
    <row r="328" ht="18" customHeight="1">
      <c r="A328" s="5" t="inlineStr">
        <is>
          <t>第四組</t>
        </is>
      </c>
      <c r="B328" s="6" t="n">
        <v>125</v>
      </c>
      <c r="C328" s="8">
        <f>I327</f>
        <v/>
      </c>
      <c r="D328" s="4">
        <f>SUMIFS('01_異動主檔'!$F:$F,'01_異動主檔'!$B:$B,125,'01_異動主檔'!$D:$D,A328,'01_異動主檔'!$E:$E,"移入")</f>
        <v/>
      </c>
      <c r="E328" s="4">
        <f>-SUMIFS('01_異動主檔'!$F:$F,'01_異動主檔'!$B:$B,125,'01_異動主檔'!$D:$D,A328,'01_異動主檔'!$E:$E,"移出")</f>
        <v/>
      </c>
      <c r="F328" s="4">
        <f>SUMIFS('01_異動主檔'!$F:$F,'01_異動主檔'!$B:$B,125,'01_異動主檔'!$D:$D,A328,'01_異動主檔'!$E:$E,"新增")</f>
        <v/>
      </c>
      <c r="G328" s="4">
        <f>-SUMIFS('01_異動主檔'!$F:$F,'01_異動主檔'!$B:$B,125,'01_異動主檔'!$D:$D,A328,'01_異動主檔'!$E:$E,"減列")</f>
        <v/>
      </c>
      <c r="H328" s="4">
        <f>-SUMIFS('01_異動主檔'!$F:$F,'01_異動主檔'!$B:$B,125,'01_異動主檔'!$D:$D,A328,'01_異動主檔'!$E:$E,"精簡")</f>
        <v/>
      </c>
      <c r="I328" s="8">
        <f>C328+D328+E328+F328+G328+H328</f>
        <v/>
      </c>
    </row>
    <row r="329" ht="18" customHeight="1">
      <c r="A329" s="3" t="inlineStr">
        <is>
          <t>第五組</t>
        </is>
      </c>
      <c r="B329" s="4" t="n">
        <v>99</v>
      </c>
      <c r="C329" s="8">
        <f>'02_年初員額設定'!B17</f>
        <v/>
      </c>
      <c r="D329" s="4">
        <f>SUMIFS('01_異動主檔'!$F:$F,'01_異動主檔'!$B:$B,99,'01_異動主檔'!$D:$D,A329,'01_異動主檔'!$E:$E,"移入")</f>
        <v/>
      </c>
      <c r="E329" s="4">
        <f>-SUMIFS('01_異動主檔'!$F:$F,'01_異動主檔'!$B:$B,99,'01_異動主檔'!$D:$D,A329,'01_異動主檔'!$E:$E,"移出")</f>
        <v/>
      </c>
      <c r="F329" s="4">
        <f>SUMIFS('01_異動主檔'!$F:$F,'01_異動主檔'!$B:$B,99,'01_異動主檔'!$D:$D,A329,'01_異動主檔'!$E:$E,"新增")</f>
        <v/>
      </c>
      <c r="G329" s="4">
        <f>-SUMIFS('01_異動主檔'!$F:$F,'01_異動主檔'!$B:$B,99,'01_異動主檔'!$D:$D,A329,'01_異動主檔'!$E:$E,"減列")</f>
        <v/>
      </c>
      <c r="H329" s="4">
        <f>-SUMIFS('01_異動主檔'!$F:$F,'01_異動主檔'!$B:$B,99,'01_異動主檔'!$D:$D,A329,'01_異動主檔'!$E:$E,"精簡")</f>
        <v/>
      </c>
      <c r="I329" s="8">
        <f>C329+D329+E329+F329+G329+H329</f>
        <v/>
      </c>
    </row>
    <row r="330" ht="18" customHeight="1">
      <c r="A330" s="5" t="inlineStr">
        <is>
          <t>第五組</t>
        </is>
      </c>
      <c r="B330" s="6" t="n">
        <v>100</v>
      </c>
      <c r="C330" s="8">
        <f>I329</f>
        <v/>
      </c>
      <c r="D330" s="4">
        <f>SUMIFS('01_異動主檔'!$F:$F,'01_異動主檔'!$B:$B,100,'01_異動主檔'!$D:$D,A330,'01_異動主檔'!$E:$E,"移入")</f>
        <v/>
      </c>
      <c r="E330" s="4">
        <f>-SUMIFS('01_異動主檔'!$F:$F,'01_異動主檔'!$B:$B,100,'01_異動主檔'!$D:$D,A330,'01_異動主檔'!$E:$E,"移出")</f>
        <v/>
      </c>
      <c r="F330" s="4">
        <f>SUMIFS('01_異動主檔'!$F:$F,'01_異動主檔'!$B:$B,100,'01_異動主檔'!$D:$D,A330,'01_異動主檔'!$E:$E,"新增")</f>
        <v/>
      </c>
      <c r="G330" s="4">
        <f>-SUMIFS('01_異動主檔'!$F:$F,'01_異動主檔'!$B:$B,100,'01_異動主檔'!$D:$D,A330,'01_異動主檔'!$E:$E,"減列")</f>
        <v/>
      </c>
      <c r="H330" s="4">
        <f>-SUMIFS('01_異動主檔'!$F:$F,'01_異動主檔'!$B:$B,100,'01_異動主檔'!$D:$D,A330,'01_異動主檔'!$E:$E,"精簡")</f>
        <v/>
      </c>
      <c r="I330" s="8">
        <f>C330+D330+E330+F330+G330+H330</f>
        <v/>
      </c>
    </row>
    <row r="331" ht="18" customHeight="1">
      <c r="A331" s="3" t="inlineStr">
        <is>
          <t>第五組</t>
        </is>
      </c>
      <c r="B331" s="4" t="n">
        <v>101</v>
      </c>
      <c r="C331" s="8">
        <f>I330</f>
        <v/>
      </c>
      <c r="D331" s="4">
        <f>SUMIFS('01_異動主檔'!$F:$F,'01_異動主檔'!$B:$B,101,'01_異動主檔'!$D:$D,A331,'01_異動主檔'!$E:$E,"移入")</f>
        <v/>
      </c>
      <c r="E331" s="4">
        <f>-SUMIFS('01_異動主檔'!$F:$F,'01_異動主檔'!$B:$B,101,'01_異動主檔'!$D:$D,A331,'01_異動主檔'!$E:$E,"移出")</f>
        <v/>
      </c>
      <c r="F331" s="4">
        <f>SUMIFS('01_異動主檔'!$F:$F,'01_異動主檔'!$B:$B,101,'01_異動主檔'!$D:$D,A331,'01_異動主檔'!$E:$E,"新增")</f>
        <v/>
      </c>
      <c r="G331" s="4">
        <f>-SUMIFS('01_異動主檔'!$F:$F,'01_異動主檔'!$B:$B,101,'01_異動主檔'!$D:$D,A331,'01_異動主檔'!$E:$E,"減列")</f>
        <v/>
      </c>
      <c r="H331" s="4">
        <f>-SUMIFS('01_異動主檔'!$F:$F,'01_異動主檔'!$B:$B,101,'01_異動主檔'!$D:$D,A331,'01_異動主檔'!$E:$E,"精簡")</f>
        <v/>
      </c>
      <c r="I331" s="8">
        <f>C331+D331+E331+F331+G331+H331</f>
        <v/>
      </c>
    </row>
    <row r="332" ht="18" customHeight="1">
      <c r="A332" s="5" t="inlineStr">
        <is>
          <t>第五組</t>
        </is>
      </c>
      <c r="B332" s="6" t="n">
        <v>102</v>
      </c>
      <c r="C332" s="8">
        <f>I331</f>
        <v/>
      </c>
      <c r="D332" s="4">
        <f>SUMIFS('01_異動主檔'!$F:$F,'01_異動主檔'!$B:$B,102,'01_異動主檔'!$D:$D,A332,'01_異動主檔'!$E:$E,"移入")</f>
        <v/>
      </c>
      <c r="E332" s="4">
        <f>-SUMIFS('01_異動主檔'!$F:$F,'01_異動主檔'!$B:$B,102,'01_異動主檔'!$D:$D,A332,'01_異動主檔'!$E:$E,"移出")</f>
        <v/>
      </c>
      <c r="F332" s="4">
        <f>SUMIFS('01_異動主檔'!$F:$F,'01_異動主檔'!$B:$B,102,'01_異動主檔'!$D:$D,A332,'01_異動主檔'!$E:$E,"新增")</f>
        <v/>
      </c>
      <c r="G332" s="4">
        <f>-SUMIFS('01_異動主檔'!$F:$F,'01_異動主檔'!$B:$B,102,'01_異動主檔'!$D:$D,A332,'01_異動主檔'!$E:$E,"減列")</f>
        <v/>
      </c>
      <c r="H332" s="4">
        <f>-SUMIFS('01_異動主檔'!$F:$F,'01_異動主檔'!$B:$B,102,'01_異動主檔'!$D:$D,A332,'01_異動主檔'!$E:$E,"精簡")</f>
        <v/>
      </c>
      <c r="I332" s="8">
        <f>C332+D332+E332+F332+G332+H332</f>
        <v/>
      </c>
    </row>
    <row r="333" ht="18" customHeight="1">
      <c r="A333" s="3" t="inlineStr">
        <is>
          <t>第五組</t>
        </is>
      </c>
      <c r="B333" s="4" t="n">
        <v>103</v>
      </c>
      <c r="C333" s="8">
        <f>I332</f>
        <v/>
      </c>
      <c r="D333" s="4">
        <f>SUMIFS('01_異動主檔'!$F:$F,'01_異動主檔'!$B:$B,103,'01_異動主檔'!$D:$D,A333,'01_異動主檔'!$E:$E,"移入")</f>
        <v/>
      </c>
      <c r="E333" s="4">
        <f>-SUMIFS('01_異動主檔'!$F:$F,'01_異動主檔'!$B:$B,103,'01_異動主檔'!$D:$D,A333,'01_異動主檔'!$E:$E,"移出")</f>
        <v/>
      </c>
      <c r="F333" s="4">
        <f>SUMIFS('01_異動主檔'!$F:$F,'01_異動主檔'!$B:$B,103,'01_異動主檔'!$D:$D,A333,'01_異動主檔'!$E:$E,"新增")</f>
        <v/>
      </c>
      <c r="G333" s="4">
        <f>-SUMIFS('01_異動主檔'!$F:$F,'01_異動主檔'!$B:$B,103,'01_異動主檔'!$D:$D,A333,'01_異動主檔'!$E:$E,"減列")</f>
        <v/>
      </c>
      <c r="H333" s="4">
        <f>-SUMIFS('01_異動主檔'!$F:$F,'01_異動主檔'!$B:$B,103,'01_異動主檔'!$D:$D,A333,'01_異動主檔'!$E:$E,"精簡")</f>
        <v/>
      </c>
      <c r="I333" s="8">
        <f>C333+D333+E333+F333+G333+H333</f>
        <v/>
      </c>
    </row>
    <row r="334" ht="18" customHeight="1">
      <c r="A334" s="5" t="inlineStr">
        <is>
          <t>第五組</t>
        </is>
      </c>
      <c r="B334" s="6" t="n">
        <v>104</v>
      </c>
      <c r="C334" s="8">
        <f>I333</f>
        <v/>
      </c>
      <c r="D334" s="4">
        <f>SUMIFS('01_異動主檔'!$F:$F,'01_異動主檔'!$B:$B,104,'01_異動主檔'!$D:$D,A334,'01_異動主檔'!$E:$E,"移入")</f>
        <v/>
      </c>
      <c r="E334" s="4">
        <f>-SUMIFS('01_異動主檔'!$F:$F,'01_異動主檔'!$B:$B,104,'01_異動主檔'!$D:$D,A334,'01_異動主檔'!$E:$E,"移出")</f>
        <v/>
      </c>
      <c r="F334" s="4">
        <f>SUMIFS('01_異動主檔'!$F:$F,'01_異動主檔'!$B:$B,104,'01_異動主檔'!$D:$D,A334,'01_異動主檔'!$E:$E,"新增")</f>
        <v/>
      </c>
      <c r="G334" s="4">
        <f>-SUMIFS('01_異動主檔'!$F:$F,'01_異動主檔'!$B:$B,104,'01_異動主檔'!$D:$D,A334,'01_異動主檔'!$E:$E,"減列")</f>
        <v/>
      </c>
      <c r="H334" s="4">
        <f>-SUMIFS('01_異動主檔'!$F:$F,'01_異動主檔'!$B:$B,104,'01_異動主檔'!$D:$D,A334,'01_異動主檔'!$E:$E,"精簡")</f>
        <v/>
      </c>
      <c r="I334" s="8">
        <f>C334+D334+E334+F334+G334+H334</f>
        <v/>
      </c>
    </row>
    <row r="335" ht="18" customHeight="1">
      <c r="A335" s="3" t="inlineStr">
        <is>
          <t>第五組</t>
        </is>
      </c>
      <c r="B335" s="4" t="n">
        <v>105</v>
      </c>
      <c r="C335" s="8">
        <f>I334</f>
        <v/>
      </c>
      <c r="D335" s="4">
        <f>SUMIFS('01_異動主檔'!$F:$F,'01_異動主檔'!$B:$B,105,'01_異動主檔'!$D:$D,A335,'01_異動主檔'!$E:$E,"移入")</f>
        <v/>
      </c>
      <c r="E335" s="4">
        <f>-SUMIFS('01_異動主檔'!$F:$F,'01_異動主檔'!$B:$B,105,'01_異動主檔'!$D:$D,A335,'01_異動主檔'!$E:$E,"移出")</f>
        <v/>
      </c>
      <c r="F335" s="4">
        <f>SUMIFS('01_異動主檔'!$F:$F,'01_異動主檔'!$B:$B,105,'01_異動主檔'!$D:$D,A335,'01_異動主檔'!$E:$E,"新增")</f>
        <v/>
      </c>
      <c r="G335" s="4">
        <f>-SUMIFS('01_異動主檔'!$F:$F,'01_異動主檔'!$B:$B,105,'01_異動主檔'!$D:$D,A335,'01_異動主檔'!$E:$E,"減列")</f>
        <v/>
      </c>
      <c r="H335" s="4">
        <f>-SUMIFS('01_異動主檔'!$F:$F,'01_異動主檔'!$B:$B,105,'01_異動主檔'!$D:$D,A335,'01_異動主檔'!$E:$E,"精簡")</f>
        <v/>
      </c>
      <c r="I335" s="8">
        <f>C335+D335+E335+F335+G335+H335</f>
        <v/>
      </c>
    </row>
    <row r="336" ht="18" customHeight="1">
      <c r="A336" s="5" t="inlineStr">
        <is>
          <t>第五組</t>
        </is>
      </c>
      <c r="B336" s="6" t="n">
        <v>106</v>
      </c>
      <c r="C336" s="8">
        <f>I335</f>
        <v/>
      </c>
      <c r="D336" s="4">
        <f>SUMIFS('01_異動主檔'!$F:$F,'01_異動主檔'!$B:$B,106,'01_異動主檔'!$D:$D,A336,'01_異動主檔'!$E:$E,"移入")</f>
        <v/>
      </c>
      <c r="E336" s="4">
        <f>-SUMIFS('01_異動主檔'!$F:$F,'01_異動主檔'!$B:$B,106,'01_異動主檔'!$D:$D,A336,'01_異動主檔'!$E:$E,"移出")</f>
        <v/>
      </c>
      <c r="F336" s="4">
        <f>SUMIFS('01_異動主檔'!$F:$F,'01_異動主檔'!$B:$B,106,'01_異動主檔'!$D:$D,A336,'01_異動主檔'!$E:$E,"新增")</f>
        <v/>
      </c>
      <c r="G336" s="4">
        <f>-SUMIFS('01_異動主檔'!$F:$F,'01_異動主檔'!$B:$B,106,'01_異動主檔'!$D:$D,A336,'01_異動主檔'!$E:$E,"減列")</f>
        <v/>
      </c>
      <c r="H336" s="4">
        <f>-SUMIFS('01_異動主檔'!$F:$F,'01_異動主檔'!$B:$B,106,'01_異動主檔'!$D:$D,A336,'01_異動主檔'!$E:$E,"精簡")</f>
        <v/>
      </c>
      <c r="I336" s="8">
        <f>C336+D336+E336+F336+G336+H336</f>
        <v/>
      </c>
    </row>
    <row r="337" ht="18" customHeight="1">
      <c r="A337" s="3" t="inlineStr">
        <is>
          <t>第五組</t>
        </is>
      </c>
      <c r="B337" s="4" t="n">
        <v>107</v>
      </c>
      <c r="C337" s="8">
        <f>I336</f>
        <v/>
      </c>
      <c r="D337" s="4">
        <f>SUMIFS('01_異動主檔'!$F:$F,'01_異動主檔'!$B:$B,107,'01_異動主檔'!$D:$D,A337,'01_異動主檔'!$E:$E,"移入")</f>
        <v/>
      </c>
      <c r="E337" s="4">
        <f>-SUMIFS('01_異動主檔'!$F:$F,'01_異動主檔'!$B:$B,107,'01_異動主檔'!$D:$D,A337,'01_異動主檔'!$E:$E,"移出")</f>
        <v/>
      </c>
      <c r="F337" s="4">
        <f>SUMIFS('01_異動主檔'!$F:$F,'01_異動主檔'!$B:$B,107,'01_異動主檔'!$D:$D,A337,'01_異動主檔'!$E:$E,"新增")</f>
        <v/>
      </c>
      <c r="G337" s="4">
        <f>-SUMIFS('01_異動主檔'!$F:$F,'01_異動主檔'!$B:$B,107,'01_異動主檔'!$D:$D,A337,'01_異動主檔'!$E:$E,"減列")</f>
        <v/>
      </c>
      <c r="H337" s="4">
        <f>-SUMIFS('01_異動主檔'!$F:$F,'01_異動主檔'!$B:$B,107,'01_異動主檔'!$D:$D,A337,'01_異動主檔'!$E:$E,"精簡")</f>
        <v/>
      </c>
      <c r="I337" s="8">
        <f>C337+D337+E337+F337+G337+H337</f>
        <v/>
      </c>
    </row>
    <row r="338" ht="18" customHeight="1">
      <c r="A338" s="5" t="inlineStr">
        <is>
          <t>第五組</t>
        </is>
      </c>
      <c r="B338" s="6" t="n">
        <v>108</v>
      </c>
      <c r="C338" s="8">
        <f>I337</f>
        <v/>
      </c>
      <c r="D338" s="4">
        <f>SUMIFS('01_異動主檔'!$F:$F,'01_異動主檔'!$B:$B,108,'01_異動主檔'!$D:$D,A338,'01_異動主檔'!$E:$E,"移入")</f>
        <v/>
      </c>
      <c r="E338" s="4">
        <f>-SUMIFS('01_異動主檔'!$F:$F,'01_異動主檔'!$B:$B,108,'01_異動主檔'!$D:$D,A338,'01_異動主檔'!$E:$E,"移出")</f>
        <v/>
      </c>
      <c r="F338" s="4">
        <f>SUMIFS('01_異動主檔'!$F:$F,'01_異動主檔'!$B:$B,108,'01_異動主檔'!$D:$D,A338,'01_異動主檔'!$E:$E,"新增")</f>
        <v/>
      </c>
      <c r="G338" s="4">
        <f>-SUMIFS('01_異動主檔'!$F:$F,'01_異動主檔'!$B:$B,108,'01_異動主檔'!$D:$D,A338,'01_異動主檔'!$E:$E,"減列")</f>
        <v/>
      </c>
      <c r="H338" s="4">
        <f>-SUMIFS('01_異動主檔'!$F:$F,'01_異動主檔'!$B:$B,108,'01_異動主檔'!$D:$D,A338,'01_異動主檔'!$E:$E,"精簡")</f>
        <v/>
      </c>
      <c r="I338" s="8">
        <f>C338+D338+E338+F338+G338+H338</f>
        <v/>
      </c>
    </row>
    <row r="339" ht="18" customHeight="1">
      <c r="A339" s="3" t="inlineStr">
        <is>
          <t>第五組</t>
        </is>
      </c>
      <c r="B339" s="4" t="n">
        <v>109</v>
      </c>
      <c r="C339" s="8">
        <f>I338</f>
        <v/>
      </c>
      <c r="D339" s="4">
        <f>SUMIFS('01_異動主檔'!$F:$F,'01_異動主檔'!$B:$B,109,'01_異動主檔'!$D:$D,A339,'01_異動主檔'!$E:$E,"移入")</f>
        <v/>
      </c>
      <c r="E339" s="4">
        <f>-SUMIFS('01_異動主檔'!$F:$F,'01_異動主檔'!$B:$B,109,'01_異動主檔'!$D:$D,A339,'01_異動主檔'!$E:$E,"移出")</f>
        <v/>
      </c>
      <c r="F339" s="4">
        <f>SUMIFS('01_異動主檔'!$F:$F,'01_異動主檔'!$B:$B,109,'01_異動主檔'!$D:$D,A339,'01_異動主檔'!$E:$E,"新增")</f>
        <v/>
      </c>
      <c r="G339" s="4">
        <f>-SUMIFS('01_異動主檔'!$F:$F,'01_異動主檔'!$B:$B,109,'01_異動主檔'!$D:$D,A339,'01_異動主檔'!$E:$E,"減列")</f>
        <v/>
      </c>
      <c r="H339" s="4">
        <f>-SUMIFS('01_異動主檔'!$F:$F,'01_異動主檔'!$B:$B,109,'01_異動主檔'!$D:$D,A339,'01_異動主檔'!$E:$E,"精簡")</f>
        <v/>
      </c>
      <c r="I339" s="8">
        <f>C339+D339+E339+F339+G339+H339</f>
        <v/>
      </c>
    </row>
    <row r="340" ht="18" customHeight="1">
      <c r="A340" s="5" t="inlineStr">
        <is>
          <t>第五組</t>
        </is>
      </c>
      <c r="B340" s="6" t="n">
        <v>110</v>
      </c>
      <c r="C340" s="8">
        <f>I339</f>
        <v/>
      </c>
      <c r="D340" s="4">
        <f>SUMIFS('01_異動主檔'!$F:$F,'01_異動主檔'!$B:$B,110,'01_異動主檔'!$D:$D,A340,'01_異動主檔'!$E:$E,"移入")</f>
        <v/>
      </c>
      <c r="E340" s="4">
        <f>-SUMIFS('01_異動主檔'!$F:$F,'01_異動主檔'!$B:$B,110,'01_異動主檔'!$D:$D,A340,'01_異動主檔'!$E:$E,"移出")</f>
        <v/>
      </c>
      <c r="F340" s="4">
        <f>SUMIFS('01_異動主檔'!$F:$F,'01_異動主檔'!$B:$B,110,'01_異動主檔'!$D:$D,A340,'01_異動主檔'!$E:$E,"新增")</f>
        <v/>
      </c>
      <c r="G340" s="4">
        <f>-SUMIFS('01_異動主檔'!$F:$F,'01_異動主檔'!$B:$B,110,'01_異動主檔'!$D:$D,A340,'01_異動主檔'!$E:$E,"減列")</f>
        <v/>
      </c>
      <c r="H340" s="4">
        <f>-SUMIFS('01_異動主檔'!$F:$F,'01_異動主檔'!$B:$B,110,'01_異動主檔'!$D:$D,A340,'01_異動主檔'!$E:$E,"精簡")</f>
        <v/>
      </c>
      <c r="I340" s="8">
        <f>C340+D340+E340+F340+G340+H340</f>
        <v/>
      </c>
    </row>
    <row r="341" ht="18" customHeight="1">
      <c r="A341" s="3" t="inlineStr">
        <is>
          <t>第五組</t>
        </is>
      </c>
      <c r="B341" s="4" t="n">
        <v>111</v>
      </c>
      <c r="C341" s="8">
        <f>I340</f>
        <v/>
      </c>
      <c r="D341" s="4">
        <f>SUMIFS('01_異動主檔'!$F:$F,'01_異動主檔'!$B:$B,111,'01_異動主檔'!$D:$D,A341,'01_異動主檔'!$E:$E,"移入")</f>
        <v/>
      </c>
      <c r="E341" s="4">
        <f>-SUMIFS('01_異動主檔'!$F:$F,'01_異動主檔'!$B:$B,111,'01_異動主檔'!$D:$D,A341,'01_異動主檔'!$E:$E,"移出")</f>
        <v/>
      </c>
      <c r="F341" s="4">
        <f>SUMIFS('01_異動主檔'!$F:$F,'01_異動主檔'!$B:$B,111,'01_異動主檔'!$D:$D,A341,'01_異動主檔'!$E:$E,"新增")</f>
        <v/>
      </c>
      <c r="G341" s="4">
        <f>-SUMIFS('01_異動主檔'!$F:$F,'01_異動主檔'!$B:$B,111,'01_異動主檔'!$D:$D,A341,'01_異動主檔'!$E:$E,"減列")</f>
        <v/>
      </c>
      <c r="H341" s="4">
        <f>-SUMIFS('01_異動主檔'!$F:$F,'01_異動主檔'!$B:$B,111,'01_異動主檔'!$D:$D,A341,'01_異動主檔'!$E:$E,"精簡")</f>
        <v/>
      </c>
      <c r="I341" s="8">
        <f>C341+D341+E341+F341+G341+H341</f>
        <v/>
      </c>
    </row>
    <row r="342" ht="18" customHeight="1">
      <c r="A342" s="5" t="inlineStr">
        <is>
          <t>第五組</t>
        </is>
      </c>
      <c r="B342" s="6" t="n">
        <v>112</v>
      </c>
      <c r="C342" s="8">
        <f>I341</f>
        <v/>
      </c>
      <c r="D342" s="4">
        <f>SUMIFS('01_異動主檔'!$F:$F,'01_異動主檔'!$B:$B,112,'01_異動主檔'!$D:$D,A342,'01_異動主檔'!$E:$E,"移入")</f>
        <v/>
      </c>
      <c r="E342" s="4">
        <f>-SUMIFS('01_異動主檔'!$F:$F,'01_異動主檔'!$B:$B,112,'01_異動主檔'!$D:$D,A342,'01_異動主檔'!$E:$E,"移出")</f>
        <v/>
      </c>
      <c r="F342" s="4">
        <f>SUMIFS('01_異動主檔'!$F:$F,'01_異動主檔'!$B:$B,112,'01_異動主檔'!$D:$D,A342,'01_異動主檔'!$E:$E,"新增")</f>
        <v/>
      </c>
      <c r="G342" s="4">
        <f>-SUMIFS('01_異動主檔'!$F:$F,'01_異動主檔'!$B:$B,112,'01_異動主檔'!$D:$D,A342,'01_異動主檔'!$E:$E,"減列")</f>
        <v/>
      </c>
      <c r="H342" s="4">
        <f>-SUMIFS('01_異動主檔'!$F:$F,'01_異動主檔'!$B:$B,112,'01_異動主檔'!$D:$D,A342,'01_異動主檔'!$E:$E,"精簡")</f>
        <v/>
      </c>
      <c r="I342" s="8">
        <f>C342+D342+E342+F342+G342+H342</f>
        <v/>
      </c>
    </row>
    <row r="343" ht="18" customHeight="1">
      <c r="A343" s="3" t="inlineStr">
        <is>
          <t>第五組</t>
        </is>
      </c>
      <c r="B343" s="4" t="n">
        <v>113</v>
      </c>
      <c r="C343" s="8">
        <f>I342</f>
        <v/>
      </c>
      <c r="D343" s="4">
        <f>SUMIFS('01_異動主檔'!$F:$F,'01_異動主檔'!$B:$B,113,'01_異動主檔'!$D:$D,A343,'01_異動主檔'!$E:$E,"移入")</f>
        <v/>
      </c>
      <c r="E343" s="4">
        <f>-SUMIFS('01_異動主檔'!$F:$F,'01_異動主檔'!$B:$B,113,'01_異動主檔'!$D:$D,A343,'01_異動主檔'!$E:$E,"移出")</f>
        <v/>
      </c>
      <c r="F343" s="4">
        <f>SUMIFS('01_異動主檔'!$F:$F,'01_異動主檔'!$B:$B,113,'01_異動主檔'!$D:$D,A343,'01_異動主檔'!$E:$E,"新增")</f>
        <v/>
      </c>
      <c r="G343" s="4">
        <f>-SUMIFS('01_異動主檔'!$F:$F,'01_異動主檔'!$B:$B,113,'01_異動主檔'!$D:$D,A343,'01_異動主檔'!$E:$E,"減列")</f>
        <v/>
      </c>
      <c r="H343" s="4">
        <f>-SUMIFS('01_異動主檔'!$F:$F,'01_異動主檔'!$B:$B,113,'01_異動主檔'!$D:$D,A343,'01_異動主檔'!$E:$E,"精簡")</f>
        <v/>
      </c>
      <c r="I343" s="8">
        <f>C343+D343+E343+F343+G343+H343</f>
        <v/>
      </c>
    </row>
    <row r="344" ht="18" customHeight="1">
      <c r="A344" s="5" t="inlineStr">
        <is>
          <t>第五組</t>
        </is>
      </c>
      <c r="B344" s="6" t="n">
        <v>114</v>
      </c>
      <c r="C344" s="8">
        <f>I343</f>
        <v/>
      </c>
      <c r="D344" s="4">
        <f>SUMIFS('01_異動主檔'!$F:$F,'01_異動主檔'!$B:$B,114,'01_異動主檔'!$D:$D,A344,'01_異動主檔'!$E:$E,"移入")</f>
        <v/>
      </c>
      <c r="E344" s="4">
        <f>-SUMIFS('01_異動主檔'!$F:$F,'01_異動主檔'!$B:$B,114,'01_異動主檔'!$D:$D,A344,'01_異動主檔'!$E:$E,"移出")</f>
        <v/>
      </c>
      <c r="F344" s="4">
        <f>SUMIFS('01_異動主檔'!$F:$F,'01_異動主檔'!$B:$B,114,'01_異動主檔'!$D:$D,A344,'01_異動主檔'!$E:$E,"新增")</f>
        <v/>
      </c>
      <c r="G344" s="4">
        <f>-SUMIFS('01_異動主檔'!$F:$F,'01_異動主檔'!$B:$B,114,'01_異動主檔'!$D:$D,A344,'01_異動主檔'!$E:$E,"減列")</f>
        <v/>
      </c>
      <c r="H344" s="4">
        <f>-SUMIFS('01_異動主檔'!$F:$F,'01_異動主檔'!$B:$B,114,'01_異動主檔'!$D:$D,A344,'01_異動主檔'!$E:$E,"精簡")</f>
        <v/>
      </c>
      <c r="I344" s="8">
        <f>C344+D344+E344+F344+G344+H344</f>
        <v/>
      </c>
    </row>
    <row r="345" ht="18" customHeight="1">
      <c r="A345" s="3" t="inlineStr">
        <is>
          <t>第五組</t>
        </is>
      </c>
      <c r="B345" s="4" t="n">
        <v>115</v>
      </c>
      <c r="C345" s="8">
        <f>I344</f>
        <v/>
      </c>
      <c r="D345" s="4">
        <f>SUMIFS('01_異動主檔'!$F:$F,'01_異動主檔'!$B:$B,115,'01_異動主檔'!$D:$D,A345,'01_異動主檔'!$E:$E,"移入")</f>
        <v/>
      </c>
      <c r="E345" s="4">
        <f>-SUMIFS('01_異動主檔'!$F:$F,'01_異動主檔'!$B:$B,115,'01_異動主檔'!$D:$D,A345,'01_異動主檔'!$E:$E,"移出")</f>
        <v/>
      </c>
      <c r="F345" s="4">
        <f>SUMIFS('01_異動主檔'!$F:$F,'01_異動主檔'!$B:$B,115,'01_異動主檔'!$D:$D,A345,'01_異動主檔'!$E:$E,"新增")</f>
        <v/>
      </c>
      <c r="G345" s="4">
        <f>-SUMIFS('01_異動主檔'!$F:$F,'01_異動主檔'!$B:$B,115,'01_異動主檔'!$D:$D,A345,'01_異動主檔'!$E:$E,"減列")</f>
        <v/>
      </c>
      <c r="H345" s="4">
        <f>-SUMIFS('01_異動主檔'!$F:$F,'01_異動主檔'!$B:$B,115,'01_異動主檔'!$D:$D,A345,'01_異動主檔'!$E:$E,"精簡")</f>
        <v/>
      </c>
      <c r="I345" s="8">
        <f>C345+D345+E345+F345+G345+H345</f>
        <v/>
      </c>
    </row>
    <row r="346" ht="18" customHeight="1">
      <c r="A346" s="5" t="inlineStr">
        <is>
          <t>第五組</t>
        </is>
      </c>
      <c r="B346" s="6" t="n">
        <v>116</v>
      </c>
      <c r="C346" s="8">
        <f>I345</f>
        <v/>
      </c>
      <c r="D346" s="4">
        <f>SUMIFS('01_異動主檔'!$F:$F,'01_異動主檔'!$B:$B,116,'01_異動主檔'!$D:$D,A346,'01_異動主檔'!$E:$E,"移入")</f>
        <v/>
      </c>
      <c r="E346" s="4">
        <f>-SUMIFS('01_異動主檔'!$F:$F,'01_異動主檔'!$B:$B,116,'01_異動主檔'!$D:$D,A346,'01_異動主檔'!$E:$E,"移出")</f>
        <v/>
      </c>
      <c r="F346" s="4">
        <f>SUMIFS('01_異動主檔'!$F:$F,'01_異動主檔'!$B:$B,116,'01_異動主檔'!$D:$D,A346,'01_異動主檔'!$E:$E,"新增")</f>
        <v/>
      </c>
      <c r="G346" s="4">
        <f>-SUMIFS('01_異動主檔'!$F:$F,'01_異動主檔'!$B:$B,116,'01_異動主檔'!$D:$D,A346,'01_異動主檔'!$E:$E,"減列")</f>
        <v/>
      </c>
      <c r="H346" s="4">
        <f>-SUMIFS('01_異動主檔'!$F:$F,'01_異動主檔'!$B:$B,116,'01_異動主檔'!$D:$D,A346,'01_異動主檔'!$E:$E,"精簡")</f>
        <v/>
      </c>
      <c r="I346" s="8">
        <f>C346+D346+E346+F346+G346+H346</f>
        <v/>
      </c>
    </row>
    <row r="347" ht="18" customHeight="1">
      <c r="A347" s="3" t="inlineStr">
        <is>
          <t>第五組</t>
        </is>
      </c>
      <c r="B347" s="4" t="n">
        <v>117</v>
      </c>
      <c r="C347" s="8">
        <f>I346</f>
        <v/>
      </c>
      <c r="D347" s="4">
        <f>SUMIFS('01_異動主檔'!$F:$F,'01_異動主檔'!$B:$B,117,'01_異動主檔'!$D:$D,A347,'01_異動主檔'!$E:$E,"移入")</f>
        <v/>
      </c>
      <c r="E347" s="4">
        <f>-SUMIFS('01_異動主檔'!$F:$F,'01_異動主檔'!$B:$B,117,'01_異動主檔'!$D:$D,A347,'01_異動主檔'!$E:$E,"移出")</f>
        <v/>
      </c>
      <c r="F347" s="4">
        <f>SUMIFS('01_異動主檔'!$F:$F,'01_異動主檔'!$B:$B,117,'01_異動主檔'!$D:$D,A347,'01_異動主檔'!$E:$E,"新增")</f>
        <v/>
      </c>
      <c r="G347" s="4">
        <f>-SUMIFS('01_異動主檔'!$F:$F,'01_異動主檔'!$B:$B,117,'01_異動主檔'!$D:$D,A347,'01_異動主檔'!$E:$E,"減列")</f>
        <v/>
      </c>
      <c r="H347" s="4">
        <f>-SUMIFS('01_異動主檔'!$F:$F,'01_異動主檔'!$B:$B,117,'01_異動主檔'!$D:$D,A347,'01_異動主檔'!$E:$E,"精簡")</f>
        <v/>
      </c>
      <c r="I347" s="8">
        <f>C347+D347+E347+F347+G347+H347</f>
        <v/>
      </c>
    </row>
    <row r="348" ht="18" customHeight="1">
      <c r="A348" s="5" t="inlineStr">
        <is>
          <t>第五組</t>
        </is>
      </c>
      <c r="B348" s="6" t="n">
        <v>118</v>
      </c>
      <c r="C348" s="8">
        <f>I347</f>
        <v/>
      </c>
      <c r="D348" s="4">
        <f>SUMIFS('01_異動主檔'!$F:$F,'01_異動主檔'!$B:$B,118,'01_異動主檔'!$D:$D,A348,'01_異動主檔'!$E:$E,"移入")</f>
        <v/>
      </c>
      <c r="E348" s="4">
        <f>-SUMIFS('01_異動主檔'!$F:$F,'01_異動主檔'!$B:$B,118,'01_異動主檔'!$D:$D,A348,'01_異動主檔'!$E:$E,"移出")</f>
        <v/>
      </c>
      <c r="F348" s="4">
        <f>SUMIFS('01_異動主檔'!$F:$F,'01_異動主檔'!$B:$B,118,'01_異動主檔'!$D:$D,A348,'01_異動主檔'!$E:$E,"新增")</f>
        <v/>
      </c>
      <c r="G348" s="4">
        <f>-SUMIFS('01_異動主檔'!$F:$F,'01_異動主檔'!$B:$B,118,'01_異動主檔'!$D:$D,A348,'01_異動主檔'!$E:$E,"減列")</f>
        <v/>
      </c>
      <c r="H348" s="4">
        <f>-SUMIFS('01_異動主檔'!$F:$F,'01_異動主檔'!$B:$B,118,'01_異動主檔'!$D:$D,A348,'01_異動主檔'!$E:$E,"精簡")</f>
        <v/>
      </c>
      <c r="I348" s="8">
        <f>C348+D348+E348+F348+G348+H348</f>
        <v/>
      </c>
    </row>
    <row r="349" ht="18" customHeight="1">
      <c r="A349" s="3" t="inlineStr">
        <is>
          <t>第五組</t>
        </is>
      </c>
      <c r="B349" s="4" t="n">
        <v>119</v>
      </c>
      <c r="C349" s="8">
        <f>I348</f>
        <v/>
      </c>
      <c r="D349" s="4">
        <f>SUMIFS('01_異動主檔'!$F:$F,'01_異動主檔'!$B:$B,119,'01_異動主檔'!$D:$D,A349,'01_異動主檔'!$E:$E,"移入")</f>
        <v/>
      </c>
      <c r="E349" s="4">
        <f>-SUMIFS('01_異動主檔'!$F:$F,'01_異動主檔'!$B:$B,119,'01_異動主檔'!$D:$D,A349,'01_異動主檔'!$E:$E,"移出")</f>
        <v/>
      </c>
      <c r="F349" s="4">
        <f>SUMIFS('01_異動主檔'!$F:$F,'01_異動主檔'!$B:$B,119,'01_異動主檔'!$D:$D,A349,'01_異動主檔'!$E:$E,"新增")</f>
        <v/>
      </c>
      <c r="G349" s="4">
        <f>-SUMIFS('01_異動主檔'!$F:$F,'01_異動主檔'!$B:$B,119,'01_異動主檔'!$D:$D,A349,'01_異動主檔'!$E:$E,"減列")</f>
        <v/>
      </c>
      <c r="H349" s="4">
        <f>-SUMIFS('01_異動主檔'!$F:$F,'01_異動主檔'!$B:$B,119,'01_異動主檔'!$D:$D,A349,'01_異動主檔'!$E:$E,"精簡")</f>
        <v/>
      </c>
      <c r="I349" s="8">
        <f>C349+D349+E349+F349+G349+H349</f>
        <v/>
      </c>
    </row>
    <row r="350" ht="18" customHeight="1">
      <c r="A350" s="5" t="inlineStr">
        <is>
          <t>第五組</t>
        </is>
      </c>
      <c r="B350" s="6" t="n">
        <v>120</v>
      </c>
      <c r="C350" s="8">
        <f>I349</f>
        <v/>
      </c>
      <c r="D350" s="4">
        <f>SUMIFS('01_異動主檔'!$F:$F,'01_異動主檔'!$B:$B,120,'01_異動主檔'!$D:$D,A350,'01_異動主檔'!$E:$E,"移入")</f>
        <v/>
      </c>
      <c r="E350" s="4">
        <f>-SUMIFS('01_異動主檔'!$F:$F,'01_異動主檔'!$B:$B,120,'01_異動主檔'!$D:$D,A350,'01_異動主檔'!$E:$E,"移出")</f>
        <v/>
      </c>
      <c r="F350" s="4">
        <f>SUMIFS('01_異動主檔'!$F:$F,'01_異動主檔'!$B:$B,120,'01_異動主檔'!$D:$D,A350,'01_異動主檔'!$E:$E,"新增")</f>
        <v/>
      </c>
      <c r="G350" s="4">
        <f>-SUMIFS('01_異動主檔'!$F:$F,'01_異動主檔'!$B:$B,120,'01_異動主檔'!$D:$D,A350,'01_異動主檔'!$E:$E,"減列")</f>
        <v/>
      </c>
      <c r="H350" s="4">
        <f>-SUMIFS('01_異動主檔'!$F:$F,'01_異動主檔'!$B:$B,120,'01_異動主檔'!$D:$D,A350,'01_異動主檔'!$E:$E,"精簡")</f>
        <v/>
      </c>
      <c r="I350" s="8">
        <f>C350+D350+E350+F350+G350+H350</f>
        <v/>
      </c>
    </row>
    <row r="351" ht="18" customHeight="1">
      <c r="A351" s="3" t="inlineStr">
        <is>
          <t>第五組</t>
        </is>
      </c>
      <c r="B351" s="4" t="n">
        <v>121</v>
      </c>
      <c r="C351" s="8">
        <f>I350</f>
        <v/>
      </c>
      <c r="D351" s="4">
        <f>SUMIFS('01_異動主檔'!$F:$F,'01_異動主檔'!$B:$B,121,'01_異動主檔'!$D:$D,A351,'01_異動主檔'!$E:$E,"移入")</f>
        <v/>
      </c>
      <c r="E351" s="4">
        <f>-SUMIFS('01_異動主檔'!$F:$F,'01_異動主檔'!$B:$B,121,'01_異動主檔'!$D:$D,A351,'01_異動主檔'!$E:$E,"移出")</f>
        <v/>
      </c>
      <c r="F351" s="4">
        <f>SUMIFS('01_異動主檔'!$F:$F,'01_異動主檔'!$B:$B,121,'01_異動主檔'!$D:$D,A351,'01_異動主檔'!$E:$E,"新增")</f>
        <v/>
      </c>
      <c r="G351" s="4">
        <f>-SUMIFS('01_異動主檔'!$F:$F,'01_異動主檔'!$B:$B,121,'01_異動主檔'!$D:$D,A351,'01_異動主檔'!$E:$E,"減列")</f>
        <v/>
      </c>
      <c r="H351" s="4">
        <f>-SUMIFS('01_異動主檔'!$F:$F,'01_異動主檔'!$B:$B,121,'01_異動主檔'!$D:$D,A351,'01_異動主檔'!$E:$E,"精簡")</f>
        <v/>
      </c>
      <c r="I351" s="8">
        <f>C351+D351+E351+F351+G351+H351</f>
        <v/>
      </c>
    </row>
    <row r="352" ht="18" customHeight="1">
      <c r="A352" s="5" t="inlineStr">
        <is>
          <t>第五組</t>
        </is>
      </c>
      <c r="B352" s="6" t="n">
        <v>122</v>
      </c>
      <c r="C352" s="8">
        <f>I351</f>
        <v/>
      </c>
      <c r="D352" s="4">
        <f>SUMIFS('01_異動主檔'!$F:$F,'01_異動主檔'!$B:$B,122,'01_異動主檔'!$D:$D,A352,'01_異動主檔'!$E:$E,"移入")</f>
        <v/>
      </c>
      <c r="E352" s="4">
        <f>-SUMIFS('01_異動主檔'!$F:$F,'01_異動主檔'!$B:$B,122,'01_異動主檔'!$D:$D,A352,'01_異動主檔'!$E:$E,"移出")</f>
        <v/>
      </c>
      <c r="F352" s="4">
        <f>SUMIFS('01_異動主檔'!$F:$F,'01_異動主檔'!$B:$B,122,'01_異動主檔'!$D:$D,A352,'01_異動主檔'!$E:$E,"新增")</f>
        <v/>
      </c>
      <c r="G352" s="4">
        <f>-SUMIFS('01_異動主檔'!$F:$F,'01_異動主檔'!$B:$B,122,'01_異動主檔'!$D:$D,A352,'01_異動主檔'!$E:$E,"減列")</f>
        <v/>
      </c>
      <c r="H352" s="4">
        <f>-SUMIFS('01_異動主檔'!$F:$F,'01_異動主檔'!$B:$B,122,'01_異動主檔'!$D:$D,A352,'01_異動主檔'!$E:$E,"精簡")</f>
        <v/>
      </c>
      <c r="I352" s="8">
        <f>C352+D352+E352+F352+G352+H352</f>
        <v/>
      </c>
    </row>
    <row r="353" ht="18" customHeight="1">
      <c r="A353" s="3" t="inlineStr">
        <is>
          <t>第五組</t>
        </is>
      </c>
      <c r="B353" s="4" t="n">
        <v>123</v>
      </c>
      <c r="C353" s="8">
        <f>I352</f>
        <v/>
      </c>
      <c r="D353" s="4">
        <f>SUMIFS('01_異動主檔'!$F:$F,'01_異動主檔'!$B:$B,123,'01_異動主檔'!$D:$D,A353,'01_異動主檔'!$E:$E,"移入")</f>
        <v/>
      </c>
      <c r="E353" s="4">
        <f>-SUMIFS('01_異動主檔'!$F:$F,'01_異動主檔'!$B:$B,123,'01_異動主檔'!$D:$D,A353,'01_異動主檔'!$E:$E,"移出")</f>
        <v/>
      </c>
      <c r="F353" s="4">
        <f>SUMIFS('01_異動主檔'!$F:$F,'01_異動主檔'!$B:$B,123,'01_異動主檔'!$D:$D,A353,'01_異動主檔'!$E:$E,"新增")</f>
        <v/>
      </c>
      <c r="G353" s="4">
        <f>-SUMIFS('01_異動主檔'!$F:$F,'01_異動主檔'!$B:$B,123,'01_異動主檔'!$D:$D,A353,'01_異動主檔'!$E:$E,"減列")</f>
        <v/>
      </c>
      <c r="H353" s="4">
        <f>-SUMIFS('01_異動主檔'!$F:$F,'01_異動主檔'!$B:$B,123,'01_異動主檔'!$D:$D,A353,'01_異動主檔'!$E:$E,"精簡")</f>
        <v/>
      </c>
      <c r="I353" s="8">
        <f>C353+D353+E353+F353+G353+H353</f>
        <v/>
      </c>
    </row>
    <row r="354" ht="18" customHeight="1">
      <c r="A354" s="5" t="inlineStr">
        <is>
          <t>第五組</t>
        </is>
      </c>
      <c r="B354" s="6" t="n">
        <v>124</v>
      </c>
      <c r="C354" s="8">
        <f>I353</f>
        <v/>
      </c>
      <c r="D354" s="4">
        <f>SUMIFS('01_異動主檔'!$F:$F,'01_異動主檔'!$B:$B,124,'01_異動主檔'!$D:$D,A354,'01_異動主檔'!$E:$E,"移入")</f>
        <v/>
      </c>
      <c r="E354" s="4">
        <f>-SUMIFS('01_異動主檔'!$F:$F,'01_異動主檔'!$B:$B,124,'01_異動主檔'!$D:$D,A354,'01_異動主檔'!$E:$E,"移出")</f>
        <v/>
      </c>
      <c r="F354" s="4">
        <f>SUMIFS('01_異動主檔'!$F:$F,'01_異動主檔'!$B:$B,124,'01_異動主檔'!$D:$D,A354,'01_異動主檔'!$E:$E,"新增")</f>
        <v/>
      </c>
      <c r="G354" s="4">
        <f>-SUMIFS('01_異動主檔'!$F:$F,'01_異動主檔'!$B:$B,124,'01_異動主檔'!$D:$D,A354,'01_異動主檔'!$E:$E,"減列")</f>
        <v/>
      </c>
      <c r="H354" s="4">
        <f>-SUMIFS('01_異動主檔'!$F:$F,'01_異動主檔'!$B:$B,124,'01_異動主檔'!$D:$D,A354,'01_異動主檔'!$E:$E,"精簡")</f>
        <v/>
      </c>
      <c r="I354" s="8">
        <f>C354+D354+E354+F354+G354+H354</f>
        <v/>
      </c>
    </row>
    <row r="355" ht="18" customHeight="1">
      <c r="A355" s="3" t="inlineStr">
        <is>
          <t>第五組</t>
        </is>
      </c>
      <c r="B355" s="4" t="n">
        <v>125</v>
      </c>
      <c r="C355" s="8">
        <f>I354</f>
        <v/>
      </c>
      <c r="D355" s="4">
        <f>SUMIFS('01_異動主檔'!$F:$F,'01_異動主檔'!$B:$B,125,'01_異動主檔'!$D:$D,A355,'01_異動主檔'!$E:$E,"移入")</f>
        <v/>
      </c>
      <c r="E355" s="4">
        <f>-SUMIFS('01_異動主檔'!$F:$F,'01_異動主檔'!$B:$B,125,'01_異動主檔'!$D:$D,A355,'01_異動主檔'!$E:$E,"移出")</f>
        <v/>
      </c>
      <c r="F355" s="4">
        <f>SUMIFS('01_異動主檔'!$F:$F,'01_異動主檔'!$B:$B,125,'01_異動主檔'!$D:$D,A355,'01_異動主檔'!$E:$E,"新增")</f>
        <v/>
      </c>
      <c r="G355" s="4">
        <f>-SUMIFS('01_異動主檔'!$F:$F,'01_異動主檔'!$B:$B,125,'01_異動主檔'!$D:$D,A355,'01_異動主檔'!$E:$E,"減列")</f>
        <v/>
      </c>
      <c r="H355" s="4">
        <f>-SUMIFS('01_異動主檔'!$F:$F,'01_異動主檔'!$B:$B,125,'01_異動主檔'!$D:$D,A355,'01_異動主檔'!$E:$E,"精簡")</f>
        <v/>
      </c>
      <c r="I355" s="8">
        <f>C355+D355+E355+F355+G355+H355</f>
        <v/>
      </c>
    </row>
    <row r="356" ht="18" customHeight="1">
      <c r="A356" s="5" t="inlineStr">
        <is>
          <t>第六組</t>
        </is>
      </c>
      <c r="B356" s="6" t="n">
        <v>99</v>
      </c>
      <c r="C356" s="8">
        <f>'02_年初員額設定'!B18</f>
        <v/>
      </c>
      <c r="D356" s="4">
        <f>SUMIFS('01_異動主檔'!$F:$F,'01_異動主檔'!$B:$B,99,'01_異動主檔'!$D:$D,A356,'01_異動主檔'!$E:$E,"移入")</f>
        <v/>
      </c>
      <c r="E356" s="4">
        <f>-SUMIFS('01_異動主檔'!$F:$F,'01_異動主檔'!$B:$B,99,'01_異動主檔'!$D:$D,A356,'01_異動主檔'!$E:$E,"移出")</f>
        <v/>
      </c>
      <c r="F356" s="4">
        <f>SUMIFS('01_異動主檔'!$F:$F,'01_異動主檔'!$B:$B,99,'01_異動主檔'!$D:$D,A356,'01_異動主檔'!$E:$E,"新增")</f>
        <v/>
      </c>
      <c r="G356" s="4">
        <f>-SUMIFS('01_異動主檔'!$F:$F,'01_異動主檔'!$B:$B,99,'01_異動主檔'!$D:$D,A356,'01_異動主檔'!$E:$E,"減列")</f>
        <v/>
      </c>
      <c r="H356" s="4">
        <f>-SUMIFS('01_異動主檔'!$F:$F,'01_異動主檔'!$B:$B,99,'01_異動主檔'!$D:$D,A356,'01_異動主檔'!$E:$E,"精簡")</f>
        <v/>
      </c>
      <c r="I356" s="8">
        <f>C356+D356+E356+F356+G356+H356</f>
        <v/>
      </c>
    </row>
    <row r="357" ht="18" customHeight="1">
      <c r="A357" s="3" t="inlineStr">
        <is>
          <t>第六組</t>
        </is>
      </c>
      <c r="B357" s="4" t="n">
        <v>100</v>
      </c>
      <c r="C357" s="8">
        <f>I356</f>
        <v/>
      </c>
      <c r="D357" s="4">
        <f>SUMIFS('01_異動主檔'!$F:$F,'01_異動主檔'!$B:$B,100,'01_異動主檔'!$D:$D,A357,'01_異動主檔'!$E:$E,"移入")</f>
        <v/>
      </c>
      <c r="E357" s="4">
        <f>-SUMIFS('01_異動主檔'!$F:$F,'01_異動主檔'!$B:$B,100,'01_異動主檔'!$D:$D,A357,'01_異動主檔'!$E:$E,"移出")</f>
        <v/>
      </c>
      <c r="F357" s="4">
        <f>SUMIFS('01_異動主檔'!$F:$F,'01_異動主檔'!$B:$B,100,'01_異動主檔'!$D:$D,A357,'01_異動主檔'!$E:$E,"新增")</f>
        <v/>
      </c>
      <c r="G357" s="4">
        <f>-SUMIFS('01_異動主檔'!$F:$F,'01_異動主檔'!$B:$B,100,'01_異動主檔'!$D:$D,A357,'01_異動主檔'!$E:$E,"減列")</f>
        <v/>
      </c>
      <c r="H357" s="4">
        <f>-SUMIFS('01_異動主檔'!$F:$F,'01_異動主檔'!$B:$B,100,'01_異動主檔'!$D:$D,A357,'01_異動主檔'!$E:$E,"精簡")</f>
        <v/>
      </c>
      <c r="I357" s="8">
        <f>C357+D357+E357+F357+G357+H357</f>
        <v/>
      </c>
    </row>
    <row r="358" ht="18" customHeight="1">
      <c r="A358" s="5" t="inlineStr">
        <is>
          <t>第六組</t>
        </is>
      </c>
      <c r="B358" s="6" t="n">
        <v>101</v>
      </c>
      <c r="C358" s="8">
        <f>I357</f>
        <v/>
      </c>
      <c r="D358" s="4">
        <f>SUMIFS('01_異動主檔'!$F:$F,'01_異動主檔'!$B:$B,101,'01_異動主檔'!$D:$D,A358,'01_異動主檔'!$E:$E,"移入")</f>
        <v/>
      </c>
      <c r="E358" s="4">
        <f>-SUMIFS('01_異動主檔'!$F:$F,'01_異動主檔'!$B:$B,101,'01_異動主檔'!$D:$D,A358,'01_異動主檔'!$E:$E,"移出")</f>
        <v/>
      </c>
      <c r="F358" s="4">
        <f>SUMIFS('01_異動主檔'!$F:$F,'01_異動主檔'!$B:$B,101,'01_異動主檔'!$D:$D,A358,'01_異動主檔'!$E:$E,"新增")</f>
        <v/>
      </c>
      <c r="G358" s="4">
        <f>-SUMIFS('01_異動主檔'!$F:$F,'01_異動主檔'!$B:$B,101,'01_異動主檔'!$D:$D,A358,'01_異動主檔'!$E:$E,"減列")</f>
        <v/>
      </c>
      <c r="H358" s="4">
        <f>-SUMIFS('01_異動主檔'!$F:$F,'01_異動主檔'!$B:$B,101,'01_異動主檔'!$D:$D,A358,'01_異動主檔'!$E:$E,"精簡")</f>
        <v/>
      </c>
      <c r="I358" s="8">
        <f>C358+D358+E358+F358+G358+H358</f>
        <v/>
      </c>
    </row>
    <row r="359" ht="18" customHeight="1">
      <c r="A359" s="3" t="inlineStr">
        <is>
          <t>第六組</t>
        </is>
      </c>
      <c r="B359" s="4" t="n">
        <v>102</v>
      </c>
      <c r="C359" s="8">
        <f>I358</f>
        <v/>
      </c>
      <c r="D359" s="4">
        <f>SUMIFS('01_異動主檔'!$F:$F,'01_異動主檔'!$B:$B,102,'01_異動主檔'!$D:$D,A359,'01_異動主檔'!$E:$E,"移入")</f>
        <v/>
      </c>
      <c r="E359" s="4">
        <f>-SUMIFS('01_異動主檔'!$F:$F,'01_異動主檔'!$B:$B,102,'01_異動主檔'!$D:$D,A359,'01_異動主檔'!$E:$E,"移出")</f>
        <v/>
      </c>
      <c r="F359" s="4">
        <f>SUMIFS('01_異動主檔'!$F:$F,'01_異動主檔'!$B:$B,102,'01_異動主檔'!$D:$D,A359,'01_異動主檔'!$E:$E,"新增")</f>
        <v/>
      </c>
      <c r="G359" s="4">
        <f>-SUMIFS('01_異動主檔'!$F:$F,'01_異動主檔'!$B:$B,102,'01_異動主檔'!$D:$D,A359,'01_異動主檔'!$E:$E,"減列")</f>
        <v/>
      </c>
      <c r="H359" s="4">
        <f>-SUMIFS('01_異動主檔'!$F:$F,'01_異動主檔'!$B:$B,102,'01_異動主檔'!$D:$D,A359,'01_異動主檔'!$E:$E,"精簡")</f>
        <v/>
      </c>
      <c r="I359" s="8">
        <f>C359+D359+E359+F359+G359+H359</f>
        <v/>
      </c>
    </row>
    <row r="360" ht="18" customHeight="1">
      <c r="A360" s="5" t="inlineStr">
        <is>
          <t>第六組</t>
        </is>
      </c>
      <c r="B360" s="6" t="n">
        <v>103</v>
      </c>
      <c r="C360" s="8">
        <f>I359</f>
        <v/>
      </c>
      <c r="D360" s="4">
        <f>SUMIFS('01_異動主檔'!$F:$F,'01_異動主檔'!$B:$B,103,'01_異動主檔'!$D:$D,A360,'01_異動主檔'!$E:$E,"移入")</f>
        <v/>
      </c>
      <c r="E360" s="4">
        <f>-SUMIFS('01_異動主檔'!$F:$F,'01_異動主檔'!$B:$B,103,'01_異動主檔'!$D:$D,A360,'01_異動主檔'!$E:$E,"移出")</f>
        <v/>
      </c>
      <c r="F360" s="4">
        <f>SUMIFS('01_異動主檔'!$F:$F,'01_異動主檔'!$B:$B,103,'01_異動主檔'!$D:$D,A360,'01_異動主檔'!$E:$E,"新增")</f>
        <v/>
      </c>
      <c r="G360" s="4">
        <f>-SUMIFS('01_異動主檔'!$F:$F,'01_異動主檔'!$B:$B,103,'01_異動主檔'!$D:$D,A360,'01_異動主檔'!$E:$E,"減列")</f>
        <v/>
      </c>
      <c r="H360" s="4">
        <f>-SUMIFS('01_異動主檔'!$F:$F,'01_異動主檔'!$B:$B,103,'01_異動主檔'!$D:$D,A360,'01_異動主檔'!$E:$E,"精簡")</f>
        <v/>
      </c>
      <c r="I360" s="8">
        <f>C360+D360+E360+F360+G360+H360</f>
        <v/>
      </c>
    </row>
    <row r="361" ht="18" customHeight="1">
      <c r="A361" s="3" t="inlineStr">
        <is>
          <t>第六組</t>
        </is>
      </c>
      <c r="B361" s="4" t="n">
        <v>104</v>
      </c>
      <c r="C361" s="8">
        <f>I360</f>
        <v/>
      </c>
      <c r="D361" s="4">
        <f>SUMIFS('01_異動主檔'!$F:$F,'01_異動主檔'!$B:$B,104,'01_異動主檔'!$D:$D,A361,'01_異動主檔'!$E:$E,"移入")</f>
        <v/>
      </c>
      <c r="E361" s="4">
        <f>-SUMIFS('01_異動主檔'!$F:$F,'01_異動主檔'!$B:$B,104,'01_異動主檔'!$D:$D,A361,'01_異動主檔'!$E:$E,"移出")</f>
        <v/>
      </c>
      <c r="F361" s="4">
        <f>SUMIFS('01_異動主檔'!$F:$F,'01_異動主檔'!$B:$B,104,'01_異動主檔'!$D:$D,A361,'01_異動主檔'!$E:$E,"新增")</f>
        <v/>
      </c>
      <c r="G361" s="4">
        <f>-SUMIFS('01_異動主檔'!$F:$F,'01_異動主檔'!$B:$B,104,'01_異動主檔'!$D:$D,A361,'01_異動主檔'!$E:$E,"減列")</f>
        <v/>
      </c>
      <c r="H361" s="4">
        <f>-SUMIFS('01_異動主檔'!$F:$F,'01_異動主檔'!$B:$B,104,'01_異動主檔'!$D:$D,A361,'01_異動主檔'!$E:$E,"精簡")</f>
        <v/>
      </c>
      <c r="I361" s="8">
        <f>C361+D361+E361+F361+G361+H361</f>
        <v/>
      </c>
    </row>
    <row r="362" ht="18" customHeight="1">
      <c r="A362" s="5" t="inlineStr">
        <is>
          <t>第六組</t>
        </is>
      </c>
      <c r="B362" s="6" t="n">
        <v>105</v>
      </c>
      <c r="C362" s="8">
        <f>I361</f>
        <v/>
      </c>
      <c r="D362" s="4">
        <f>SUMIFS('01_異動主檔'!$F:$F,'01_異動主檔'!$B:$B,105,'01_異動主檔'!$D:$D,A362,'01_異動主檔'!$E:$E,"移入")</f>
        <v/>
      </c>
      <c r="E362" s="4">
        <f>-SUMIFS('01_異動主檔'!$F:$F,'01_異動主檔'!$B:$B,105,'01_異動主檔'!$D:$D,A362,'01_異動主檔'!$E:$E,"移出")</f>
        <v/>
      </c>
      <c r="F362" s="4">
        <f>SUMIFS('01_異動主檔'!$F:$F,'01_異動主檔'!$B:$B,105,'01_異動主檔'!$D:$D,A362,'01_異動主檔'!$E:$E,"新增")</f>
        <v/>
      </c>
      <c r="G362" s="4">
        <f>-SUMIFS('01_異動主檔'!$F:$F,'01_異動主檔'!$B:$B,105,'01_異動主檔'!$D:$D,A362,'01_異動主檔'!$E:$E,"減列")</f>
        <v/>
      </c>
      <c r="H362" s="4">
        <f>-SUMIFS('01_異動主檔'!$F:$F,'01_異動主檔'!$B:$B,105,'01_異動主檔'!$D:$D,A362,'01_異動主檔'!$E:$E,"精簡")</f>
        <v/>
      </c>
      <c r="I362" s="8">
        <f>C362+D362+E362+F362+G362+H362</f>
        <v/>
      </c>
    </row>
    <row r="363" ht="18" customHeight="1">
      <c r="A363" s="3" t="inlineStr">
        <is>
          <t>第六組</t>
        </is>
      </c>
      <c r="B363" s="4" t="n">
        <v>106</v>
      </c>
      <c r="C363" s="8">
        <f>I362</f>
        <v/>
      </c>
      <c r="D363" s="4">
        <f>SUMIFS('01_異動主檔'!$F:$F,'01_異動主檔'!$B:$B,106,'01_異動主檔'!$D:$D,A363,'01_異動主檔'!$E:$E,"移入")</f>
        <v/>
      </c>
      <c r="E363" s="4">
        <f>-SUMIFS('01_異動主檔'!$F:$F,'01_異動主檔'!$B:$B,106,'01_異動主檔'!$D:$D,A363,'01_異動主檔'!$E:$E,"移出")</f>
        <v/>
      </c>
      <c r="F363" s="4">
        <f>SUMIFS('01_異動主檔'!$F:$F,'01_異動主檔'!$B:$B,106,'01_異動主檔'!$D:$D,A363,'01_異動主檔'!$E:$E,"新增")</f>
        <v/>
      </c>
      <c r="G363" s="4">
        <f>-SUMIFS('01_異動主檔'!$F:$F,'01_異動主檔'!$B:$B,106,'01_異動主檔'!$D:$D,A363,'01_異動主檔'!$E:$E,"減列")</f>
        <v/>
      </c>
      <c r="H363" s="4">
        <f>-SUMIFS('01_異動主檔'!$F:$F,'01_異動主檔'!$B:$B,106,'01_異動主檔'!$D:$D,A363,'01_異動主檔'!$E:$E,"精簡")</f>
        <v/>
      </c>
      <c r="I363" s="8">
        <f>C363+D363+E363+F363+G363+H363</f>
        <v/>
      </c>
    </row>
    <row r="364" ht="18" customHeight="1">
      <c r="A364" s="5" t="inlineStr">
        <is>
          <t>第六組</t>
        </is>
      </c>
      <c r="B364" s="6" t="n">
        <v>107</v>
      </c>
      <c r="C364" s="8">
        <f>I363</f>
        <v/>
      </c>
      <c r="D364" s="4">
        <f>SUMIFS('01_異動主檔'!$F:$F,'01_異動主檔'!$B:$B,107,'01_異動主檔'!$D:$D,A364,'01_異動主檔'!$E:$E,"移入")</f>
        <v/>
      </c>
      <c r="E364" s="4">
        <f>-SUMIFS('01_異動主檔'!$F:$F,'01_異動主檔'!$B:$B,107,'01_異動主檔'!$D:$D,A364,'01_異動主檔'!$E:$E,"移出")</f>
        <v/>
      </c>
      <c r="F364" s="4">
        <f>SUMIFS('01_異動主檔'!$F:$F,'01_異動主檔'!$B:$B,107,'01_異動主檔'!$D:$D,A364,'01_異動主檔'!$E:$E,"新增")</f>
        <v/>
      </c>
      <c r="G364" s="4">
        <f>-SUMIFS('01_異動主檔'!$F:$F,'01_異動主檔'!$B:$B,107,'01_異動主檔'!$D:$D,A364,'01_異動主檔'!$E:$E,"減列")</f>
        <v/>
      </c>
      <c r="H364" s="4">
        <f>-SUMIFS('01_異動主檔'!$F:$F,'01_異動主檔'!$B:$B,107,'01_異動主檔'!$D:$D,A364,'01_異動主檔'!$E:$E,"精簡")</f>
        <v/>
      </c>
      <c r="I364" s="8">
        <f>C364+D364+E364+F364+G364+H364</f>
        <v/>
      </c>
    </row>
    <row r="365" ht="18" customHeight="1">
      <c r="A365" s="3" t="inlineStr">
        <is>
          <t>第六組</t>
        </is>
      </c>
      <c r="B365" s="4" t="n">
        <v>108</v>
      </c>
      <c r="C365" s="8">
        <f>I364</f>
        <v/>
      </c>
      <c r="D365" s="4">
        <f>SUMIFS('01_異動主檔'!$F:$F,'01_異動主檔'!$B:$B,108,'01_異動主檔'!$D:$D,A365,'01_異動主檔'!$E:$E,"移入")</f>
        <v/>
      </c>
      <c r="E365" s="4">
        <f>-SUMIFS('01_異動主檔'!$F:$F,'01_異動主檔'!$B:$B,108,'01_異動主檔'!$D:$D,A365,'01_異動主檔'!$E:$E,"移出")</f>
        <v/>
      </c>
      <c r="F365" s="4">
        <f>SUMIFS('01_異動主檔'!$F:$F,'01_異動主檔'!$B:$B,108,'01_異動主檔'!$D:$D,A365,'01_異動主檔'!$E:$E,"新增")</f>
        <v/>
      </c>
      <c r="G365" s="4">
        <f>-SUMIFS('01_異動主檔'!$F:$F,'01_異動主檔'!$B:$B,108,'01_異動主檔'!$D:$D,A365,'01_異動主檔'!$E:$E,"減列")</f>
        <v/>
      </c>
      <c r="H365" s="4">
        <f>-SUMIFS('01_異動主檔'!$F:$F,'01_異動主檔'!$B:$B,108,'01_異動主檔'!$D:$D,A365,'01_異動主檔'!$E:$E,"精簡")</f>
        <v/>
      </c>
      <c r="I365" s="8">
        <f>C365+D365+E365+F365+G365+H365</f>
        <v/>
      </c>
    </row>
    <row r="366" ht="18" customHeight="1">
      <c r="A366" s="5" t="inlineStr">
        <is>
          <t>第六組</t>
        </is>
      </c>
      <c r="B366" s="6" t="n">
        <v>109</v>
      </c>
      <c r="C366" s="8">
        <f>I365</f>
        <v/>
      </c>
      <c r="D366" s="4">
        <f>SUMIFS('01_異動主檔'!$F:$F,'01_異動主檔'!$B:$B,109,'01_異動主檔'!$D:$D,A366,'01_異動主檔'!$E:$E,"移入")</f>
        <v/>
      </c>
      <c r="E366" s="4">
        <f>-SUMIFS('01_異動主檔'!$F:$F,'01_異動主檔'!$B:$B,109,'01_異動主檔'!$D:$D,A366,'01_異動主檔'!$E:$E,"移出")</f>
        <v/>
      </c>
      <c r="F366" s="4">
        <f>SUMIFS('01_異動主檔'!$F:$F,'01_異動主檔'!$B:$B,109,'01_異動主檔'!$D:$D,A366,'01_異動主檔'!$E:$E,"新增")</f>
        <v/>
      </c>
      <c r="G366" s="4">
        <f>-SUMIFS('01_異動主檔'!$F:$F,'01_異動主檔'!$B:$B,109,'01_異動主檔'!$D:$D,A366,'01_異動主檔'!$E:$E,"減列")</f>
        <v/>
      </c>
      <c r="H366" s="4">
        <f>-SUMIFS('01_異動主檔'!$F:$F,'01_異動主檔'!$B:$B,109,'01_異動主檔'!$D:$D,A366,'01_異動主檔'!$E:$E,"精簡")</f>
        <v/>
      </c>
      <c r="I366" s="8">
        <f>C366+D366+E366+F366+G366+H366</f>
        <v/>
      </c>
    </row>
    <row r="367" ht="18" customHeight="1">
      <c r="A367" s="3" t="inlineStr">
        <is>
          <t>第六組</t>
        </is>
      </c>
      <c r="B367" s="4" t="n">
        <v>110</v>
      </c>
      <c r="C367" s="8">
        <f>I366</f>
        <v/>
      </c>
      <c r="D367" s="4">
        <f>SUMIFS('01_異動主檔'!$F:$F,'01_異動主檔'!$B:$B,110,'01_異動主檔'!$D:$D,A367,'01_異動主檔'!$E:$E,"移入")</f>
        <v/>
      </c>
      <c r="E367" s="4">
        <f>-SUMIFS('01_異動主檔'!$F:$F,'01_異動主檔'!$B:$B,110,'01_異動主檔'!$D:$D,A367,'01_異動主檔'!$E:$E,"移出")</f>
        <v/>
      </c>
      <c r="F367" s="4">
        <f>SUMIFS('01_異動主檔'!$F:$F,'01_異動主檔'!$B:$B,110,'01_異動主檔'!$D:$D,A367,'01_異動主檔'!$E:$E,"新增")</f>
        <v/>
      </c>
      <c r="G367" s="4">
        <f>-SUMIFS('01_異動主檔'!$F:$F,'01_異動主檔'!$B:$B,110,'01_異動主檔'!$D:$D,A367,'01_異動主檔'!$E:$E,"減列")</f>
        <v/>
      </c>
      <c r="H367" s="4">
        <f>-SUMIFS('01_異動主檔'!$F:$F,'01_異動主檔'!$B:$B,110,'01_異動主檔'!$D:$D,A367,'01_異動主檔'!$E:$E,"精簡")</f>
        <v/>
      </c>
      <c r="I367" s="8">
        <f>C367+D367+E367+F367+G367+H367</f>
        <v/>
      </c>
    </row>
    <row r="368" ht="18" customHeight="1">
      <c r="A368" s="5" t="inlineStr">
        <is>
          <t>第六組</t>
        </is>
      </c>
      <c r="B368" s="6" t="n">
        <v>111</v>
      </c>
      <c r="C368" s="8">
        <f>I367</f>
        <v/>
      </c>
      <c r="D368" s="4">
        <f>SUMIFS('01_異動主檔'!$F:$F,'01_異動主檔'!$B:$B,111,'01_異動主檔'!$D:$D,A368,'01_異動主檔'!$E:$E,"移入")</f>
        <v/>
      </c>
      <c r="E368" s="4">
        <f>-SUMIFS('01_異動主檔'!$F:$F,'01_異動主檔'!$B:$B,111,'01_異動主檔'!$D:$D,A368,'01_異動主檔'!$E:$E,"移出")</f>
        <v/>
      </c>
      <c r="F368" s="4">
        <f>SUMIFS('01_異動主檔'!$F:$F,'01_異動主檔'!$B:$B,111,'01_異動主檔'!$D:$D,A368,'01_異動主檔'!$E:$E,"新增")</f>
        <v/>
      </c>
      <c r="G368" s="4">
        <f>-SUMIFS('01_異動主檔'!$F:$F,'01_異動主檔'!$B:$B,111,'01_異動主檔'!$D:$D,A368,'01_異動主檔'!$E:$E,"減列")</f>
        <v/>
      </c>
      <c r="H368" s="4">
        <f>-SUMIFS('01_異動主檔'!$F:$F,'01_異動主檔'!$B:$B,111,'01_異動主檔'!$D:$D,A368,'01_異動主檔'!$E:$E,"精簡")</f>
        <v/>
      </c>
      <c r="I368" s="8">
        <f>C368+D368+E368+F368+G368+H368</f>
        <v/>
      </c>
    </row>
    <row r="369" ht="18" customHeight="1">
      <c r="A369" s="3" t="inlineStr">
        <is>
          <t>第六組</t>
        </is>
      </c>
      <c r="B369" s="4" t="n">
        <v>112</v>
      </c>
      <c r="C369" s="8">
        <f>I368</f>
        <v/>
      </c>
      <c r="D369" s="4">
        <f>SUMIFS('01_異動主檔'!$F:$F,'01_異動主檔'!$B:$B,112,'01_異動主檔'!$D:$D,A369,'01_異動主檔'!$E:$E,"移入")</f>
        <v/>
      </c>
      <c r="E369" s="4">
        <f>-SUMIFS('01_異動主檔'!$F:$F,'01_異動主檔'!$B:$B,112,'01_異動主檔'!$D:$D,A369,'01_異動主檔'!$E:$E,"移出")</f>
        <v/>
      </c>
      <c r="F369" s="4">
        <f>SUMIFS('01_異動主檔'!$F:$F,'01_異動主檔'!$B:$B,112,'01_異動主檔'!$D:$D,A369,'01_異動主檔'!$E:$E,"新增")</f>
        <v/>
      </c>
      <c r="G369" s="4">
        <f>-SUMIFS('01_異動主檔'!$F:$F,'01_異動主檔'!$B:$B,112,'01_異動主檔'!$D:$D,A369,'01_異動主檔'!$E:$E,"減列")</f>
        <v/>
      </c>
      <c r="H369" s="4">
        <f>-SUMIFS('01_異動主檔'!$F:$F,'01_異動主檔'!$B:$B,112,'01_異動主檔'!$D:$D,A369,'01_異動主檔'!$E:$E,"精簡")</f>
        <v/>
      </c>
      <c r="I369" s="8">
        <f>C369+D369+E369+F369+G369+H369</f>
        <v/>
      </c>
    </row>
    <row r="370" ht="18" customHeight="1">
      <c r="A370" s="5" t="inlineStr">
        <is>
          <t>第六組</t>
        </is>
      </c>
      <c r="B370" s="6" t="n">
        <v>113</v>
      </c>
      <c r="C370" s="8">
        <f>I369</f>
        <v/>
      </c>
      <c r="D370" s="4">
        <f>SUMIFS('01_異動主檔'!$F:$F,'01_異動主檔'!$B:$B,113,'01_異動主檔'!$D:$D,A370,'01_異動主檔'!$E:$E,"移入")</f>
        <v/>
      </c>
      <c r="E370" s="4">
        <f>-SUMIFS('01_異動主檔'!$F:$F,'01_異動主檔'!$B:$B,113,'01_異動主檔'!$D:$D,A370,'01_異動主檔'!$E:$E,"移出")</f>
        <v/>
      </c>
      <c r="F370" s="4">
        <f>SUMIFS('01_異動主檔'!$F:$F,'01_異動主檔'!$B:$B,113,'01_異動主檔'!$D:$D,A370,'01_異動主檔'!$E:$E,"新增")</f>
        <v/>
      </c>
      <c r="G370" s="4">
        <f>-SUMIFS('01_異動主檔'!$F:$F,'01_異動主檔'!$B:$B,113,'01_異動主檔'!$D:$D,A370,'01_異動主檔'!$E:$E,"減列")</f>
        <v/>
      </c>
      <c r="H370" s="4">
        <f>-SUMIFS('01_異動主檔'!$F:$F,'01_異動主檔'!$B:$B,113,'01_異動主檔'!$D:$D,A370,'01_異動主檔'!$E:$E,"精簡")</f>
        <v/>
      </c>
      <c r="I370" s="8">
        <f>C370+D370+E370+F370+G370+H370</f>
        <v/>
      </c>
    </row>
    <row r="371" ht="18" customHeight="1">
      <c r="A371" s="3" t="inlineStr">
        <is>
          <t>第六組</t>
        </is>
      </c>
      <c r="B371" s="4" t="n">
        <v>114</v>
      </c>
      <c r="C371" s="8">
        <f>I370</f>
        <v/>
      </c>
      <c r="D371" s="4">
        <f>SUMIFS('01_異動主檔'!$F:$F,'01_異動主檔'!$B:$B,114,'01_異動主檔'!$D:$D,A371,'01_異動主檔'!$E:$E,"移入")</f>
        <v/>
      </c>
      <c r="E371" s="4">
        <f>-SUMIFS('01_異動主檔'!$F:$F,'01_異動主檔'!$B:$B,114,'01_異動主檔'!$D:$D,A371,'01_異動主檔'!$E:$E,"移出")</f>
        <v/>
      </c>
      <c r="F371" s="4">
        <f>SUMIFS('01_異動主檔'!$F:$F,'01_異動主檔'!$B:$B,114,'01_異動主檔'!$D:$D,A371,'01_異動主檔'!$E:$E,"新增")</f>
        <v/>
      </c>
      <c r="G371" s="4">
        <f>-SUMIFS('01_異動主檔'!$F:$F,'01_異動主檔'!$B:$B,114,'01_異動主檔'!$D:$D,A371,'01_異動主檔'!$E:$E,"減列")</f>
        <v/>
      </c>
      <c r="H371" s="4">
        <f>-SUMIFS('01_異動主檔'!$F:$F,'01_異動主檔'!$B:$B,114,'01_異動主檔'!$D:$D,A371,'01_異動主檔'!$E:$E,"精簡")</f>
        <v/>
      </c>
      <c r="I371" s="8">
        <f>C371+D371+E371+F371+G371+H371</f>
        <v/>
      </c>
    </row>
    <row r="372" ht="18" customHeight="1">
      <c r="A372" s="5" t="inlineStr">
        <is>
          <t>第六組</t>
        </is>
      </c>
      <c r="B372" s="6" t="n">
        <v>115</v>
      </c>
      <c r="C372" s="8">
        <f>I371</f>
        <v/>
      </c>
      <c r="D372" s="4">
        <f>SUMIFS('01_異動主檔'!$F:$F,'01_異動主檔'!$B:$B,115,'01_異動主檔'!$D:$D,A372,'01_異動主檔'!$E:$E,"移入")</f>
        <v/>
      </c>
      <c r="E372" s="4">
        <f>-SUMIFS('01_異動主檔'!$F:$F,'01_異動主檔'!$B:$B,115,'01_異動主檔'!$D:$D,A372,'01_異動主檔'!$E:$E,"移出")</f>
        <v/>
      </c>
      <c r="F372" s="4">
        <f>SUMIFS('01_異動主檔'!$F:$F,'01_異動主檔'!$B:$B,115,'01_異動主檔'!$D:$D,A372,'01_異動主檔'!$E:$E,"新增")</f>
        <v/>
      </c>
      <c r="G372" s="4">
        <f>-SUMIFS('01_異動主檔'!$F:$F,'01_異動主檔'!$B:$B,115,'01_異動主檔'!$D:$D,A372,'01_異動主檔'!$E:$E,"減列")</f>
        <v/>
      </c>
      <c r="H372" s="4">
        <f>-SUMIFS('01_異動主檔'!$F:$F,'01_異動主檔'!$B:$B,115,'01_異動主檔'!$D:$D,A372,'01_異動主檔'!$E:$E,"精簡")</f>
        <v/>
      </c>
      <c r="I372" s="8">
        <f>C372+D372+E372+F372+G372+H372</f>
        <v/>
      </c>
    </row>
    <row r="373" ht="18" customHeight="1">
      <c r="A373" s="3" t="inlineStr">
        <is>
          <t>第六組</t>
        </is>
      </c>
      <c r="B373" s="4" t="n">
        <v>116</v>
      </c>
      <c r="C373" s="8">
        <f>I372</f>
        <v/>
      </c>
      <c r="D373" s="4">
        <f>SUMIFS('01_異動主檔'!$F:$F,'01_異動主檔'!$B:$B,116,'01_異動主檔'!$D:$D,A373,'01_異動主檔'!$E:$E,"移入")</f>
        <v/>
      </c>
      <c r="E373" s="4">
        <f>-SUMIFS('01_異動主檔'!$F:$F,'01_異動主檔'!$B:$B,116,'01_異動主檔'!$D:$D,A373,'01_異動主檔'!$E:$E,"移出")</f>
        <v/>
      </c>
      <c r="F373" s="4">
        <f>SUMIFS('01_異動主檔'!$F:$F,'01_異動主檔'!$B:$B,116,'01_異動主檔'!$D:$D,A373,'01_異動主檔'!$E:$E,"新增")</f>
        <v/>
      </c>
      <c r="G373" s="4">
        <f>-SUMIFS('01_異動主檔'!$F:$F,'01_異動主檔'!$B:$B,116,'01_異動主檔'!$D:$D,A373,'01_異動主檔'!$E:$E,"減列")</f>
        <v/>
      </c>
      <c r="H373" s="4">
        <f>-SUMIFS('01_異動主檔'!$F:$F,'01_異動主檔'!$B:$B,116,'01_異動主檔'!$D:$D,A373,'01_異動主檔'!$E:$E,"精簡")</f>
        <v/>
      </c>
      <c r="I373" s="8">
        <f>C373+D373+E373+F373+G373+H373</f>
        <v/>
      </c>
    </row>
    <row r="374" ht="18" customHeight="1">
      <c r="A374" s="5" t="inlineStr">
        <is>
          <t>第六組</t>
        </is>
      </c>
      <c r="B374" s="6" t="n">
        <v>117</v>
      </c>
      <c r="C374" s="8">
        <f>I373</f>
        <v/>
      </c>
      <c r="D374" s="4">
        <f>SUMIFS('01_異動主檔'!$F:$F,'01_異動主檔'!$B:$B,117,'01_異動主檔'!$D:$D,A374,'01_異動主檔'!$E:$E,"移入")</f>
        <v/>
      </c>
      <c r="E374" s="4">
        <f>-SUMIFS('01_異動主檔'!$F:$F,'01_異動主檔'!$B:$B,117,'01_異動主檔'!$D:$D,A374,'01_異動主檔'!$E:$E,"移出")</f>
        <v/>
      </c>
      <c r="F374" s="4">
        <f>SUMIFS('01_異動主檔'!$F:$F,'01_異動主檔'!$B:$B,117,'01_異動主檔'!$D:$D,A374,'01_異動主檔'!$E:$E,"新增")</f>
        <v/>
      </c>
      <c r="G374" s="4">
        <f>-SUMIFS('01_異動主檔'!$F:$F,'01_異動主檔'!$B:$B,117,'01_異動主檔'!$D:$D,A374,'01_異動主檔'!$E:$E,"減列")</f>
        <v/>
      </c>
      <c r="H374" s="4">
        <f>-SUMIFS('01_異動主檔'!$F:$F,'01_異動主檔'!$B:$B,117,'01_異動主檔'!$D:$D,A374,'01_異動主檔'!$E:$E,"精簡")</f>
        <v/>
      </c>
      <c r="I374" s="8">
        <f>C374+D374+E374+F374+G374+H374</f>
        <v/>
      </c>
    </row>
    <row r="375" ht="18" customHeight="1">
      <c r="A375" s="3" t="inlineStr">
        <is>
          <t>第六組</t>
        </is>
      </c>
      <c r="B375" s="4" t="n">
        <v>118</v>
      </c>
      <c r="C375" s="8">
        <f>I374</f>
        <v/>
      </c>
      <c r="D375" s="4">
        <f>SUMIFS('01_異動主檔'!$F:$F,'01_異動主檔'!$B:$B,118,'01_異動主檔'!$D:$D,A375,'01_異動主檔'!$E:$E,"移入")</f>
        <v/>
      </c>
      <c r="E375" s="4">
        <f>-SUMIFS('01_異動主檔'!$F:$F,'01_異動主檔'!$B:$B,118,'01_異動主檔'!$D:$D,A375,'01_異動主檔'!$E:$E,"移出")</f>
        <v/>
      </c>
      <c r="F375" s="4">
        <f>SUMIFS('01_異動主檔'!$F:$F,'01_異動主檔'!$B:$B,118,'01_異動主檔'!$D:$D,A375,'01_異動主檔'!$E:$E,"新增")</f>
        <v/>
      </c>
      <c r="G375" s="4">
        <f>-SUMIFS('01_異動主檔'!$F:$F,'01_異動主檔'!$B:$B,118,'01_異動主檔'!$D:$D,A375,'01_異動主檔'!$E:$E,"減列")</f>
        <v/>
      </c>
      <c r="H375" s="4">
        <f>-SUMIFS('01_異動主檔'!$F:$F,'01_異動主檔'!$B:$B,118,'01_異動主檔'!$D:$D,A375,'01_異動主檔'!$E:$E,"精簡")</f>
        <v/>
      </c>
      <c r="I375" s="8">
        <f>C375+D375+E375+F375+G375+H375</f>
        <v/>
      </c>
    </row>
    <row r="376" ht="18" customHeight="1">
      <c r="A376" s="5" t="inlineStr">
        <is>
          <t>第六組</t>
        </is>
      </c>
      <c r="B376" s="6" t="n">
        <v>119</v>
      </c>
      <c r="C376" s="8">
        <f>I375</f>
        <v/>
      </c>
      <c r="D376" s="4">
        <f>SUMIFS('01_異動主檔'!$F:$F,'01_異動主檔'!$B:$B,119,'01_異動主檔'!$D:$D,A376,'01_異動主檔'!$E:$E,"移入")</f>
        <v/>
      </c>
      <c r="E376" s="4">
        <f>-SUMIFS('01_異動主檔'!$F:$F,'01_異動主檔'!$B:$B,119,'01_異動主檔'!$D:$D,A376,'01_異動主檔'!$E:$E,"移出")</f>
        <v/>
      </c>
      <c r="F376" s="4">
        <f>SUMIFS('01_異動主檔'!$F:$F,'01_異動主檔'!$B:$B,119,'01_異動主檔'!$D:$D,A376,'01_異動主檔'!$E:$E,"新增")</f>
        <v/>
      </c>
      <c r="G376" s="4">
        <f>-SUMIFS('01_異動主檔'!$F:$F,'01_異動主檔'!$B:$B,119,'01_異動主檔'!$D:$D,A376,'01_異動主檔'!$E:$E,"減列")</f>
        <v/>
      </c>
      <c r="H376" s="4">
        <f>-SUMIFS('01_異動主檔'!$F:$F,'01_異動主檔'!$B:$B,119,'01_異動主檔'!$D:$D,A376,'01_異動主檔'!$E:$E,"精簡")</f>
        <v/>
      </c>
      <c r="I376" s="8">
        <f>C376+D376+E376+F376+G376+H376</f>
        <v/>
      </c>
    </row>
    <row r="377" ht="18" customHeight="1">
      <c r="A377" s="3" t="inlineStr">
        <is>
          <t>第六組</t>
        </is>
      </c>
      <c r="B377" s="4" t="n">
        <v>120</v>
      </c>
      <c r="C377" s="8">
        <f>I376</f>
        <v/>
      </c>
      <c r="D377" s="4">
        <f>SUMIFS('01_異動主檔'!$F:$F,'01_異動主檔'!$B:$B,120,'01_異動主檔'!$D:$D,A377,'01_異動主檔'!$E:$E,"移入")</f>
        <v/>
      </c>
      <c r="E377" s="4">
        <f>-SUMIFS('01_異動主檔'!$F:$F,'01_異動主檔'!$B:$B,120,'01_異動主檔'!$D:$D,A377,'01_異動主檔'!$E:$E,"移出")</f>
        <v/>
      </c>
      <c r="F377" s="4">
        <f>SUMIFS('01_異動主檔'!$F:$F,'01_異動主檔'!$B:$B,120,'01_異動主檔'!$D:$D,A377,'01_異動主檔'!$E:$E,"新增")</f>
        <v/>
      </c>
      <c r="G377" s="4">
        <f>-SUMIFS('01_異動主檔'!$F:$F,'01_異動主檔'!$B:$B,120,'01_異動主檔'!$D:$D,A377,'01_異動主檔'!$E:$E,"減列")</f>
        <v/>
      </c>
      <c r="H377" s="4">
        <f>-SUMIFS('01_異動主檔'!$F:$F,'01_異動主檔'!$B:$B,120,'01_異動主檔'!$D:$D,A377,'01_異動主檔'!$E:$E,"精簡")</f>
        <v/>
      </c>
      <c r="I377" s="8">
        <f>C377+D377+E377+F377+G377+H377</f>
        <v/>
      </c>
    </row>
    <row r="378" ht="18" customHeight="1">
      <c r="A378" s="5" t="inlineStr">
        <is>
          <t>第六組</t>
        </is>
      </c>
      <c r="B378" s="6" t="n">
        <v>121</v>
      </c>
      <c r="C378" s="8">
        <f>I377</f>
        <v/>
      </c>
      <c r="D378" s="4">
        <f>SUMIFS('01_異動主檔'!$F:$F,'01_異動主檔'!$B:$B,121,'01_異動主檔'!$D:$D,A378,'01_異動主檔'!$E:$E,"移入")</f>
        <v/>
      </c>
      <c r="E378" s="4">
        <f>-SUMIFS('01_異動主檔'!$F:$F,'01_異動主檔'!$B:$B,121,'01_異動主檔'!$D:$D,A378,'01_異動主檔'!$E:$E,"移出")</f>
        <v/>
      </c>
      <c r="F378" s="4">
        <f>SUMIFS('01_異動主檔'!$F:$F,'01_異動主檔'!$B:$B,121,'01_異動主檔'!$D:$D,A378,'01_異動主檔'!$E:$E,"新增")</f>
        <v/>
      </c>
      <c r="G378" s="4">
        <f>-SUMIFS('01_異動主檔'!$F:$F,'01_異動主檔'!$B:$B,121,'01_異動主檔'!$D:$D,A378,'01_異動主檔'!$E:$E,"減列")</f>
        <v/>
      </c>
      <c r="H378" s="4">
        <f>-SUMIFS('01_異動主檔'!$F:$F,'01_異動主檔'!$B:$B,121,'01_異動主檔'!$D:$D,A378,'01_異動主檔'!$E:$E,"精簡")</f>
        <v/>
      </c>
      <c r="I378" s="8">
        <f>C378+D378+E378+F378+G378+H378</f>
        <v/>
      </c>
    </row>
    <row r="379" ht="18" customHeight="1">
      <c r="A379" s="3" t="inlineStr">
        <is>
          <t>第六組</t>
        </is>
      </c>
      <c r="B379" s="4" t="n">
        <v>122</v>
      </c>
      <c r="C379" s="8">
        <f>I378</f>
        <v/>
      </c>
      <c r="D379" s="4">
        <f>SUMIFS('01_異動主檔'!$F:$F,'01_異動主檔'!$B:$B,122,'01_異動主檔'!$D:$D,A379,'01_異動主檔'!$E:$E,"移入")</f>
        <v/>
      </c>
      <c r="E379" s="4">
        <f>-SUMIFS('01_異動主檔'!$F:$F,'01_異動主檔'!$B:$B,122,'01_異動主檔'!$D:$D,A379,'01_異動主檔'!$E:$E,"移出")</f>
        <v/>
      </c>
      <c r="F379" s="4">
        <f>SUMIFS('01_異動主檔'!$F:$F,'01_異動主檔'!$B:$B,122,'01_異動主檔'!$D:$D,A379,'01_異動主檔'!$E:$E,"新增")</f>
        <v/>
      </c>
      <c r="G379" s="4">
        <f>-SUMIFS('01_異動主檔'!$F:$F,'01_異動主檔'!$B:$B,122,'01_異動主檔'!$D:$D,A379,'01_異動主檔'!$E:$E,"減列")</f>
        <v/>
      </c>
      <c r="H379" s="4">
        <f>-SUMIFS('01_異動主檔'!$F:$F,'01_異動主檔'!$B:$B,122,'01_異動主檔'!$D:$D,A379,'01_異動主檔'!$E:$E,"精簡")</f>
        <v/>
      </c>
      <c r="I379" s="8">
        <f>C379+D379+E379+F379+G379+H379</f>
        <v/>
      </c>
    </row>
    <row r="380" ht="18" customHeight="1">
      <c r="A380" s="5" t="inlineStr">
        <is>
          <t>第六組</t>
        </is>
      </c>
      <c r="B380" s="6" t="n">
        <v>123</v>
      </c>
      <c r="C380" s="8">
        <f>I379</f>
        <v/>
      </c>
      <c r="D380" s="4">
        <f>SUMIFS('01_異動主檔'!$F:$F,'01_異動主檔'!$B:$B,123,'01_異動主檔'!$D:$D,A380,'01_異動主檔'!$E:$E,"移入")</f>
        <v/>
      </c>
      <c r="E380" s="4">
        <f>-SUMIFS('01_異動主檔'!$F:$F,'01_異動主檔'!$B:$B,123,'01_異動主檔'!$D:$D,A380,'01_異動主檔'!$E:$E,"移出")</f>
        <v/>
      </c>
      <c r="F380" s="4">
        <f>SUMIFS('01_異動主檔'!$F:$F,'01_異動主檔'!$B:$B,123,'01_異動主檔'!$D:$D,A380,'01_異動主檔'!$E:$E,"新增")</f>
        <v/>
      </c>
      <c r="G380" s="4">
        <f>-SUMIFS('01_異動主檔'!$F:$F,'01_異動主檔'!$B:$B,123,'01_異動主檔'!$D:$D,A380,'01_異動主檔'!$E:$E,"減列")</f>
        <v/>
      </c>
      <c r="H380" s="4">
        <f>-SUMIFS('01_異動主檔'!$F:$F,'01_異動主檔'!$B:$B,123,'01_異動主檔'!$D:$D,A380,'01_異動主檔'!$E:$E,"精簡")</f>
        <v/>
      </c>
      <c r="I380" s="8">
        <f>C380+D380+E380+F380+G380+H380</f>
        <v/>
      </c>
    </row>
    <row r="381" ht="18" customHeight="1">
      <c r="A381" s="3" t="inlineStr">
        <is>
          <t>第六組</t>
        </is>
      </c>
      <c r="B381" s="4" t="n">
        <v>124</v>
      </c>
      <c r="C381" s="8">
        <f>I380</f>
        <v/>
      </c>
      <c r="D381" s="4">
        <f>SUMIFS('01_異動主檔'!$F:$F,'01_異動主檔'!$B:$B,124,'01_異動主檔'!$D:$D,A381,'01_異動主檔'!$E:$E,"移入")</f>
        <v/>
      </c>
      <c r="E381" s="4">
        <f>-SUMIFS('01_異動主檔'!$F:$F,'01_異動主檔'!$B:$B,124,'01_異動主檔'!$D:$D,A381,'01_異動主檔'!$E:$E,"移出")</f>
        <v/>
      </c>
      <c r="F381" s="4">
        <f>SUMIFS('01_異動主檔'!$F:$F,'01_異動主檔'!$B:$B,124,'01_異動主檔'!$D:$D,A381,'01_異動主檔'!$E:$E,"新增")</f>
        <v/>
      </c>
      <c r="G381" s="4">
        <f>-SUMIFS('01_異動主檔'!$F:$F,'01_異動主檔'!$B:$B,124,'01_異動主檔'!$D:$D,A381,'01_異動主檔'!$E:$E,"減列")</f>
        <v/>
      </c>
      <c r="H381" s="4">
        <f>-SUMIFS('01_異動主檔'!$F:$F,'01_異動主檔'!$B:$B,124,'01_異動主檔'!$D:$D,A381,'01_異動主檔'!$E:$E,"精簡")</f>
        <v/>
      </c>
      <c r="I381" s="8">
        <f>C381+D381+E381+F381+G381+H381</f>
        <v/>
      </c>
    </row>
    <row r="382" ht="18" customHeight="1">
      <c r="A382" s="5" t="inlineStr">
        <is>
          <t>第六組</t>
        </is>
      </c>
      <c r="B382" s="6" t="n">
        <v>125</v>
      </c>
      <c r="C382" s="8">
        <f>I381</f>
        <v/>
      </c>
      <c r="D382" s="4">
        <f>SUMIFS('01_異動主檔'!$F:$F,'01_異動主檔'!$B:$B,125,'01_異動主檔'!$D:$D,A382,'01_異動主檔'!$E:$E,"移入")</f>
        <v/>
      </c>
      <c r="E382" s="4">
        <f>-SUMIFS('01_異動主檔'!$F:$F,'01_異動主檔'!$B:$B,125,'01_異動主檔'!$D:$D,A382,'01_異動主檔'!$E:$E,"移出")</f>
        <v/>
      </c>
      <c r="F382" s="4">
        <f>SUMIFS('01_異動主檔'!$F:$F,'01_異動主檔'!$B:$B,125,'01_異動主檔'!$D:$D,A382,'01_異動主檔'!$E:$E,"新增")</f>
        <v/>
      </c>
      <c r="G382" s="4">
        <f>-SUMIFS('01_異動主檔'!$F:$F,'01_異動主檔'!$B:$B,125,'01_異動主檔'!$D:$D,A382,'01_異動主檔'!$E:$E,"減列")</f>
        <v/>
      </c>
      <c r="H382" s="4">
        <f>-SUMIFS('01_異動主檔'!$F:$F,'01_異動主檔'!$B:$B,125,'01_異動主檔'!$D:$D,A382,'01_異動主檔'!$E:$E,"精簡")</f>
        <v/>
      </c>
      <c r="I382" s="8">
        <f>C382+D382+E382+F382+G382+H382</f>
        <v/>
      </c>
    </row>
    <row r="383" ht="18" customHeight="1">
      <c r="A383" s="3" t="inlineStr">
        <is>
          <t>第七組</t>
        </is>
      </c>
      <c r="B383" s="4" t="n">
        <v>99</v>
      </c>
      <c r="C383" s="8">
        <f>'02_年初員額設定'!B19</f>
        <v/>
      </c>
      <c r="D383" s="4">
        <f>SUMIFS('01_異動主檔'!$F:$F,'01_異動主檔'!$B:$B,99,'01_異動主檔'!$D:$D,A383,'01_異動主檔'!$E:$E,"移入")</f>
        <v/>
      </c>
      <c r="E383" s="4">
        <f>-SUMIFS('01_異動主檔'!$F:$F,'01_異動主檔'!$B:$B,99,'01_異動主檔'!$D:$D,A383,'01_異動主檔'!$E:$E,"移出")</f>
        <v/>
      </c>
      <c r="F383" s="4">
        <f>SUMIFS('01_異動主檔'!$F:$F,'01_異動主檔'!$B:$B,99,'01_異動主檔'!$D:$D,A383,'01_異動主檔'!$E:$E,"新增")</f>
        <v/>
      </c>
      <c r="G383" s="4">
        <f>-SUMIFS('01_異動主檔'!$F:$F,'01_異動主檔'!$B:$B,99,'01_異動主檔'!$D:$D,A383,'01_異動主檔'!$E:$E,"減列")</f>
        <v/>
      </c>
      <c r="H383" s="4">
        <f>-SUMIFS('01_異動主檔'!$F:$F,'01_異動主檔'!$B:$B,99,'01_異動主檔'!$D:$D,A383,'01_異動主檔'!$E:$E,"精簡")</f>
        <v/>
      </c>
      <c r="I383" s="8">
        <f>C383+D383+E383+F383+G383+H383</f>
        <v/>
      </c>
    </row>
    <row r="384" ht="18" customHeight="1">
      <c r="A384" s="5" t="inlineStr">
        <is>
          <t>第七組</t>
        </is>
      </c>
      <c r="B384" s="6" t="n">
        <v>100</v>
      </c>
      <c r="C384" s="8">
        <f>I383</f>
        <v/>
      </c>
      <c r="D384" s="4">
        <f>SUMIFS('01_異動主檔'!$F:$F,'01_異動主檔'!$B:$B,100,'01_異動主檔'!$D:$D,A384,'01_異動主檔'!$E:$E,"移入")</f>
        <v/>
      </c>
      <c r="E384" s="4">
        <f>-SUMIFS('01_異動主檔'!$F:$F,'01_異動主檔'!$B:$B,100,'01_異動主檔'!$D:$D,A384,'01_異動主檔'!$E:$E,"移出")</f>
        <v/>
      </c>
      <c r="F384" s="4">
        <f>SUMIFS('01_異動主檔'!$F:$F,'01_異動主檔'!$B:$B,100,'01_異動主檔'!$D:$D,A384,'01_異動主檔'!$E:$E,"新增")</f>
        <v/>
      </c>
      <c r="G384" s="4">
        <f>-SUMIFS('01_異動主檔'!$F:$F,'01_異動主檔'!$B:$B,100,'01_異動主檔'!$D:$D,A384,'01_異動主檔'!$E:$E,"減列")</f>
        <v/>
      </c>
      <c r="H384" s="4">
        <f>-SUMIFS('01_異動主檔'!$F:$F,'01_異動主檔'!$B:$B,100,'01_異動主檔'!$D:$D,A384,'01_異動主檔'!$E:$E,"精簡")</f>
        <v/>
      </c>
      <c r="I384" s="8">
        <f>C384+D384+E384+F384+G384+H384</f>
        <v/>
      </c>
    </row>
    <row r="385" ht="18" customHeight="1">
      <c r="A385" s="3" t="inlineStr">
        <is>
          <t>第七組</t>
        </is>
      </c>
      <c r="B385" s="4" t="n">
        <v>101</v>
      </c>
      <c r="C385" s="8">
        <f>I384</f>
        <v/>
      </c>
      <c r="D385" s="4">
        <f>SUMIFS('01_異動主檔'!$F:$F,'01_異動主檔'!$B:$B,101,'01_異動主檔'!$D:$D,A385,'01_異動主檔'!$E:$E,"移入")</f>
        <v/>
      </c>
      <c r="E385" s="4">
        <f>-SUMIFS('01_異動主檔'!$F:$F,'01_異動主檔'!$B:$B,101,'01_異動主檔'!$D:$D,A385,'01_異動主檔'!$E:$E,"移出")</f>
        <v/>
      </c>
      <c r="F385" s="4">
        <f>SUMIFS('01_異動主檔'!$F:$F,'01_異動主檔'!$B:$B,101,'01_異動主檔'!$D:$D,A385,'01_異動主檔'!$E:$E,"新增")</f>
        <v/>
      </c>
      <c r="G385" s="4">
        <f>-SUMIFS('01_異動主檔'!$F:$F,'01_異動主檔'!$B:$B,101,'01_異動主檔'!$D:$D,A385,'01_異動主檔'!$E:$E,"減列")</f>
        <v/>
      </c>
      <c r="H385" s="4">
        <f>-SUMIFS('01_異動主檔'!$F:$F,'01_異動主檔'!$B:$B,101,'01_異動主檔'!$D:$D,A385,'01_異動主檔'!$E:$E,"精簡")</f>
        <v/>
      </c>
      <c r="I385" s="8">
        <f>C385+D385+E385+F385+G385+H385</f>
        <v/>
      </c>
    </row>
    <row r="386" ht="18" customHeight="1">
      <c r="A386" s="5" t="inlineStr">
        <is>
          <t>第七組</t>
        </is>
      </c>
      <c r="B386" s="6" t="n">
        <v>102</v>
      </c>
      <c r="C386" s="8">
        <f>I385</f>
        <v/>
      </c>
      <c r="D386" s="4">
        <f>SUMIFS('01_異動主檔'!$F:$F,'01_異動主檔'!$B:$B,102,'01_異動主檔'!$D:$D,A386,'01_異動主檔'!$E:$E,"移入")</f>
        <v/>
      </c>
      <c r="E386" s="4">
        <f>-SUMIFS('01_異動主檔'!$F:$F,'01_異動主檔'!$B:$B,102,'01_異動主檔'!$D:$D,A386,'01_異動主檔'!$E:$E,"移出")</f>
        <v/>
      </c>
      <c r="F386" s="4">
        <f>SUMIFS('01_異動主檔'!$F:$F,'01_異動主檔'!$B:$B,102,'01_異動主檔'!$D:$D,A386,'01_異動主檔'!$E:$E,"新增")</f>
        <v/>
      </c>
      <c r="G386" s="4">
        <f>-SUMIFS('01_異動主檔'!$F:$F,'01_異動主檔'!$B:$B,102,'01_異動主檔'!$D:$D,A386,'01_異動主檔'!$E:$E,"減列")</f>
        <v/>
      </c>
      <c r="H386" s="4">
        <f>-SUMIFS('01_異動主檔'!$F:$F,'01_異動主檔'!$B:$B,102,'01_異動主檔'!$D:$D,A386,'01_異動主檔'!$E:$E,"精簡")</f>
        <v/>
      </c>
      <c r="I386" s="8">
        <f>C386+D386+E386+F386+G386+H386</f>
        <v/>
      </c>
    </row>
    <row r="387" ht="18" customHeight="1">
      <c r="A387" s="3" t="inlineStr">
        <is>
          <t>第七組</t>
        </is>
      </c>
      <c r="B387" s="4" t="n">
        <v>103</v>
      </c>
      <c r="C387" s="8">
        <f>I386</f>
        <v/>
      </c>
      <c r="D387" s="4">
        <f>SUMIFS('01_異動主檔'!$F:$F,'01_異動主檔'!$B:$B,103,'01_異動主檔'!$D:$D,A387,'01_異動主檔'!$E:$E,"移入")</f>
        <v/>
      </c>
      <c r="E387" s="4">
        <f>-SUMIFS('01_異動主檔'!$F:$F,'01_異動主檔'!$B:$B,103,'01_異動主檔'!$D:$D,A387,'01_異動主檔'!$E:$E,"移出")</f>
        <v/>
      </c>
      <c r="F387" s="4">
        <f>SUMIFS('01_異動主檔'!$F:$F,'01_異動主檔'!$B:$B,103,'01_異動主檔'!$D:$D,A387,'01_異動主檔'!$E:$E,"新增")</f>
        <v/>
      </c>
      <c r="G387" s="4">
        <f>-SUMIFS('01_異動主檔'!$F:$F,'01_異動主檔'!$B:$B,103,'01_異動主檔'!$D:$D,A387,'01_異動主檔'!$E:$E,"減列")</f>
        <v/>
      </c>
      <c r="H387" s="4">
        <f>-SUMIFS('01_異動主檔'!$F:$F,'01_異動主檔'!$B:$B,103,'01_異動主檔'!$D:$D,A387,'01_異動主檔'!$E:$E,"精簡")</f>
        <v/>
      </c>
      <c r="I387" s="8">
        <f>C387+D387+E387+F387+G387+H387</f>
        <v/>
      </c>
    </row>
    <row r="388" ht="18" customHeight="1">
      <c r="A388" s="5" t="inlineStr">
        <is>
          <t>第七組</t>
        </is>
      </c>
      <c r="B388" s="6" t="n">
        <v>104</v>
      </c>
      <c r="C388" s="8">
        <f>I387</f>
        <v/>
      </c>
      <c r="D388" s="4">
        <f>SUMIFS('01_異動主檔'!$F:$F,'01_異動主檔'!$B:$B,104,'01_異動主檔'!$D:$D,A388,'01_異動主檔'!$E:$E,"移入")</f>
        <v/>
      </c>
      <c r="E388" s="4">
        <f>-SUMIFS('01_異動主檔'!$F:$F,'01_異動主檔'!$B:$B,104,'01_異動主檔'!$D:$D,A388,'01_異動主檔'!$E:$E,"移出")</f>
        <v/>
      </c>
      <c r="F388" s="4">
        <f>SUMIFS('01_異動主檔'!$F:$F,'01_異動主檔'!$B:$B,104,'01_異動主檔'!$D:$D,A388,'01_異動主檔'!$E:$E,"新增")</f>
        <v/>
      </c>
      <c r="G388" s="4">
        <f>-SUMIFS('01_異動主檔'!$F:$F,'01_異動主檔'!$B:$B,104,'01_異動主檔'!$D:$D,A388,'01_異動主檔'!$E:$E,"減列")</f>
        <v/>
      </c>
      <c r="H388" s="4">
        <f>-SUMIFS('01_異動主檔'!$F:$F,'01_異動主檔'!$B:$B,104,'01_異動主檔'!$D:$D,A388,'01_異動主檔'!$E:$E,"精簡")</f>
        <v/>
      </c>
      <c r="I388" s="8">
        <f>C388+D388+E388+F388+G388+H388</f>
        <v/>
      </c>
    </row>
    <row r="389" ht="18" customHeight="1">
      <c r="A389" s="3" t="inlineStr">
        <is>
          <t>第七組</t>
        </is>
      </c>
      <c r="B389" s="4" t="n">
        <v>105</v>
      </c>
      <c r="C389" s="8">
        <f>I388</f>
        <v/>
      </c>
      <c r="D389" s="4">
        <f>SUMIFS('01_異動主檔'!$F:$F,'01_異動主檔'!$B:$B,105,'01_異動主檔'!$D:$D,A389,'01_異動主檔'!$E:$E,"移入")</f>
        <v/>
      </c>
      <c r="E389" s="4">
        <f>-SUMIFS('01_異動主檔'!$F:$F,'01_異動主檔'!$B:$B,105,'01_異動主檔'!$D:$D,A389,'01_異動主檔'!$E:$E,"移出")</f>
        <v/>
      </c>
      <c r="F389" s="4">
        <f>SUMIFS('01_異動主檔'!$F:$F,'01_異動主檔'!$B:$B,105,'01_異動主檔'!$D:$D,A389,'01_異動主檔'!$E:$E,"新增")</f>
        <v/>
      </c>
      <c r="G389" s="4">
        <f>-SUMIFS('01_異動主檔'!$F:$F,'01_異動主檔'!$B:$B,105,'01_異動主檔'!$D:$D,A389,'01_異動主檔'!$E:$E,"減列")</f>
        <v/>
      </c>
      <c r="H389" s="4">
        <f>-SUMIFS('01_異動主檔'!$F:$F,'01_異動主檔'!$B:$B,105,'01_異動主檔'!$D:$D,A389,'01_異動主檔'!$E:$E,"精簡")</f>
        <v/>
      </c>
      <c r="I389" s="8">
        <f>C389+D389+E389+F389+G389+H389</f>
        <v/>
      </c>
    </row>
    <row r="390" ht="18" customHeight="1">
      <c r="A390" s="5" t="inlineStr">
        <is>
          <t>第七組</t>
        </is>
      </c>
      <c r="B390" s="6" t="n">
        <v>106</v>
      </c>
      <c r="C390" s="8">
        <f>I389</f>
        <v/>
      </c>
      <c r="D390" s="4">
        <f>SUMIFS('01_異動主檔'!$F:$F,'01_異動主檔'!$B:$B,106,'01_異動主檔'!$D:$D,A390,'01_異動主檔'!$E:$E,"移入")</f>
        <v/>
      </c>
      <c r="E390" s="4">
        <f>-SUMIFS('01_異動主檔'!$F:$F,'01_異動主檔'!$B:$B,106,'01_異動主檔'!$D:$D,A390,'01_異動主檔'!$E:$E,"移出")</f>
        <v/>
      </c>
      <c r="F390" s="4">
        <f>SUMIFS('01_異動主檔'!$F:$F,'01_異動主檔'!$B:$B,106,'01_異動主檔'!$D:$D,A390,'01_異動主檔'!$E:$E,"新增")</f>
        <v/>
      </c>
      <c r="G390" s="4">
        <f>-SUMIFS('01_異動主檔'!$F:$F,'01_異動主檔'!$B:$B,106,'01_異動主檔'!$D:$D,A390,'01_異動主檔'!$E:$E,"減列")</f>
        <v/>
      </c>
      <c r="H390" s="4">
        <f>-SUMIFS('01_異動主檔'!$F:$F,'01_異動主檔'!$B:$B,106,'01_異動主檔'!$D:$D,A390,'01_異動主檔'!$E:$E,"精簡")</f>
        <v/>
      </c>
      <c r="I390" s="8">
        <f>C390+D390+E390+F390+G390+H390</f>
        <v/>
      </c>
    </row>
    <row r="391" ht="18" customHeight="1">
      <c r="A391" s="3" t="inlineStr">
        <is>
          <t>第七組</t>
        </is>
      </c>
      <c r="B391" s="4" t="n">
        <v>107</v>
      </c>
      <c r="C391" s="8">
        <f>I390</f>
        <v/>
      </c>
      <c r="D391" s="4">
        <f>SUMIFS('01_異動主檔'!$F:$F,'01_異動主檔'!$B:$B,107,'01_異動主檔'!$D:$D,A391,'01_異動主檔'!$E:$E,"移入")</f>
        <v/>
      </c>
      <c r="E391" s="4">
        <f>-SUMIFS('01_異動主檔'!$F:$F,'01_異動主檔'!$B:$B,107,'01_異動主檔'!$D:$D,A391,'01_異動主檔'!$E:$E,"移出")</f>
        <v/>
      </c>
      <c r="F391" s="4">
        <f>SUMIFS('01_異動主檔'!$F:$F,'01_異動主檔'!$B:$B,107,'01_異動主檔'!$D:$D,A391,'01_異動主檔'!$E:$E,"新增")</f>
        <v/>
      </c>
      <c r="G391" s="4">
        <f>-SUMIFS('01_異動主檔'!$F:$F,'01_異動主檔'!$B:$B,107,'01_異動主檔'!$D:$D,A391,'01_異動主檔'!$E:$E,"減列")</f>
        <v/>
      </c>
      <c r="H391" s="4">
        <f>-SUMIFS('01_異動主檔'!$F:$F,'01_異動主檔'!$B:$B,107,'01_異動主檔'!$D:$D,A391,'01_異動主檔'!$E:$E,"精簡")</f>
        <v/>
      </c>
      <c r="I391" s="8">
        <f>C391+D391+E391+F391+G391+H391</f>
        <v/>
      </c>
    </row>
    <row r="392" ht="18" customHeight="1">
      <c r="A392" s="5" t="inlineStr">
        <is>
          <t>第七組</t>
        </is>
      </c>
      <c r="B392" s="6" t="n">
        <v>108</v>
      </c>
      <c r="C392" s="8">
        <f>I391</f>
        <v/>
      </c>
      <c r="D392" s="4">
        <f>SUMIFS('01_異動主檔'!$F:$F,'01_異動主檔'!$B:$B,108,'01_異動主檔'!$D:$D,A392,'01_異動主檔'!$E:$E,"移入")</f>
        <v/>
      </c>
      <c r="E392" s="4">
        <f>-SUMIFS('01_異動主檔'!$F:$F,'01_異動主檔'!$B:$B,108,'01_異動主檔'!$D:$D,A392,'01_異動主檔'!$E:$E,"移出")</f>
        <v/>
      </c>
      <c r="F392" s="4">
        <f>SUMIFS('01_異動主檔'!$F:$F,'01_異動主檔'!$B:$B,108,'01_異動主檔'!$D:$D,A392,'01_異動主檔'!$E:$E,"新增")</f>
        <v/>
      </c>
      <c r="G392" s="4">
        <f>-SUMIFS('01_異動主檔'!$F:$F,'01_異動主檔'!$B:$B,108,'01_異動主檔'!$D:$D,A392,'01_異動主檔'!$E:$E,"減列")</f>
        <v/>
      </c>
      <c r="H392" s="4">
        <f>-SUMIFS('01_異動主檔'!$F:$F,'01_異動主檔'!$B:$B,108,'01_異動主檔'!$D:$D,A392,'01_異動主檔'!$E:$E,"精簡")</f>
        <v/>
      </c>
      <c r="I392" s="8">
        <f>C392+D392+E392+F392+G392+H392</f>
        <v/>
      </c>
    </row>
    <row r="393" ht="18" customHeight="1">
      <c r="A393" s="3" t="inlineStr">
        <is>
          <t>第七組</t>
        </is>
      </c>
      <c r="B393" s="4" t="n">
        <v>109</v>
      </c>
      <c r="C393" s="8">
        <f>I392</f>
        <v/>
      </c>
      <c r="D393" s="4">
        <f>SUMIFS('01_異動主檔'!$F:$F,'01_異動主檔'!$B:$B,109,'01_異動主檔'!$D:$D,A393,'01_異動主檔'!$E:$E,"移入")</f>
        <v/>
      </c>
      <c r="E393" s="4">
        <f>-SUMIFS('01_異動主檔'!$F:$F,'01_異動主檔'!$B:$B,109,'01_異動主檔'!$D:$D,A393,'01_異動主檔'!$E:$E,"移出")</f>
        <v/>
      </c>
      <c r="F393" s="4">
        <f>SUMIFS('01_異動主檔'!$F:$F,'01_異動主檔'!$B:$B,109,'01_異動主檔'!$D:$D,A393,'01_異動主檔'!$E:$E,"新增")</f>
        <v/>
      </c>
      <c r="G393" s="4">
        <f>-SUMIFS('01_異動主檔'!$F:$F,'01_異動主檔'!$B:$B,109,'01_異動主檔'!$D:$D,A393,'01_異動主檔'!$E:$E,"減列")</f>
        <v/>
      </c>
      <c r="H393" s="4">
        <f>-SUMIFS('01_異動主檔'!$F:$F,'01_異動主檔'!$B:$B,109,'01_異動主檔'!$D:$D,A393,'01_異動主檔'!$E:$E,"精簡")</f>
        <v/>
      </c>
      <c r="I393" s="8">
        <f>C393+D393+E393+F393+G393+H393</f>
        <v/>
      </c>
    </row>
    <row r="394" ht="18" customHeight="1">
      <c r="A394" s="5" t="inlineStr">
        <is>
          <t>第七組</t>
        </is>
      </c>
      <c r="B394" s="6" t="n">
        <v>110</v>
      </c>
      <c r="C394" s="8">
        <f>I393</f>
        <v/>
      </c>
      <c r="D394" s="4">
        <f>SUMIFS('01_異動主檔'!$F:$F,'01_異動主檔'!$B:$B,110,'01_異動主檔'!$D:$D,A394,'01_異動主檔'!$E:$E,"移入")</f>
        <v/>
      </c>
      <c r="E394" s="4">
        <f>-SUMIFS('01_異動主檔'!$F:$F,'01_異動主檔'!$B:$B,110,'01_異動主檔'!$D:$D,A394,'01_異動主檔'!$E:$E,"移出")</f>
        <v/>
      </c>
      <c r="F394" s="4">
        <f>SUMIFS('01_異動主檔'!$F:$F,'01_異動主檔'!$B:$B,110,'01_異動主檔'!$D:$D,A394,'01_異動主檔'!$E:$E,"新增")</f>
        <v/>
      </c>
      <c r="G394" s="4">
        <f>-SUMIFS('01_異動主檔'!$F:$F,'01_異動主檔'!$B:$B,110,'01_異動主檔'!$D:$D,A394,'01_異動主檔'!$E:$E,"減列")</f>
        <v/>
      </c>
      <c r="H394" s="4">
        <f>-SUMIFS('01_異動主檔'!$F:$F,'01_異動主檔'!$B:$B,110,'01_異動主檔'!$D:$D,A394,'01_異動主檔'!$E:$E,"精簡")</f>
        <v/>
      </c>
      <c r="I394" s="8">
        <f>C394+D394+E394+F394+G394+H394</f>
        <v/>
      </c>
    </row>
    <row r="395" ht="18" customHeight="1">
      <c r="A395" s="3" t="inlineStr">
        <is>
          <t>第七組</t>
        </is>
      </c>
      <c r="B395" s="4" t="n">
        <v>111</v>
      </c>
      <c r="C395" s="8">
        <f>I394</f>
        <v/>
      </c>
      <c r="D395" s="4">
        <f>SUMIFS('01_異動主檔'!$F:$F,'01_異動主檔'!$B:$B,111,'01_異動主檔'!$D:$D,A395,'01_異動主檔'!$E:$E,"移入")</f>
        <v/>
      </c>
      <c r="E395" s="4">
        <f>-SUMIFS('01_異動主檔'!$F:$F,'01_異動主檔'!$B:$B,111,'01_異動主檔'!$D:$D,A395,'01_異動主檔'!$E:$E,"移出")</f>
        <v/>
      </c>
      <c r="F395" s="4">
        <f>SUMIFS('01_異動主檔'!$F:$F,'01_異動主檔'!$B:$B,111,'01_異動主檔'!$D:$D,A395,'01_異動主檔'!$E:$E,"新增")</f>
        <v/>
      </c>
      <c r="G395" s="4">
        <f>-SUMIFS('01_異動主檔'!$F:$F,'01_異動主檔'!$B:$B,111,'01_異動主檔'!$D:$D,A395,'01_異動主檔'!$E:$E,"減列")</f>
        <v/>
      </c>
      <c r="H395" s="4">
        <f>-SUMIFS('01_異動主檔'!$F:$F,'01_異動主檔'!$B:$B,111,'01_異動主檔'!$D:$D,A395,'01_異動主檔'!$E:$E,"精簡")</f>
        <v/>
      </c>
      <c r="I395" s="8">
        <f>C395+D395+E395+F395+G395+H395</f>
        <v/>
      </c>
    </row>
    <row r="396" ht="18" customHeight="1">
      <c r="A396" s="5" t="inlineStr">
        <is>
          <t>第七組</t>
        </is>
      </c>
      <c r="B396" s="6" t="n">
        <v>112</v>
      </c>
      <c r="C396" s="8">
        <f>I395</f>
        <v/>
      </c>
      <c r="D396" s="4">
        <f>SUMIFS('01_異動主檔'!$F:$F,'01_異動主檔'!$B:$B,112,'01_異動主檔'!$D:$D,A396,'01_異動主檔'!$E:$E,"移入")</f>
        <v/>
      </c>
      <c r="E396" s="4">
        <f>-SUMIFS('01_異動主檔'!$F:$F,'01_異動主檔'!$B:$B,112,'01_異動主檔'!$D:$D,A396,'01_異動主檔'!$E:$E,"移出")</f>
        <v/>
      </c>
      <c r="F396" s="4">
        <f>SUMIFS('01_異動主檔'!$F:$F,'01_異動主檔'!$B:$B,112,'01_異動主檔'!$D:$D,A396,'01_異動主檔'!$E:$E,"新增")</f>
        <v/>
      </c>
      <c r="G396" s="4">
        <f>-SUMIFS('01_異動主檔'!$F:$F,'01_異動主檔'!$B:$B,112,'01_異動主檔'!$D:$D,A396,'01_異動主檔'!$E:$E,"減列")</f>
        <v/>
      </c>
      <c r="H396" s="4">
        <f>-SUMIFS('01_異動主檔'!$F:$F,'01_異動主檔'!$B:$B,112,'01_異動主檔'!$D:$D,A396,'01_異動主檔'!$E:$E,"精簡")</f>
        <v/>
      </c>
      <c r="I396" s="8">
        <f>C396+D396+E396+F396+G396+H396</f>
        <v/>
      </c>
    </row>
    <row r="397" ht="18" customHeight="1">
      <c r="A397" s="3" t="inlineStr">
        <is>
          <t>第七組</t>
        </is>
      </c>
      <c r="B397" s="4" t="n">
        <v>113</v>
      </c>
      <c r="C397" s="8">
        <f>I396</f>
        <v/>
      </c>
      <c r="D397" s="4">
        <f>SUMIFS('01_異動主檔'!$F:$F,'01_異動主檔'!$B:$B,113,'01_異動主檔'!$D:$D,A397,'01_異動主檔'!$E:$E,"移入")</f>
        <v/>
      </c>
      <c r="E397" s="4">
        <f>-SUMIFS('01_異動主檔'!$F:$F,'01_異動主檔'!$B:$B,113,'01_異動主檔'!$D:$D,A397,'01_異動主檔'!$E:$E,"移出")</f>
        <v/>
      </c>
      <c r="F397" s="4">
        <f>SUMIFS('01_異動主檔'!$F:$F,'01_異動主檔'!$B:$B,113,'01_異動主檔'!$D:$D,A397,'01_異動主檔'!$E:$E,"新增")</f>
        <v/>
      </c>
      <c r="G397" s="4">
        <f>-SUMIFS('01_異動主檔'!$F:$F,'01_異動主檔'!$B:$B,113,'01_異動主檔'!$D:$D,A397,'01_異動主檔'!$E:$E,"減列")</f>
        <v/>
      </c>
      <c r="H397" s="4">
        <f>-SUMIFS('01_異動主檔'!$F:$F,'01_異動主檔'!$B:$B,113,'01_異動主檔'!$D:$D,A397,'01_異動主檔'!$E:$E,"精簡")</f>
        <v/>
      </c>
      <c r="I397" s="8">
        <f>C397+D397+E397+F397+G397+H397</f>
        <v/>
      </c>
    </row>
    <row r="398" ht="18" customHeight="1">
      <c r="A398" s="5" t="inlineStr">
        <is>
          <t>第七組</t>
        </is>
      </c>
      <c r="B398" s="6" t="n">
        <v>114</v>
      </c>
      <c r="C398" s="8">
        <f>I397</f>
        <v/>
      </c>
      <c r="D398" s="4">
        <f>SUMIFS('01_異動主檔'!$F:$F,'01_異動主檔'!$B:$B,114,'01_異動主檔'!$D:$D,A398,'01_異動主檔'!$E:$E,"移入")</f>
        <v/>
      </c>
      <c r="E398" s="4">
        <f>-SUMIFS('01_異動主檔'!$F:$F,'01_異動主檔'!$B:$B,114,'01_異動主檔'!$D:$D,A398,'01_異動主檔'!$E:$E,"移出")</f>
        <v/>
      </c>
      <c r="F398" s="4">
        <f>SUMIFS('01_異動主檔'!$F:$F,'01_異動主檔'!$B:$B,114,'01_異動主檔'!$D:$D,A398,'01_異動主檔'!$E:$E,"新增")</f>
        <v/>
      </c>
      <c r="G398" s="4">
        <f>-SUMIFS('01_異動主檔'!$F:$F,'01_異動主檔'!$B:$B,114,'01_異動主檔'!$D:$D,A398,'01_異動主檔'!$E:$E,"減列")</f>
        <v/>
      </c>
      <c r="H398" s="4">
        <f>-SUMIFS('01_異動主檔'!$F:$F,'01_異動主檔'!$B:$B,114,'01_異動主檔'!$D:$D,A398,'01_異動主檔'!$E:$E,"精簡")</f>
        <v/>
      </c>
      <c r="I398" s="8">
        <f>C398+D398+E398+F398+G398+H398</f>
        <v/>
      </c>
    </row>
    <row r="399" ht="18" customHeight="1">
      <c r="A399" s="3" t="inlineStr">
        <is>
          <t>第七組</t>
        </is>
      </c>
      <c r="B399" s="4" t="n">
        <v>115</v>
      </c>
      <c r="C399" s="8">
        <f>I398</f>
        <v/>
      </c>
      <c r="D399" s="4">
        <f>SUMIFS('01_異動主檔'!$F:$F,'01_異動主檔'!$B:$B,115,'01_異動主檔'!$D:$D,A399,'01_異動主檔'!$E:$E,"移入")</f>
        <v/>
      </c>
      <c r="E399" s="4">
        <f>-SUMIFS('01_異動主檔'!$F:$F,'01_異動主檔'!$B:$B,115,'01_異動主檔'!$D:$D,A399,'01_異動主檔'!$E:$E,"移出")</f>
        <v/>
      </c>
      <c r="F399" s="4">
        <f>SUMIFS('01_異動主檔'!$F:$F,'01_異動主檔'!$B:$B,115,'01_異動主檔'!$D:$D,A399,'01_異動主檔'!$E:$E,"新增")</f>
        <v/>
      </c>
      <c r="G399" s="4">
        <f>-SUMIFS('01_異動主檔'!$F:$F,'01_異動主檔'!$B:$B,115,'01_異動主檔'!$D:$D,A399,'01_異動主檔'!$E:$E,"減列")</f>
        <v/>
      </c>
      <c r="H399" s="4">
        <f>-SUMIFS('01_異動主檔'!$F:$F,'01_異動主檔'!$B:$B,115,'01_異動主檔'!$D:$D,A399,'01_異動主檔'!$E:$E,"精簡")</f>
        <v/>
      </c>
      <c r="I399" s="8">
        <f>C399+D399+E399+F399+G399+H399</f>
        <v/>
      </c>
    </row>
    <row r="400" ht="18" customHeight="1">
      <c r="A400" s="5" t="inlineStr">
        <is>
          <t>第七組</t>
        </is>
      </c>
      <c r="B400" s="6" t="n">
        <v>116</v>
      </c>
      <c r="C400" s="8">
        <f>I399</f>
        <v/>
      </c>
      <c r="D400" s="4">
        <f>SUMIFS('01_異動主檔'!$F:$F,'01_異動主檔'!$B:$B,116,'01_異動主檔'!$D:$D,A400,'01_異動主檔'!$E:$E,"移入")</f>
        <v/>
      </c>
      <c r="E400" s="4">
        <f>-SUMIFS('01_異動主檔'!$F:$F,'01_異動主檔'!$B:$B,116,'01_異動主檔'!$D:$D,A400,'01_異動主檔'!$E:$E,"移出")</f>
        <v/>
      </c>
      <c r="F400" s="4">
        <f>SUMIFS('01_異動主檔'!$F:$F,'01_異動主檔'!$B:$B,116,'01_異動主檔'!$D:$D,A400,'01_異動主檔'!$E:$E,"新增")</f>
        <v/>
      </c>
      <c r="G400" s="4">
        <f>-SUMIFS('01_異動主檔'!$F:$F,'01_異動主檔'!$B:$B,116,'01_異動主檔'!$D:$D,A400,'01_異動主檔'!$E:$E,"減列")</f>
        <v/>
      </c>
      <c r="H400" s="4">
        <f>-SUMIFS('01_異動主檔'!$F:$F,'01_異動主檔'!$B:$B,116,'01_異動主檔'!$D:$D,A400,'01_異動主檔'!$E:$E,"精簡")</f>
        <v/>
      </c>
      <c r="I400" s="8">
        <f>C400+D400+E400+F400+G400+H400</f>
        <v/>
      </c>
    </row>
    <row r="401" ht="18" customHeight="1">
      <c r="A401" s="3" t="inlineStr">
        <is>
          <t>第七組</t>
        </is>
      </c>
      <c r="B401" s="4" t="n">
        <v>117</v>
      </c>
      <c r="C401" s="8">
        <f>I400</f>
        <v/>
      </c>
      <c r="D401" s="4">
        <f>SUMIFS('01_異動主檔'!$F:$F,'01_異動主檔'!$B:$B,117,'01_異動主檔'!$D:$D,A401,'01_異動主檔'!$E:$E,"移入")</f>
        <v/>
      </c>
      <c r="E401" s="4">
        <f>-SUMIFS('01_異動主檔'!$F:$F,'01_異動主檔'!$B:$B,117,'01_異動主檔'!$D:$D,A401,'01_異動主檔'!$E:$E,"移出")</f>
        <v/>
      </c>
      <c r="F401" s="4">
        <f>SUMIFS('01_異動主檔'!$F:$F,'01_異動主檔'!$B:$B,117,'01_異動主檔'!$D:$D,A401,'01_異動主檔'!$E:$E,"新增")</f>
        <v/>
      </c>
      <c r="G401" s="4">
        <f>-SUMIFS('01_異動主檔'!$F:$F,'01_異動主檔'!$B:$B,117,'01_異動主檔'!$D:$D,A401,'01_異動主檔'!$E:$E,"減列")</f>
        <v/>
      </c>
      <c r="H401" s="4">
        <f>-SUMIFS('01_異動主檔'!$F:$F,'01_異動主檔'!$B:$B,117,'01_異動主檔'!$D:$D,A401,'01_異動主檔'!$E:$E,"精簡")</f>
        <v/>
      </c>
      <c r="I401" s="8">
        <f>C401+D401+E401+F401+G401+H401</f>
        <v/>
      </c>
    </row>
    <row r="402" ht="18" customHeight="1">
      <c r="A402" s="5" t="inlineStr">
        <is>
          <t>第七組</t>
        </is>
      </c>
      <c r="B402" s="6" t="n">
        <v>118</v>
      </c>
      <c r="C402" s="8">
        <f>I401</f>
        <v/>
      </c>
      <c r="D402" s="4">
        <f>SUMIFS('01_異動主檔'!$F:$F,'01_異動主檔'!$B:$B,118,'01_異動主檔'!$D:$D,A402,'01_異動主檔'!$E:$E,"移入")</f>
        <v/>
      </c>
      <c r="E402" s="4">
        <f>-SUMIFS('01_異動主檔'!$F:$F,'01_異動主檔'!$B:$B,118,'01_異動主檔'!$D:$D,A402,'01_異動主檔'!$E:$E,"移出")</f>
        <v/>
      </c>
      <c r="F402" s="4">
        <f>SUMIFS('01_異動主檔'!$F:$F,'01_異動主檔'!$B:$B,118,'01_異動主檔'!$D:$D,A402,'01_異動主檔'!$E:$E,"新增")</f>
        <v/>
      </c>
      <c r="G402" s="4">
        <f>-SUMIFS('01_異動主檔'!$F:$F,'01_異動主檔'!$B:$B,118,'01_異動主檔'!$D:$D,A402,'01_異動主檔'!$E:$E,"減列")</f>
        <v/>
      </c>
      <c r="H402" s="4">
        <f>-SUMIFS('01_異動主檔'!$F:$F,'01_異動主檔'!$B:$B,118,'01_異動主檔'!$D:$D,A402,'01_異動主檔'!$E:$E,"精簡")</f>
        <v/>
      </c>
      <c r="I402" s="8">
        <f>C402+D402+E402+F402+G402+H402</f>
        <v/>
      </c>
    </row>
    <row r="403" ht="18" customHeight="1">
      <c r="A403" s="3" t="inlineStr">
        <is>
          <t>第七組</t>
        </is>
      </c>
      <c r="B403" s="4" t="n">
        <v>119</v>
      </c>
      <c r="C403" s="8">
        <f>I402</f>
        <v/>
      </c>
      <c r="D403" s="4">
        <f>SUMIFS('01_異動主檔'!$F:$F,'01_異動主檔'!$B:$B,119,'01_異動主檔'!$D:$D,A403,'01_異動主檔'!$E:$E,"移入")</f>
        <v/>
      </c>
      <c r="E403" s="4">
        <f>-SUMIFS('01_異動主檔'!$F:$F,'01_異動主檔'!$B:$B,119,'01_異動主檔'!$D:$D,A403,'01_異動主檔'!$E:$E,"移出")</f>
        <v/>
      </c>
      <c r="F403" s="4">
        <f>SUMIFS('01_異動主檔'!$F:$F,'01_異動主檔'!$B:$B,119,'01_異動主檔'!$D:$D,A403,'01_異動主檔'!$E:$E,"新增")</f>
        <v/>
      </c>
      <c r="G403" s="4">
        <f>-SUMIFS('01_異動主檔'!$F:$F,'01_異動主檔'!$B:$B,119,'01_異動主檔'!$D:$D,A403,'01_異動主檔'!$E:$E,"減列")</f>
        <v/>
      </c>
      <c r="H403" s="4">
        <f>-SUMIFS('01_異動主檔'!$F:$F,'01_異動主檔'!$B:$B,119,'01_異動主檔'!$D:$D,A403,'01_異動主檔'!$E:$E,"精簡")</f>
        <v/>
      </c>
      <c r="I403" s="8">
        <f>C403+D403+E403+F403+G403+H403</f>
        <v/>
      </c>
    </row>
    <row r="404" ht="18" customHeight="1">
      <c r="A404" s="5" t="inlineStr">
        <is>
          <t>第七組</t>
        </is>
      </c>
      <c r="B404" s="6" t="n">
        <v>120</v>
      </c>
      <c r="C404" s="8">
        <f>I403</f>
        <v/>
      </c>
      <c r="D404" s="4">
        <f>SUMIFS('01_異動主檔'!$F:$F,'01_異動主檔'!$B:$B,120,'01_異動主檔'!$D:$D,A404,'01_異動主檔'!$E:$E,"移入")</f>
        <v/>
      </c>
      <c r="E404" s="4">
        <f>-SUMIFS('01_異動主檔'!$F:$F,'01_異動主檔'!$B:$B,120,'01_異動主檔'!$D:$D,A404,'01_異動主檔'!$E:$E,"移出")</f>
        <v/>
      </c>
      <c r="F404" s="4">
        <f>SUMIFS('01_異動主檔'!$F:$F,'01_異動主檔'!$B:$B,120,'01_異動主檔'!$D:$D,A404,'01_異動主檔'!$E:$E,"新增")</f>
        <v/>
      </c>
      <c r="G404" s="4">
        <f>-SUMIFS('01_異動主檔'!$F:$F,'01_異動主檔'!$B:$B,120,'01_異動主檔'!$D:$D,A404,'01_異動主檔'!$E:$E,"減列")</f>
        <v/>
      </c>
      <c r="H404" s="4">
        <f>-SUMIFS('01_異動主檔'!$F:$F,'01_異動主檔'!$B:$B,120,'01_異動主檔'!$D:$D,A404,'01_異動主檔'!$E:$E,"精簡")</f>
        <v/>
      </c>
      <c r="I404" s="8">
        <f>C404+D404+E404+F404+G404+H404</f>
        <v/>
      </c>
    </row>
    <row r="405" ht="18" customHeight="1">
      <c r="A405" s="3" t="inlineStr">
        <is>
          <t>第七組</t>
        </is>
      </c>
      <c r="B405" s="4" t="n">
        <v>121</v>
      </c>
      <c r="C405" s="8">
        <f>I404</f>
        <v/>
      </c>
      <c r="D405" s="4">
        <f>SUMIFS('01_異動主檔'!$F:$F,'01_異動主檔'!$B:$B,121,'01_異動主檔'!$D:$D,A405,'01_異動主檔'!$E:$E,"移入")</f>
        <v/>
      </c>
      <c r="E405" s="4">
        <f>-SUMIFS('01_異動主檔'!$F:$F,'01_異動主檔'!$B:$B,121,'01_異動主檔'!$D:$D,A405,'01_異動主檔'!$E:$E,"移出")</f>
        <v/>
      </c>
      <c r="F405" s="4">
        <f>SUMIFS('01_異動主檔'!$F:$F,'01_異動主檔'!$B:$B,121,'01_異動主檔'!$D:$D,A405,'01_異動主檔'!$E:$E,"新增")</f>
        <v/>
      </c>
      <c r="G405" s="4">
        <f>-SUMIFS('01_異動主檔'!$F:$F,'01_異動主檔'!$B:$B,121,'01_異動主檔'!$D:$D,A405,'01_異動主檔'!$E:$E,"減列")</f>
        <v/>
      </c>
      <c r="H405" s="4">
        <f>-SUMIFS('01_異動主檔'!$F:$F,'01_異動主檔'!$B:$B,121,'01_異動主檔'!$D:$D,A405,'01_異動主檔'!$E:$E,"精簡")</f>
        <v/>
      </c>
      <c r="I405" s="8">
        <f>C405+D405+E405+F405+G405+H405</f>
        <v/>
      </c>
    </row>
    <row r="406" ht="18" customHeight="1">
      <c r="A406" s="5" t="inlineStr">
        <is>
          <t>第七組</t>
        </is>
      </c>
      <c r="B406" s="6" t="n">
        <v>122</v>
      </c>
      <c r="C406" s="8">
        <f>I405</f>
        <v/>
      </c>
      <c r="D406" s="4">
        <f>SUMIFS('01_異動主檔'!$F:$F,'01_異動主檔'!$B:$B,122,'01_異動主檔'!$D:$D,A406,'01_異動主檔'!$E:$E,"移入")</f>
        <v/>
      </c>
      <c r="E406" s="4">
        <f>-SUMIFS('01_異動主檔'!$F:$F,'01_異動主檔'!$B:$B,122,'01_異動主檔'!$D:$D,A406,'01_異動主檔'!$E:$E,"移出")</f>
        <v/>
      </c>
      <c r="F406" s="4">
        <f>SUMIFS('01_異動主檔'!$F:$F,'01_異動主檔'!$B:$B,122,'01_異動主檔'!$D:$D,A406,'01_異動主檔'!$E:$E,"新增")</f>
        <v/>
      </c>
      <c r="G406" s="4">
        <f>-SUMIFS('01_異動主檔'!$F:$F,'01_異動主檔'!$B:$B,122,'01_異動主檔'!$D:$D,A406,'01_異動主檔'!$E:$E,"減列")</f>
        <v/>
      </c>
      <c r="H406" s="4">
        <f>-SUMIFS('01_異動主檔'!$F:$F,'01_異動主檔'!$B:$B,122,'01_異動主檔'!$D:$D,A406,'01_異動主檔'!$E:$E,"精簡")</f>
        <v/>
      </c>
      <c r="I406" s="8">
        <f>C406+D406+E406+F406+G406+H406</f>
        <v/>
      </c>
    </row>
    <row r="407" ht="18" customHeight="1">
      <c r="A407" s="3" t="inlineStr">
        <is>
          <t>第七組</t>
        </is>
      </c>
      <c r="B407" s="4" t="n">
        <v>123</v>
      </c>
      <c r="C407" s="8">
        <f>I406</f>
        <v/>
      </c>
      <c r="D407" s="4">
        <f>SUMIFS('01_異動主檔'!$F:$F,'01_異動主檔'!$B:$B,123,'01_異動主檔'!$D:$D,A407,'01_異動主檔'!$E:$E,"移入")</f>
        <v/>
      </c>
      <c r="E407" s="4">
        <f>-SUMIFS('01_異動主檔'!$F:$F,'01_異動主檔'!$B:$B,123,'01_異動主檔'!$D:$D,A407,'01_異動主檔'!$E:$E,"移出")</f>
        <v/>
      </c>
      <c r="F407" s="4">
        <f>SUMIFS('01_異動主檔'!$F:$F,'01_異動主檔'!$B:$B,123,'01_異動主檔'!$D:$D,A407,'01_異動主檔'!$E:$E,"新增")</f>
        <v/>
      </c>
      <c r="G407" s="4">
        <f>-SUMIFS('01_異動主檔'!$F:$F,'01_異動主檔'!$B:$B,123,'01_異動主檔'!$D:$D,A407,'01_異動主檔'!$E:$E,"減列")</f>
        <v/>
      </c>
      <c r="H407" s="4">
        <f>-SUMIFS('01_異動主檔'!$F:$F,'01_異動主檔'!$B:$B,123,'01_異動主檔'!$D:$D,A407,'01_異動主檔'!$E:$E,"精簡")</f>
        <v/>
      </c>
      <c r="I407" s="8">
        <f>C407+D407+E407+F407+G407+H407</f>
        <v/>
      </c>
    </row>
    <row r="408" ht="18" customHeight="1">
      <c r="A408" s="5" t="inlineStr">
        <is>
          <t>第七組</t>
        </is>
      </c>
      <c r="B408" s="6" t="n">
        <v>124</v>
      </c>
      <c r="C408" s="8">
        <f>I407</f>
        <v/>
      </c>
      <c r="D408" s="4">
        <f>SUMIFS('01_異動主檔'!$F:$F,'01_異動主檔'!$B:$B,124,'01_異動主檔'!$D:$D,A408,'01_異動主檔'!$E:$E,"移入")</f>
        <v/>
      </c>
      <c r="E408" s="4">
        <f>-SUMIFS('01_異動主檔'!$F:$F,'01_異動主檔'!$B:$B,124,'01_異動主檔'!$D:$D,A408,'01_異動主檔'!$E:$E,"移出")</f>
        <v/>
      </c>
      <c r="F408" s="4">
        <f>SUMIFS('01_異動主檔'!$F:$F,'01_異動主檔'!$B:$B,124,'01_異動主檔'!$D:$D,A408,'01_異動主檔'!$E:$E,"新增")</f>
        <v/>
      </c>
      <c r="G408" s="4">
        <f>-SUMIFS('01_異動主檔'!$F:$F,'01_異動主檔'!$B:$B,124,'01_異動主檔'!$D:$D,A408,'01_異動主檔'!$E:$E,"減列")</f>
        <v/>
      </c>
      <c r="H408" s="4">
        <f>-SUMIFS('01_異動主檔'!$F:$F,'01_異動主檔'!$B:$B,124,'01_異動主檔'!$D:$D,A408,'01_異動主檔'!$E:$E,"精簡")</f>
        <v/>
      </c>
      <c r="I408" s="8">
        <f>C408+D408+E408+F408+G408+H408</f>
        <v/>
      </c>
    </row>
    <row r="409" ht="18" customHeight="1">
      <c r="A409" s="3" t="inlineStr">
        <is>
          <t>第七組</t>
        </is>
      </c>
      <c r="B409" s="4" t="n">
        <v>125</v>
      </c>
      <c r="C409" s="8">
        <f>I408</f>
        <v/>
      </c>
      <c r="D409" s="4">
        <f>SUMIFS('01_異動主檔'!$F:$F,'01_異動主檔'!$B:$B,125,'01_異動主檔'!$D:$D,A409,'01_異動主檔'!$E:$E,"移入")</f>
        <v/>
      </c>
      <c r="E409" s="4">
        <f>-SUMIFS('01_異動主檔'!$F:$F,'01_異動主檔'!$B:$B,125,'01_異動主檔'!$D:$D,A409,'01_異動主檔'!$E:$E,"移出")</f>
        <v/>
      </c>
      <c r="F409" s="4">
        <f>SUMIFS('01_異動主檔'!$F:$F,'01_異動主檔'!$B:$B,125,'01_異動主檔'!$D:$D,A409,'01_異動主檔'!$E:$E,"新增")</f>
        <v/>
      </c>
      <c r="G409" s="4">
        <f>-SUMIFS('01_異動主檔'!$F:$F,'01_異動主檔'!$B:$B,125,'01_異動主檔'!$D:$D,A409,'01_異動主檔'!$E:$E,"減列")</f>
        <v/>
      </c>
      <c r="H409" s="4">
        <f>-SUMIFS('01_異動主檔'!$F:$F,'01_異動主檔'!$B:$B,125,'01_異動主檔'!$D:$D,A409,'01_異動主檔'!$E:$E,"精簡")</f>
        <v/>
      </c>
      <c r="I409" s="8">
        <f>C409+D409+E409+F409+G409+H409</f>
        <v/>
      </c>
    </row>
    <row r="410" ht="18" customHeight="1">
      <c r="A410" s="5" t="inlineStr">
        <is>
          <t>第八組</t>
        </is>
      </c>
      <c r="B410" s="6" t="n">
        <v>99</v>
      </c>
      <c r="C410" s="8">
        <f>'02_年初員額設定'!B20</f>
        <v/>
      </c>
      <c r="D410" s="4">
        <f>SUMIFS('01_異動主檔'!$F:$F,'01_異動主檔'!$B:$B,99,'01_異動主檔'!$D:$D,A410,'01_異動主檔'!$E:$E,"移入")</f>
        <v/>
      </c>
      <c r="E410" s="4">
        <f>-SUMIFS('01_異動主檔'!$F:$F,'01_異動主檔'!$B:$B,99,'01_異動主檔'!$D:$D,A410,'01_異動主檔'!$E:$E,"移出")</f>
        <v/>
      </c>
      <c r="F410" s="4">
        <f>SUMIFS('01_異動主檔'!$F:$F,'01_異動主檔'!$B:$B,99,'01_異動主檔'!$D:$D,A410,'01_異動主檔'!$E:$E,"新增")</f>
        <v/>
      </c>
      <c r="G410" s="4">
        <f>-SUMIFS('01_異動主檔'!$F:$F,'01_異動主檔'!$B:$B,99,'01_異動主檔'!$D:$D,A410,'01_異動主檔'!$E:$E,"減列")</f>
        <v/>
      </c>
      <c r="H410" s="4">
        <f>-SUMIFS('01_異動主檔'!$F:$F,'01_異動主檔'!$B:$B,99,'01_異動主檔'!$D:$D,A410,'01_異動主檔'!$E:$E,"精簡")</f>
        <v/>
      </c>
      <c r="I410" s="8">
        <f>C410+D410+E410+F410+G410+H410</f>
        <v/>
      </c>
    </row>
    <row r="411" ht="18" customHeight="1">
      <c r="A411" s="3" t="inlineStr">
        <is>
          <t>第八組</t>
        </is>
      </c>
      <c r="B411" s="4" t="n">
        <v>100</v>
      </c>
      <c r="C411" s="8">
        <f>I410</f>
        <v/>
      </c>
      <c r="D411" s="4">
        <f>SUMIFS('01_異動主檔'!$F:$F,'01_異動主檔'!$B:$B,100,'01_異動主檔'!$D:$D,A411,'01_異動主檔'!$E:$E,"移入")</f>
        <v/>
      </c>
      <c r="E411" s="4">
        <f>-SUMIFS('01_異動主檔'!$F:$F,'01_異動主檔'!$B:$B,100,'01_異動主檔'!$D:$D,A411,'01_異動主檔'!$E:$E,"移出")</f>
        <v/>
      </c>
      <c r="F411" s="4">
        <f>SUMIFS('01_異動主檔'!$F:$F,'01_異動主檔'!$B:$B,100,'01_異動主檔'!$D:$D,A411,'01_異動主檔'!$E:$E,"新增")</f>
        <v/>
      </c>
      <c r="G411" s="4">
        <f>-SUMIFS('01_異動主檔'!$F:$F,'01_異動主檔'!$B:$B,100,'01_異動主檔'!$D:$D,A411,'01_異動主檔'!$E:$E,"減列")</f>
        <v/>
      </c>
      <c r="H411" s="4">
        <f>-SUMIFS('01_異動主檔'!$F:$F,'01_異動主檔'!$B:$B,100,'01_異動主檔'!$D:$D,A411,'01_異動主檔'!$E:$E,"精簡")</f>
        <v/>
      </c>
      <c r="I411" s="8">
        <f>C411+D411+E411+F411+G411+H411</f>
        <v/>
      </c>
    </row>
    <row r="412" ht="18" customHeight="1">
      <c r="A412" s="5" t="inlineStr">
        <is>
          <t>第八組</t>
        </is>
      </c>
      <c r="B412" s="6" t="n">
        <v>101</v>
      </c>
      <c r="C412" s="8">
        <f>I411</f>
        <v/>
      </c>
      <c r="D412" s="4">
        <f>SUMIFS('01_異動主檔'!$F:$F,'01_異動主檔'!$B:$B,101,'01_異動主檔'!$D:$D,A412,'01_異動主檔'!$E:$E,"移入")</f>
        <v/>
      </c>
      <c r="E412" s="4">
        <f>-SUMIFS('01_異動主檔'!$F:$F,'01_異動主檔'!$B:$B,101,'01_異動主檔'!$D:$D,A412,'01_異動主檔'!$E:$E,"移出")</f>
        <v/>
      </c>
      <c r="F412" s="4">
        <f>SUMIFS('01_異動主檔'!$F:$F,'01_異動主檔'!$B:$B,101,'01_異動主檔'!$D:$D,A412,'01_異動主檔'!$E:$E,"新增")</f>
        <v/>
      </c>
      <c r="G412" s="4">
        <f>-SUMIFS('01_異動主檔'!$F:$F,'01_異動主檔'!$B:$B,101,'01_異動主檔'!$D:$D,A412,'01_異動主檔'!$E:$E,"減列")</f>
        <v/>
      </c>
      <c r="H412" s="4">
        <f>-SUMIFS('01_異動主檔'!$F:$F,'01_異動主檔'!$B:$B,101,'01_異動主檔'!$D:$D,A412,'01_異動主檔'!$E:$E,"精簡")</f>
        <v/>
      </c>
      <c r="I412" s="8">
        <f>C412+D412+E412+F412+G412+H412</f>
        <v/>
      </c>
    </row>
    <row r="413" ht="18" customHeight="1">
      <c r="A413" s="3" t="inlineStr">
        <is>
          <t>第八組</t>
        </is>
      </c>
      <c r="B413" s="4" t="n">
        <v>102</v>
      </c>
      <c r="C413" s="8">
        <f>I412</f>
        <v/>
      </c>
      <c r="D413" s="4">
        <f>SUMIFS('01_異動主檔'!$F:$F,'01_異動主檔'!$B:$B,102,'01_異動主檔'!$D:$D,A413,'01_異動主檔'!$E:$E,"移入")</f>
        <v/>
      </c>
      <c r="E413" s="4">
        <f>-SUMIFS('01_異動主檔'!$F:$F,'01_異動主檔'!$B:$B,102,'01_異動主檔'!$D:$D,A413,'01_異動主檔'!$E:$E,"移出")</f>
        <v/>
      </c>
      <c r="F413" s="4">
        <f>SUMIFS('01_異動主檔'!$F:$F,'01_異動主檔'!$B:$B,102,'01_異動主檔'!$D:$D,A413,'01_異動主檔'!$E:$E,"新增")</f>
        <v/>
      </c>
      <c r="G413" s="4">
        <f>-SUMIFS('01_異動主檔'!$F:$F,'01_異動主檔'!$B:$B,102,'01_異動主檔'!$D:$D,A413,'01_異動主檔'!$E:$E,"減列")</f>
        <v/>
      </c>
      <c r="H413" s="4">
        <f>-SUMIFS('01_異動主檔'!$F:$F,'01_異動主檔'!$B:$B,102,'01_異動主檔'!$D:$D,A413,'01_異動主檔'!$E:$E,"精簡")</f>
        <v/>
      </c>
      <c r="I413" s="8">
        <f>C413+D413+E413+F413+G413+H413</f>
        <v/>
      </c>
    </row>
    <row r="414" ht="18" customHeight="1">
      <c r="A414" s="5" t="inlineStr">
        <is>
          <t>第八組</t>
        </is>
      </c>
      <c r="B414" s="6" t="n">
        <v>103</v>
      </c>
      <c r="C414" s="8">
        <f>I413</f>
        <v/>
      </c>
      <c r="D414" s="4">
        <f>SUMIFS('01_異動主檔'!$F:$F,'01_異動主檔'!$B:$B,103,'01_異動主檔'!$D:$D,A414,'01_異動主檔'!$E:$E,"移入")</f>
        <v/>
      </c>
      <c r="E414" s="4">
        <f>-SUMIFS('01_異動主檔'!$F:$F,'01_異動主檔'!$B:$B,103,'01_異動主檔'!$D:$D,A414,'01_異動主檔'!$E:$E,"移出")</f>
        <v/>
      </c>
      <c r="F414" s="4">
        <f>SUMIFS('01_異動主檔'!$F:$F,'01_異動主檔'!$B:$B,103,'01_異動主檔'!$D:$D,A414,'01_異動主檔'!$E:$E,"新增")</f>
        <v/>
      </c>
      <c r="G414" s="4">
        <f>-SUMIFS('01_異動主檔'!$F:$F,'01_異動主檔'!$B:$B,103,'01_異動主檔'!$D:$D,A414,'01_異動主檔'!$E:$E,"減列")</f>
        <v/>
      </c>
      <c r="H414" s="4">
        <f>-SUMIFS('01_異動主檔'!$F:$F,'01_異動主檔'!$B:$B,103,'01_異動主檔'!$D:$D,A414,'01_異動主檔'!$E:$E,"精簡")</f>
        <v/>
      </c>
      <c r="I414" s="8">
        <f>C414+D414+E414+F414+G414+H414</f>
        <v/>
      </c>
    </row>
    <row r="415" ht="18" customHeight="1">
      <c r="A415" s="3" t="inlineStr">
        <is>
          <t>第八組</t>
        </is>
      </c>
      <c r="B415" s="4" t="n">
        <v>104</v>
      </c>
      <c r="C415" s="8">
        <f>I414</f>
        <v/>
      </c>
      <c r="D415" s="4">
        <f>SUMIFS('01_異動主檔'!$F:$F,'01_異動主檔'!$B:$B,104,'01_異動主檔'!$D:$D,A415,'01_異動主檔'!$E:$E,"移入")</f>
        <v/>
      </c>
      <c r="E415" s="4">
        <f>-SUMIFS('01_異動主檔'!$F:$F,'01_異動主檔'!$B:$B,104,'01_異動主檔'!$D:$D,A415,'01_異動主檔'!$E:$E,"移出")</f>
        <v/>
      </c>
      <c r="F415" s="4">
        <f>SUMIFS('01_異動主檔'!$F:$F,'01_異動主檔'!$B:$B,104,'01_異動主檔'!$D:$D,A415,'01_異動主檔'!$E:$E,"新增")</f>
        <v/>
      </c>
      <c r="G415" s="4">
        <f>-SUMIFS('01_異動主檔'!$F:$F,'01_異動主檔'!$B:$B,104,'01_異動主檔'!$D:$D,A415,'01_異動主檔'!$E:$E,"減列")</f>
        <v/>
      </c>
      <c r="H415" s="4">
        <f>-SUMIFS('01_異動主檔'!$F:$F,'01_異動主檔'!$B:$B,104,'01_異動主檔'!$D:$D,A415,'01_異動主檔'!$E:$E,"精簡")</f>
        <v/>
      </c>
      <c r="I415" s="8">
        <f>C415+D415+E415+F415+G415+H415</f>
        <v/>
      </c>
    </row>
    <row r="416" ht="18" customHeight="1">
      <c r="A416" s="5" t="inlineStr">
        <is>
          <t>第八組</t>
        </is>
      </c>
      <c r="B416" s="6" t="n">
        <v>105</v>
      </c>
      <c r="C416" s="8">
        <f>I415</f>
        <v/>
      </c>
      <c r="D416" s="4">
        <f>SUMIFS('01_異動主檔'!$F:$F,'01_異動主檔'!$B:$B,105,'01_異動主檔'!$D:$D,A416,'01_異動主檔'!$E:$E,"移入")</f>
        <v/>
      </c>
      <c r="E416" s="4">
        <f>-SUMIFS('01_異動主檔'!$F:$F,'01_異動主檔'!$B:$B,105,'01_異動主檔'!$D:$D,A416,'01_異動主檔'!$E:$E,"移出")</f>
        <v/>
      </c>
      <c r="F416" s="4">
        <f>SUMIFS('01_異動主檔'!$F:$F,'01_異動主檔'!$B:$B,105,'01_異動主檔'!$D:$D,A416,'01_異動主檔'!$E:$E,"新增")</f>
        <v/>
      </c>
      <c r="G416" s="4">
        <f>-SUMIFS('01_異動主檔'!$F:$F,'01_異動主檔'!$B:$B,105,'01_異動主檔'!$D:$D,A416,'01_異動主檔'!$E:$E,"減列")</f>
        <v/>
      </c>
      <c r="H416" s="4">
        <f>-SUMIFS('01_異動主檔'!$F:$F,'01_異動主檔'!$B:$B,105,'01_異動主檔'!$D:$D,A416,'01_異動主檔'!$E:$E,"精簡")</f>
        <v/>
      </c>
      <c r="I416" s="8">
        <f>C416+D416+E416+F416+G416+H416</f>
        <v/>
      </c>
    </row>
    <row r="417" ht="18" customHeight="1">
      <c r="A417" s="3" t="inlineStr">
        <is>
          <t>第八組</t>
        </is>
      </c>
      <c r="B417" s="4" t="n">
        <v>106</v>
      </c>
      <c r="C417" s="8">
        <f>I416</f>
        <v/>
      </c>
      <c r="D417" s="4">
        <f>SUMIFS('01_異動主檔'!$F:$F,'01_異動主檔'!$B:$B,106,'01_異動主檔'!$D:$D,A417,'01_異動主檔'!$E:$E,"移入")</f>
        <v/>
      </c>
      <c r="E417" s="4">
        <f>-SUMIFS('01_異動主檔'!$F:$F,'01_異動主檔'!$B:$B,106,'01_異動主檔'!$D:$D,A417,'01_異動主檔'!$E:$E,"移出")</f>
        <v/>
      </c>
      <c r="F417" s="4">
        <f>SUMIFS('01_異動主檔'!$F:$F,'01_異動主檔'!$B:$B,106,'01_異動主檔'!$D:$D,A417,'01_異動主檔'!$E:$E,"新增")</f>
        <v/>
      </c>
      <c r="G417" s="4">
        <f>-SUMIFS('01_異動主檔'!$F:$F,'01_異動主檔'!$B:$B,106,'01_異動主檔'!$D:$D,A417,'01_異動主檔'!$E:$E,"減列")</f>
        <v/>
      </c>
      <c r="H417" s="4">
        <f>-SUMIFS('01_異動主檔'!$F:$F,'01_異動主檔'!$B:$B,106,'01_異動主檔'!$D:$D,A417,'01_異動主檔'!$E:$E,"精簡")</f>
        <v/>
      </c>
      <c r="I417" s="8">
        <f>C417+D417+E417+F417+G417+H417</f>
        <v/>
      </c>
    </row>
    <row r="418" ht="18" customHeight="1">
      <c r="A418" s="5" t="inlineStr">
        <is>
          <t>第八組</t>
        </is>
      </c>
      <c r="B418" s="6" t="n">
        <v>107</v>
      </c>
      <c r="C418" s="8">
        <f>I417</f>
        <v/>
      </c>
      <c r="D418" s="4">
        <f>SUMIFS('01_異動主檔'!$F:$F,'01_異動主檔'!$B:$B,107,'01_異動主檔'!$D:$D,A418,'01_異動主檔'!$E:$E,"移入")</f>
        <v/>
      </c>
      <c r="E418" s="4">
        <f>-SUMIFS('01_異動主檔'!$F:$F,'01_異動主檔'!$B:$B,107,'01_異動主檔'!$D:$D,A418,'01_異動主檔'!$E:$E,"移出")</f>
        <v/>
      </c>
      <c r="F418" s="4">
        <f>SUMIFS('01_異動主檔'!$F:$F,'01_異動主檔'!$B:$B,107,'01_異動主檔'!$D:$D,A418,'01_異動主檔'!$E:$E,"新增")</f>
        <v/>
      </c>
      <c r="G418" s="4">
        <f>-SUMIFS('01_異動主檔'!$F:$F,'01_異動主檔'!$B:$B,107,'01_異動主檔'!$D:$D,A418,'01_異動主檔'!$E:$E,"減列")</f>
        <v/>
      </c>
      <c r="H418" s="4">
        <f>-SUMIFS('01_異動主檔'!$F:$F,'01_異動主檔'!$B:$B,107,'01_異動主檔'!$D:$D,A418,'01_異動主檔'!$E:$E,"精簡")</f>
        <v/>
      </c>
      <c r="I418" s="8">
        <f>C418+D418+E418+F418+G418+H418</f>
        <v/>
      </c>
    </row>
    <row r="419" ht="18" customHeight="1">
      <c r="A419" s="3" t="inlineStr">
        <is>
          <t>第八組</t>
        </is>
      </c>
      <c r="B419" s="4" t="n">
        <v>108</v>
      </c>
      <c r="C419" s="8">
        <f>I418</f>
        <v/>
      </c>
      <c r="D419" s="4">
        <f>SUMIFS('01_異動主檔'!$F:$F,'01_異動主檔'!$B:$B,108,'01_異動主檔'!$D:$D,A419,'01_異動主檔'!$E:$E,"移入")</f>
        <v/>
      </c>
      <c r="E419" s="4">
        <f>-SUMIFS('01_異動主檔'!$F:$F,'01_異動主檔'!$B:$B,108,'01_異動主檔'!$D:$D,A419,'01_異動主檔'!$E:$E,"移出")</f>
        <v/>
      </c>
      <c r="F419" s="4">
        <f>SUMIFS('01_異動主檔'!$F:$F,'01_異動主檔'!$B:$B,108,'01_異動主檔'!$D:$D,A419,'01_異動主檔'!$E:$E,"新增")</f>
        <v/>
      </c>
      <c r="G419" s="4">
        <f>-SUMIFS('01_異動主檔'!$F:$F,'01_異動主檔'!$B:$B,108,'01_異動主檔'!$D:$D,A419,'01_異動主檔'!$E:$E,"減列")</f>
        <v/>
      </c>
      <c r="H419" s="4">
        <f>-SUMIFS('01_異動主檔'!$F:$F,'01_異動主檔'!$B:$B,108,'01_異動主檔'!$D:$D,A419,'01_異動主檔'!$E:$E,"精簡")</f>
        <v/>
      </c>
      <c r="I419" s="8">
        <f>C419+D419+E419+F419+G419+H419</f>
        <v/>
      </c>
    </row>
    <row r="420" ht="18" customHeight="1">
      <c r="A420" s="5" t="inlineStr">
        <is>
          <t>第八組</t>
        </is>
      </c>
      <c r="B420" s="6" t="n">
        <v>109</v>
      </c>
      <c r="C420" s="8">
        <f>I419</f>
        <v/>
      </c>
      <c r="D420" s="4">
        <f>SUMIFS('01_異動主檔'!$F:$F,'01_異動主檔'!$B:$B,109,'01_異動主檔'!$D:$D,A420,'01_異動主檔'!$E:$E,"移入")</f>
        <v/>
      </c>
      <c r="E420" s="4">
        <f>-SUMIFS('01_異動主檔'!$F:$F,'01_異動主檔'!$B:$B,109,'01_異動主檔'!$D:$D,A420,'01_異動主檔'!$E:$E,"移出")</f>
        <v/>
      </c>
      <c r="F420" s="4">
        <f>SUMIFS('01_異動主檔'!$F:$F,'01_異動主檔'!$B:$B,109,'01_異動主檔'!$D:$D,A420,'01_異動主檔'!$E:$E,"新增")</f>
        <v/>
      </c>
      <c r="G420" s="4">
        <f>-SUMIFS('01_異動主檔'!$F:$F,'01_異動主檔'!$B:$B,109,'01_異動主檔'!$D:$D,A420,'01_異動主檔'!$E:$E,"減列")</f>
        <v/>
      </c>
      <c r="H420" s="4">
        <f>-SUMIFS('01_異動主檔'!$F:$F,'01_異動主檔'!$B:$B,109,'01_異動主檔'!$D:$D,A420,'01_異動主檔'!$E:$E,"精簡")</f>
        <v/>
      </c>
      <c r="I420" s="8">
        <f>C420+D420+E420+F420+G420+H420</f>
        <v/>
      </c>
    </row>
    <row r="421" ht="18" customHeight="1">
      <c r="A421" s="3" t="inlineStr">
        <is>
          <t>第八組</t>
        </is>
      </c>
      <c r="B421" s="4" t="n">
        <v>110</v>
      </c>
      <c r="C421" s="8">
        <f>I420</f>
        <v/>
      </c>
      <c r="D421" s="4">
        <f>SUMIFS('01_異動主檔'!$F:$F,'01_異動主檔'!$B:$B,110,'01_異動主檔'!$D:$D,A421,'01_異動主檔'!$E:$E,"移入")</f>
        <v/>
      </c>
      <c r="E421" s="4">
        <f>-SUMIFS('01_異動主檔'!$F:$F,'01_異動主檔'!$B:$B,110,'01_異動主檔'!$D:$D,A421,'01_異動主檔'!$E:$E,"移出")</f>
        <v/>
      </c>
      <c r="F421" s="4">
        <f>SUMIFS('01_異動主檔'!$F:$F,'01_異動主檔'!$B:$B,110,'01_異動主檔'!$D:$D,A421,'01_異動主檔'!$E:$E,"新增")</f>
        <v/>
      </c>
      <c r="G421" s="4">
        <f>-SUMIFS('01_異動主檔'!$F:$F,'01_異動主檔'!$B:$B,110,'01_異動主檔'!$D:$D,A421,'01_異動主檔'!$E:$E,"減列")</f>
        <v/>
      </c>
      <c r="H421" s="4">
        <f>-SUMIFS('01_異動主檔'!$F:$F,'01_異動主檔'!$B:$B,110,'01_異動主檔'!$D:$D,A421,'01_異動主檔'!$E:$E,"精簡")</f>
        <v/>
      </c>
      <c r="I421" s="8">
        <f>C421+D421+E421+F421+G421+H421</f>
        <v/>
      </c>
    </row>
    <row r="422" ht="18" customHeight="1">
      <c r="A422" s="5" t="inlineStr">
        <is>
          <t>第八組</t>
        </is>
      </c>
      <c r="B422" s="6" t="n">
        <v>111</v>
      </c>
      <c r="C422" s="8">
        <f>I421</f>
        <v/>
      </c>
      <c r="D422" s="4">
        <f>SUMIFS('01_異動主檔'!$F:$F,'01_異動主檔'!$B:$B,111,'01_異動主檔'!$D:$D,A422,'01_異動主檔'!$E:$E,"移入")</f>
        <v/>
      </c>
      <c r="E422" s="4">
        <f>-SUMIFS('01_異動主檔'!$F:$F,'01_異動主檔'!$B:$B,111,'01_異動主檔'!$D:$D,A422,'01_異動主檔'!$E:$E,"移出")</f>
        <v/>
      </c>
      <c r="F422" s="4">
        <f>SUMIFS('01_異動主檔'!$F:$F,'01_異動主檔'!$B:$B,111,'01_異動主檔'!$D:$D,A422,'01_異動主檔'!$E:$E,"新增")</f>
        <v/>
      </c>
      <c r="G422" s="4">
        <f>-SUMIFS('01_異動主檔'!$F:$F,'01_異動主檔'!$B:$B,111,'01_異動主檔'!$D:$D,A422,'01_異動主檔'!$E:$E,"減列")</f>
        <v/>
      </c>
      <c r="H422" s="4">
        <f>-SUMIFS('01_異動主檔'!$F:$F,'01_異動主檔'!$B:$B,111,'01_異動主檔'!$D:$D,A422,'01_異動主檔'!$E:$E,"精簡")</f>
        <v/>
      </c>
      <c r="I422" s="8">
        <f>C422+D422+E422+F422+G422+H422</f>
        <v/>
      </c>
    </row>
    <row r="423" ht="18" customHeight="1">
      <c r="A423" s="3" t="inlineStr">
        <is>
          <t>第八組</t>
        </is>
      </c>
      <c r="B423" s="4" t="n">
        <v>112</v>
      </c>
      <c r="C423" s="8">
        <f>I422</f>
        <v/>
      </c>
      <c r="D423" s="4">
        <f>SUMIFS('01_異動主檔'!$F:$F,'01_異動主檔'!$B:$B,112,'01_異動主檔'!$D:$D,A423,'01_異動主檔'!$E:$E,"移入")</f>
        <v/>
      </c>
      <c r="E423" s="4">
        <f>-SUMIFS('01_異動主檔'!$F:$F,'01_異動主檔'!$B:$B,112,'01_異動主檔'!$D:$D,A423,'01_異動主檔'!$E:$E,"移出")</f>
        <v/>
      </c>
      <c r="F423" s="4">
        <f>SUMIFS('01_異動主檔'!$F:$F,'01_異動主檔'!$B:$B,112,'01_異動主檔'!$D:$D,A423,'01_異動主檔'!$E:$E,"新增")</f>
        <v/>
      </c>
      <c r="G423" s="4">
        <f>-SUMIFS('01_異動主檔'!$F:$F,'01_異動主檔'!$B:$B,112,'01_異動主檔'!$D:$D,A423,'01_異動主檔'!$E:$E,"減列")</f>
        <v/>
      </c>
      <c r="H423" s="4">
        <f>-SUMIFS('01_異動主檔'!$F:$F,'01_異動主檔'!$B:$B,112,'01_異動主檔'!$D:$D,A423,'01_異動主檔'!$E:$E,"精簡")</f>
        <v/>
      </c>
      <c r="I423" s="8">
        <f>C423+D423+E423+F423+G423+H423</f>
        <v/>
      </c>
    </row>
    <row r="424" ht="18" customHeight="1">
      <c r="A424" s="5" t="inlineStr">
        <is>
          <t>第八組</t>
        </is>
      </c>
      <c r="B424" s="6" t="n">
        <v>113</v>
      </c>
      <c r="C424" s="8">
        <f>I423</f>
        <v/>
      </c>
      <c r="D424" s="4">
        <f>SUMIFS('01_異動主檔'!$F:$F,'01_異動主檔'!$B:$B,113,'01_異動主檔'!$D:$D,A424,'01_異動主檔'!$E:$E,"移入")</f>
        <v/>
      </c>
      <c r="E424" s="4">
        <f>-SUMIFS('01_異動主檔'!$F:$F,'01_異動主檔'!$B:$B,113,'01_異動主檔'!$D:$D,A424,'01_異動主檔'!$E:$E,"移出")</f>
        <v/>
      </c>
      <c r="F424" s="4">
        <f>SUMIFS('01_異動主檔'!$F:$F,'01_異動主檔'!$B:$B,113,'01_異動主檔'!$D:$D,A424,'01_異動主檔'!$E:$E,"新增")</f>
        <v/>
      </c>
      <c r="G424" s="4">
        <f>-SUMIFS('01_異動主檔'!$F:$F,'01_異動主檔'!$B:$B,113,'01_異動主檔'!$D:$D,A424,'01_異動主檔'!$E:$E,"減列")</f>
        <v/>
      </c>
      <c r="H424" s="4">
        <f>-SUMIFS('01_異動主檔'!$F:$F,'01_異動主檔'!$B:$B,113,'01_異動主檔'!$D:$D,A424,'01_異動主檔'!$E:$E,"精簡")</f>
        <v/>
      </c>
      <c r="I424" s="8">
        <f>C424+D424+E424+F424+G424+H424</f>
        <v/>
      </c>
    </row>
    <row r="425" ht="18" customHeight="1">
      <c r="A425" s="3" t="inlineStr">
        <is>
          <t>第八組</t>
        </is>
      </c>
      <c r="B425" s="4" t="n">
        <v>114</v>
      </c>
      <c r="C425" s="8">
        <f>I424</f>
        <v/>
      </c>
      <c r="D425" s="4">
        <f>SUMIFS('01_異動主檔'!$F:$F,'01_異動主檔'!$B:$B,114,'01_異動主檔'!$D:$D,A425,'01_異動主檔'!$E:$E,"移入")</f>
        <v/>
      </c>
      <c r="E425" s="4">
        <f>-SUMIFS('01_異動主檔'!$F:$F,'01_異動主檔'!$B:$B,114,'01_異動主檔'!$D:$D,A425,'01_異動主檔'!$E:$E,"移出")</f>
        <v/>
      </c>
      <c r="F425" s="4">
        <f>SUMIFS('01_異動主檔'!$F:$F,'01_異動主檔'!$B:$B,114,'01_異動主檔'!$D:$D,A425,'01_異動主檔'!$E:$E,"新增")</f>
        <v/>
      </c>
      <c r="G425" s="4">
        <f>-SUMIFS('01_異動主檔'!$F:$F,'01_異動主檔'!$B:$B,114,'01_異動主檔'!$D:$D,A425,'01_異動主檔'!$E:$E,"減列")</f>
        <v/>
      </c>
      <c r="H425" s="4">
        <f>-SUMIFS('01_異動主檔'!$F:$F,'01_異動主檔'!$B:$B,114,'01_異動主檔'!$D:$D,A425,'01_異動主檔'!$E:$E,"精簡")</f>
        <v/>
      </c>
      <c r="I425" s="8">
        <f>C425+D425+E425+F425+G425+H425</f>
        <v/>
      </c>
    </row>
    <row r="426" ht="18" customHeight="1">
      <c r="A426" s="5" t="inlineStr">
        <is>
          <t>第八組</t>
        </is>
      </c>
      <c r="B426" s="6" t="n">
        <v>115</v>
      </c>
      <c r="C426" s="8">
        <f>I425</f>
        <v/>
      </c>
      <c r="D426" s="4">
        <f>SUMIFS('01_異動主檔'!$F:$F,'01_異動主檔'!$B:$B,115,'01_異動主檔'!$D:$D,A426,'01_異動主檔'!$E:$E,"移入")</f>
        <v/>
      </c>
      <c r="E426" s="4">
        <f>-SUMIFS('01_異動主檔'!$F:$F,'01_異動主檔'!$B:$B,115,'01_異動主檔'!$D:$D,A426,'01_異動主檔'!$E:$E,"移出")</f>
        <v/>
      </c>
      <c r="F426" s="4">
        <f>SUMIFS('01_異動主檔'!$F:$F,'01_異動主檔'!$B:$B,115,'01_異動主檔'!$D:$D,A426,'01_異動主檔'!$E:$E,"新增")</f>
        <v/>
      </c>
      <c r="G426" s="4">
        <f>-SUMIFS('01_異動主檔'!$F:$F,'01_異動主檔'!$B:$B,115,'01_異動主檔'!$D:$D,A426,'01_異動主檔'!$E:$E,"減列")</f>
        <v/>
      </c>
      <c r="H426" s="4">
        <f>-SUMIFS('01_異動主檔'!$F:$F,'01_異動主檔'!$B:$B,115,'01_異動主檔'!$D:$D,A426,'01_異動主檔'!$E:$E,"精簡")</f>
        <v/>
      </c>
      <c r="I426" s="8">
        <f>C426+D426+E426+F426+G426+H426</f>
        <v/>
      </c>
    </row>
    <row r="427" ht="18" customHeight="1">
      <c r="A427" s="3" t="inlineStr">
        <is>
          <t>第八組</t>
        </is>
      </c>
      <c r="B427" s="4" t="n">
        <v>116</v>
      </c>
      <c r="C427" s="8">
        <f>I426</f>
        <v/>
      </c>
      <c r="D427" s="4">
        <f>SUMIFS('01_異動主檔'!$F:$F,'01_異動主檔'!$B:$B,116,'01_異動主檔'!$D:$D,A427,'01_異動主檔'!$E:$E,"移入")</f>
        <v/>
      </c>
      <c r="E427" s="4">
        <f>-SUMIFS('01_異動主檔'!$F:$F,'01_異動主檔'!$B:$B,116,'01_異動主檔'!$D:$D,A427,'01_異動主檔'!$E:$E,"移出")</f>
        <v/>
      </c>
      <c r="F427" s="4">
        <f>SUMIFS('01_異動主檔'!$F:$F,'01_異動主檔'!$B:$B,116,'01_異動主檔'!$D:$D,A427,'01_異動主檔'!$E:$E,"新增")</f>
        <v/>
      </c>
      <c r="G427" s="4">
        <f>-SUMIFS('01_異動主檔'!$F:$F,'01_異動主檔'!$B:$B,116,'01_異動主檔'!$D:$D,A427,'01_異動主檔'!$E:$E,"減列")</f>
        <v/>
      </c>
      <c r="H427" s="4">
        <f>-SUMIFS('01_異動主檔'!$F:$F,'01_異動主檔'!$B:$B,116,'01_異動主檔'!$D:$D,A427,'01_異動主檔'!$E:$E,"精簡")</f>
        <v/>
      </c>
      <c r="I427" s="8">
        <f>C427+D427+E427+F427+G427+H427</f>
        <v/>
      </c>
    </row>
    <row r="428" ht="18" customHeight="1">
      <c r="A428" s="5" t="inlineStr">
        <is>
          <t>第八組</t>
        </is>
      </c>
      <c r="B428" s="6" t="n">
        <v>117</v>
      </c>
      <c r="C428" s="8">
        <f>I427</f>
        <v/>
      </c>
      <c r="D428" s="4">
        <f>SUMIFS('01_異動主檔'!$F:$F,'01_異動主檔'!$B:$B,117,'01_異動主檔'!$D:$D,A428,'01_異動主檔'!$E:$E,"移入")</f>
        <v/>
      </c>
      <c r="E428" s="4">
        <f>-SUMIFS('01_異動主檔'!$F:$F,'01_異動主檔'!$B:$B,117,'01_異動主檔'!$D:$D,A428,'01_異動主檔'!$E:$E,"移出")</f>
        <v/>
      </c>
      <c r="F428" s="4">
        <f>SUMIFS('01_異動主檔'!$F:$F,'01_異動主檔'!$B:$B,117,'01_異動主檔'!$D:$D,A428,'01_異動主檔'!$E:$E,"新增")</f>
        <v/>
      </c>
      <c r="G428" s="4">
        <f>-SUMIFS('01_異動主檔'!$F:$F,'01_異動主檔'!$B:$B,117,'01_異動主檔'!$D:$D,A428,'01_異動主檔'!$E:$E,"減列")</f>
        <v/>
      </c>
      <c r="H428" s="4">
        <f>-SUMIFS('01_異動主檔'!$F:$F,'01_異動主檔'!$B:$B,117,'01_異動主檔'!$D:$D,A428,'01_異動主檔'!$E:$E,"精簡")</f>
        <v/>
      </c>
      <c r="I428" s="8">
        <f>C428+D428+E428+F428+G428+H428</f>
        <v/>
      </c>
    </row>
    <row r="429" ht="18" customHeight="1">
      <c r="A429" s="3" t="inlineStr">
        <is>
          <t>第八組</t>
        </is>
      </c>
      <c r="B429" s="4" t="n">
        <v>118</v>
      </c>
      <c r="C429" s="8">
        <f>I428</f>
        <v/>
      </c>
      <c r="D429" s="4">
        <f>SUMIFS('01_異動主檔'!$F:$F,'01_異動主檔'!$B:$B,118,'01_異動主檔'!$D:$D,A429,'01_異動主檔'!$E:$E,"移入")</f>
        <v/>
      </c>
      <c r="E429" s="4">
        <f>-SUMIFS('01_異動主檔'!$F:$F,'01_異動主檔'!$B:$B,118,'01_異動主檔'!$D:$D,A429,'01_異動主檔'!$E:$E,"移出")</f>
        <v/>
      </c>
      <c r="F429" s="4">
        <f>SUMIFS('01_異動主檔'!$F:$F,'01_異動主檔'!$B:$B,118,'01_異動主檔'!$D:$D,A429,'01_異動主檔'!$E:$E,"新增")</f>
        <v/>
      </c>
      <c r="G429" s="4">
        <f>-SUMIFS('01_異動主檔'!$F:$F,'01_異動主檔'!$B:$B,118,'01_異動主檔'!$D:$D,A429,'01_異動主檔'!$E:$E,"減列")</f>
        <v/>
      </c>
      <c r="H429" s="4">
        <f>-SUMIFS('01_異動主檔'!$F:$F,'01_異動主檔'!$B:$B,118,'01_異動主檔'!$D:$D,A429,'01_異動主檔'!$E:$E,"精簡")</f>
        <v/>
      </c>
      <c r="I429" s="8">
        <f>C429+D429+E429+F429+G429+H429</f>
        <v/>
      </c>
    </row>
    <row r="430" ht="18" customHeight="1">
      <c r="A430" s="5" t="inlineStr">
        <is>
          <t>第八組</t>
        </is>
      </c>
      <c r="B430" s="6" t="n">
        <v>119</v>
      </c>
      <c r="C430" s="8">
        <f>I429</f>
        <v/>
      </c>
      <c r="D430" s="4">
        <f>SUMIFS('01_異動主檔'!$F:$F,'01_異動主檔'!$B:$B,119,'01_異動主檔'!$D:$D,A430,'01_異動主檔'!$E:$E,"移入")</f>
        <v/>
      </c>
      <c r="E430" s="4">
        <f>-SUMIFS('01_異動主檔'!$F:$F,'01_異動主檔'!$B:$B,119,'01_異動主檔'!$D:$D,A430,'01_異動主檔'!$E:$E,"移出")</f>
        <v/>
      </c>
      <c r="F430" s="4">
        <f>SUMIFS('01_異動主檔'!$F:$F,'01_異動主檔'!$B:$B,119,'01_異動主檔'!$D:$D,A430,'01_異動主檔'!$E:$E,"新增")</f>
        <v/>
      </c>
      <c r="G430" s="4">
        <f>-SUMIFS('01_異動主檔'!$F:$F,'01_異動主檔'!$B:$B,119,'01_異動主檔'!$D:$D,A430,'01_異動主檔'!$E:$E,"減列")</f>
        <v/>
      </c>
      <c r="H430" s="4">
        <f>-SUMIFS('01_異動主檔'!$F:$F,'01_異動主檔'!$B:$B,119,'01_異動主檔'!$D:$D,A430,'01_異動主檔'!$E:$E,"精簡")</f>
        <v/>
      </c>
      <c r="I430" s="8">
        <f>C430+D430+E430+F430+G430+H430</f>
        <v/>
      </c>
    </row>
    <row r="431" ht="18" customHeight="1">
      <c r="A431" s="3" t="inlineStr">
        <is>
          <t>第八組</t>
        </is>
      </c>
      <c r="B431" s="4" t="n">
        <v>120</v>
      </c>
      <c r="C431" s="8">
        <f>I430</f>
        <v/>
      </c>
      <c r="D431" s="4">
        <f>SUMIFS('01_異動主檔'!$F:$F,'01_異動主檔'!$B:$B,120,'01_異動主檔'!$D:$D,A431,'01_異動主檔'!$E:$E,"移入")</f>
        <v/>
      </c>
      <c r="E431" s="4">
        <f>-SUMIFS('01_異動主檔'!$F:$F,'01_異動主檔'!$B:$B,120,'01_異動主檔'!$D:$D,A431,'01_異動主檔'!$E:$E,"移出")</f>
        <v/>
      </c>
      <c r="F431" s="4">
        <f>SUMIFS('01_異動主檔'!$F:$F,'01_異動主檔'!$B:$B,120,'01_異動主檔'!$D:$D,A431,'01_異動主檔'!$E:$E,"新增")</f>
        <v/>
      </c>
      <c r="G431" s="4">
        <f>-SUMIFS('01_異動主檔'!$F:$F,'01_異動主檔'!$B:$B,120,'01_異動主檔'!$D:$D,A431,'01_異動主檔'!$E:$E,"減列")</f>
        <v/>
      </c>
      <c r="H431" s="4">
        <f>-SUMIFS('01_異動主檔'!$F:$F,'01_異動主檔'!$B:$B,120,'01_異動主檔'!$D:$D,A431,'01_異動主檔'!$E:$E,"精簡")</f>
        <v/>
      </c>
      <c r="I431" s="8">
        <f>C431+D431+E431+F431+G431+H431</f>
        <v/>
      </c>
    </row>
    <row r="432" ht="18" customHeight="1">
      <c r="A432" s="5" t="inlineStr">
        <is>
          <t>第八組</t>
        </is>
      </c>
      <c r="B432" s="6" t="n">
        <v>121</v>
      </c>
      <c r="C432" s="8">
        <f>I431</f>
        <v/>
      </c>
      <c r="D432" s="4">
        <f>SUMIFS('01_異動主檔'!$F:$F,'01_異動主檔'!$B:$B,121,'01_異動主檔'!$D:$D,A432,'01_異動主檔'!$E:$E,"移入")</f>
        <v/>
      </c>
      <c r="E432" s="4">
        <f>-SUMIFS('01_異動主檔'!$F:$F,'01_異動主檔'!$B:$B,121,'01_異動主檔'!$D:$D,A432,'01_異動主檔'!$E:$E,"移出")</f>
        <v/>
      </c>
      <c r="F432" s="4">
        <f>SUMIFS('01_異動主檔'!$F:$F,'01_異動主檔'!$B:$B,121,'01_異動主檔'!$D:$D,A432,'01_異動主檔'!$E:$E,"新增")</f>
        <v/>
      </c>
      <c r="G432" s="4">
        <f>-SUMIFS('01_異動主檔'!$F:$F,'01_異動主檔'!$B:$B,121,'01_異動主檔'!$D:$D,A432,'01_異動主檔'!$E:$E,"減列")</f>
        <v/>
      </c>
      <c r="H432" s="4">
        <f>-SUMIFS('01_異動主檔'!$F:$F,'01_異動主檔'!$B:$B,121,'01_異動主檔'!$D:$D,A432,'01_異動主檔'!$E:$E,"精簡")</f>
        <v/>
      </c>
      <c r="I432" s="8">
        <f>C432+D432+E432+F432+G432+H432</f>
        <v/>
      </c>
    </row>
    <row r="433" ht="18" customHeight="1">
      <c r="A433" s="3" t="inlineStr">
        <is>
          <t>第八組</t>
        </is>
      </c>
      <c r="B433" s="4" t="n">
        <v>122</v>
      </c>
      <c r="C433" s="8">
        <f>I432</f>
        <v/>
      </c>
      <c r="D433" s="4">
        <f>SUMIFS('01_異動主檔'!$F:$F,'01_異動主檔'!$B:$B,122,'01_異動主檔'!$D:$D,A433,'01_異動主檔'!$E:$E,"移入")</f>
        <v/>
      </c>
      <c r="E433" s="4">
        <f>-SUMIFS('01_異動主檔'!$F:$F,'01_異動主檔'!$B:$B,122,'01_異動主檔'!$D:$D,A433,'01_異動主檔'!$E:$E,"移出")</f>
        <v/>
      </c>
      <c r="F433" s="4">
        <f>SUMIFS('01_異動主檔'!$F:$F,'01_異動主檔'!$B:$B,122,'01_異動主檔'!$D:$D,A433,'01_異動主檔'!$E:$E,"新增")</f>
        <v/>
      </c>
      <c r="G433" s="4">
        <f>-SUMIFS('01_異動主檔'!$F:$F,'01_異動主檔'!$B:$B,122,'01_異動主檔'!$D:$D,A433,'01_異動主檔'!$E:$E,"減列")</f>
        <v/>
      </c>
      <c r="H433" s="4">
        <f>-SUMIFS('01_異動主檔'!$F:$F,'01_異動主檔'!$B:$B,122,'01_異動主檔'!$D:$D,A433,'01_異動主檔'!$E:$E,"精簡")</f>
        <v/>
      </c>
      <c r="I433" s="8">
        <f>C433+D433+E433+F433+G433+H433</f>
        <v/>
      </c>
    </row>
    <row r="434" ht="18" customHeight="1">
      <c r="A434" s="5" t="inlineStr">
        <is>
          <t>第八組</t>
        </is>
      </c>
      <c r="B434" s="6" t="n">
        <v>123</v>
      </c>
      <c r="C434" s="8">
        <f>I433</f>
        <v/>
      </c>
      <c r="D434" s="4">
        <f>SUMIFS('01_異動主檔'!$F:$F,'01_異動主檔'!$B:$B,123,'01_異動主檔'!$D:$D,A434,'01_異動主檔'!$E:$E,"移入")</f>
        <v/>
      </c>
      <c r="E434" s="4">
        <f>-SUMIFS('01_異動主檔'!$F:$F,'01_異動主檔'!$B:$B,123,'01_異動主檔'!$D:$D,A434,'01_異動主檔'!$E:$E,"移出")</f>
        <v/>
      </c>
      <c r="F434" s="4">
        <f>SUMIFS('01_異動主檔'!$F:$F,'01_異動主檔'!$B:$B,123,'01_異動主檔'!$D:$D,A434,'01_異動主檔'!$E:$E,"新增")</f>
        <v/>
      </c>
      <c r="G434" s="4">
        <f>-SUMIFS('01_異動主檔'!$F:$F,'01_異動主檔'!$B:$B,123,'01_異動主檔'!$D:$D,A434,'01_異動主檔'!$E:$E,"減列")</f>
        <v/>
      </c>
      <c r="H434" s="4">
        <f>-SUMIFS('01_異動主檔'!$F:$F,'01_異動主檔'!$B:$B,123,'01_異動主檔'!$D:$D,A434,'01_異動主檔'!$E:$E,"精簡")</f>
        <v/>
      </c>
      <c r="I434" s="8">
        <f>C434+D434+E434+F434+G434+H434</f>
        <v/>
      </c>
    </row>
    <row r="435" ht="18" customHeight="1">
      <c r="A435" s="3" t="inlineStr">
        <is>
          <t>第八組</t>
        </is>
      </c>
      <c r="B435" s="4" t="n">
        <v>124</v>
      </c>
      <c r="C435" s="8">
        <f>I434</f>
        <v/>
      </c>
      <c r="D435" s="4">
        <f>SUMIFS('01_異動主檔'!$F:$F,'01_異動主檔'!$B:$B,124,'01_異動主檔'!$D:$D,A435,'01_異動主檔'!$E:$E,"移入")</f>
        <v/>
      </c>
      <c r="E435" s="4">
        <f>-SUMIFS('01_異動主檔'!$F:$F,'01_異動主檔'!$B:$B,124,'01_異動主檔'!$D:$D,A435,'01_異動主檔'!$E:$E,"移出")</f>
        <v/>
      </c>
      <c r="F435" s="4">
        <f>SUMIFS('01_異動主檔'!$F:$F,'01_異動主檔'!$B:$B,124,'01_異動主檔'!$D:$D,A435,'01_異動主檔'!$E:$E,"新增")</f>
        <v/>
      </c>
      <c r="G435" s="4">
        <f>-SUMIFS('01_異動主檔'!$F:$F,'01_異動主檔'!$B:$B,124,'01_異動主檔'!$D:$D,A435,'01_異動主檔'!$E:$E,"減列")</f>
        <v/>
      </c>
      <c r="H435" s="4">
        <f>-SUMIFS('01_異動主檔'!$F:$F,'01_異動主檔'!$B:$B,124,'01_異動主檔'!$D:$D,A435,'01_異動主檔'!$E:$E,"精簡")</f>
        <v/>
      </c>
      <c r="I435" s="8">
        <f>C435+D435+E435+F435+G435+H435</f>
        <v/>
      </c>
    </row>
    <row r="436" ht="18" customHeight="1">
      <c r="A436" s="5" t="inlineStr">
        <is>
          <t>第八組</t>
        </is>
      </c>
      <c r="B436" s="6" t="n">
        <v>125</v>
      </c>
      <c r="C436" s="8">
        <f>I435</f>
        <v/>
      </c>
      <c r="D436" s="4">
        <f>SUMIFS('01_異動主檔'!$F:$F,'01_異動主檔'!$B:$B,125,'01_異動主檔'!$D:$D,A436,'01_異動主檔'!$E:$E,"移入")</f>
        <v/>
      </c>
      <c r="E436" s="4">
        <f>-SUMIFS('01_異動主檔'!$F:$F,'01_異動主檔'!$B:$B,125,'01_異動主檔'!$D:$D,A436,'01_異動主檔'!$E:$E,"移出")</f>
        <v/>
      </c>
      <c r="F436" s="4">
        <f>SUMIFS('01_異動主檔'!$F:$F,'01_異動主檔'!$B:$B,125,'01_異動主檔'!$D:$D,A436,'01_異動主檔'!$E:$E,"新增")</f>
        <v/>
      </c>
      <c r="G436" s="4">
        <f>-SUMIFS('01_異動主檔'!$F:$F,'01_異動主檔'!$B:$B,125,'01_異動主檔'!$D:$D,A436,'01_異動主檔'!$E:$E,"減列")</f>
        <v/>
      </c>
      <c r="H436" s="4">
        <f>-SUMIFS('01_異動主檔'!$F:$F,'01_異動主檔'!$B:$B,125,'01_異動主檔'!$D:$D,A436,'01_異動主檔'!$E:$E,"精簡")</f>
        <v/>
      </c>
      <c r="I436" s="8">
        <f>C436+D436+E436+F436+G436+H436</f>
        <v/>
      </c>
    </row>
    <row r="437" ht="18" customHeight="1">
      <c r="A437" s="3" t="inlineStr">
        <is>
          <t>台北分局</t>
        </is>
      </c>
      <c r="B437" s="4" t="n">
        <v>99</v>
      </c>
      <c r="C437" s="8">
        <f>'02_年初員額設定'!B21</f>
        <v/>
      </c>
      <c r="D437" s="4">
        <f>SUMIFS('01_異動主檔'!$F:$F,'01_異動主檔'!$B:$B,99,'01_異動主檔'!$D:$D,A437,'01_異動主檔'!$E:$E,"移入")</f>
        <v/>
      </c>
      <c r="E437" s="4">
        <f>-SUMIFS('01_異動主檔'!$F:$F,'01_異動主檔'!$B:$B,99,'01_異動主檔'!$D:$D,A437,'01_異動主檔'!$E:$E,"移出")</f>
        <v/>
      </c>
      <c r="F437" s="4">
        <f>SUMIFS('01_異動主檔'!$F:$F,'01_異動主檔'!$B:$B,99,'01_異動主檔'!$D:$D,A437,'01_異動主檔'!$E:$E,"新增")</f>
        <v/>
      </c>
      <c r="G437" s="4">
        <f>-SUMIFS('01_異動主檔'!$F:$F,'01_異動主檔'!$B:$B,99,'01_異動主檔'!$D:$D,A437,'01_異動主檔'!$E:$E,"減列")</f>
        <v/>
      </c>
      <c r="H437" s="4">
        <f>-SUMIFS('01_異動主檔'!$F:$F,'01_異動主檔'!$B:$B,99,'01_異動主檔'!$D:$D,A437,'01_異動主檔'!$E:$E,"精簡")</f>
        <v/>
      </c>
      <c r="I437" s="8">
        <f>C437+D437+E437+F437+G437+H437</f>
        <v/>
      </c>
    </row>
    <row r="438" ht="18" customHeight="1">
      <c r="A438" s="5" t="inlineStr">
        <is>
          <t>台北分局</t>
        </is>
      </c>
      <c r="B438" s="6" t="n">
        <v>100</v>
      </c>
      <c r="C438" s="8">
        <f>I437</f>
        <v/>
      </c>
      <c r="D438" s="4">
        <f>SUMIFS('01_異動主檔'!$F:$F,'01_異動主檔'!$B:$B,100,'01_異動主檔'!$D:$D,A438,'01_異動主檔'!$E:$E,"移入")</f>
        <v/>
      </c>
      <c r="E438" s="4">
        <f>-SUMIFS('01_異動主檔'!$F:$F,'01_異動主檔'!$B:$B,100,'01_異動主檔'!$D:$D,A438,'01_異動主檔'!$E:$E,"移出")</f>
        <v/>
      </c>
      <c r="F438" s="4">
        <f>SUMIFS('01_異動主檔'!$F:$F,'01_異動主檔'!$B:$B,100,'01_異動主檔'!$D:$D,A438,'01_異動主檔'!$E:$E,"新增")</f>
        <v/>
      </c>
      <c r="G438" s="4">
        <f>-SUMIFS('01_異動主檔'!$F:$F,'01_異動主檔'!$B:$B,100,'01_異動主檔'!$D:$D,A438,'01_異動主檔'!$E:$E,"減列")</f>
        <v/>
      </c>
      <c r="H438" s="4">
        <f>-SUMIFS('01_異動主檔'!$F:$F,'01_異動主檔'!$B:$B,100,'01_異動主檔'!$D:$D,A438,'01_異動主檔'!$E:$E,"精簡")</f>
        <v/>
      </c>
      <c r="I438" s="8">
        <f>C438+D438+E438+F438+G438+H438</f>
        <v/>
      </c>
    </row>
    <row r="439" ht="18" customHeight="1">
      <c r="A439" s="3" t="inlineStr">
        <is>
          <t>台北分局</t>
        </is>
      </c>
      <c r="B439" s="4" t="n">
        <v>101</v>
      </c>
      <c r="C439" s="8">
        <f>I438</f>
        <v/>
      </c>
      <c r="D439" s="4">
        <f>SUMIFS('01_異動主檔'!$F:$F,'01_異動主檔'!$B:$B,101,'01_異動主檔'!$D:$D,A439,'01_異動主檔'!$E:$E,"移入")</f>
        <v/>
      </c>
      <c r="E439" s="4">
        <f>-SUMIFS('01_異動主檔'!$F:$F,'01_異動主檔'!$B:$B,101,'01_異動主檔'!$D:$D,A439,'01_異動主檔'!$E:$E,"移出")</f>
        <v/>
      </c>
      <c r="F439" s="4">
        <f>SUMIFS('01_異動主檔'!$F:$F,'01_異動主檔'!$B:$B,101,'01_異動主檔'!$D:$D,A439,'01_異動主檔'!$E:$E,"新增")</f>
        <v/>
      </c>
      <c r="G439" s="4">
        <f>-SUMIFS('01_異動主檔'!$F:$F,'01_異動主檔'!$B:$B,101,'01_異動主檔'!$D:$D,A439,'01_異動主檔'!$E:$E,"減列")</f>
        <v/>
      </c>
      <c r="H439" s="4">
        <f>-SUMIFS('01_異動主檔'!$F:$F,'01_異動主檔'!$B:$B,101,'01_異動主檔'!$D:$D,A439,'01_異動主檔'!$E:$E,"精簡")</f>
        <v/>
      </c>
      <c r="I439" s="8">
        <f>C439+D439+E439+F439+G439+H439</f>
        <v/>
      </c>
    </row>
    <row r="440" ht="18" customHeight="1">
      <c r="A440" s="5" t="inlineStr">
        <is>
          <t>台北分局</t>
        </is>
      </c>
      <c r="B440" s="6" t="n">
        <v>102</v>
      </c>
      <c r="C440" s="8">
        <f>I439</f>
        <v/>
      </c>
      <c r="D440" s="4">
        <f>SUMIFS('01_異動主檔'!$F:$F,'01_異動主檔'!$B:$B,102,'01_異動主檔'!$D:$D,A440,'01_異動主檔'!$E:$E,"移入")</f>
        <v/>
      </c>
      <c r="E440" s="4">
        <f>-SUMIFS('01_異動主檔'!$F:$F,'01_異動主檔'!$B:$B,102,'01_異動主檔'!$D:$D,A440,'01_異動主檔'!$E:$E,"移出")</f>
        <v/>
      </c>
      <c r="F440" s="4">
        <f>SUMIFS('01_異動主檔'!$F:$F,'01_異動主檔'!$B:$B,102,'01_異動主檔'!$D:$D,A440,'01_異動主檔'!$E:$E,"新增")</f>
        <v/>
      </c>
      <c r="G440" s="4">
        <f>-SUMIFS('01_異動主檔'!$F:$F,'01_異動主檔'!$B:$B,102,'01_異動主檔'!$D:$D,A440,'01_異動主檔'!$E:$E,"減列")</f>
        <v/>
      </c>
      <c r="H440" s="4">
        <f>-SUMIFS('01_異動主檔'!$F:$F,'01_異動主檔'!$B:$B,102,'01_異動主檔'!$D:$D,A440,'01_異動主檔'!$E:$E,"精簡")</f>
        <v/>
      </c>
      <c r="I440" s="8">
        <f>C440+D440+E440+F440+G440+H440</f>
        <v/>
      </c>
    </row>
    <row r="441" ht="18" customHeight="1">
      <c r="A441" s="3" t="inlineStr">
        <is>
          <t>台北分局</t>
        </is>
      </c>
      <c r="B441" s="4" t="n">
        <v>103</v>
      </c>
      <c r="C441" s="8">
        <f>I440</f>
        <v/>
      </c>
      <c r="D441" s="4">
        <f>SUMIFS('01_異動主檔'!$F:$F,'01_異動主檔'!$B:$B,103,'01_異動主檔'!$D:$D,A441,'01_異動主檔'!$E:$E,"移入")</f>
        <v/>
      </c>
      <c r="E441" s="4">
        <f>-SUMIFS('01_異動主檔'!$F:$F,'01_異動主檔'!$B:$B,103,'01_異動主檔'!$D:$D,A441,'01_異動主檔'!$E:$E,"移出")</f>
        <v/>
      </c>
      <c r="F441" s="4">
        <f>SUMIFS('01_異動主檔'!$F:$F,'01_異動主檔'!$B:$B,103,'01_異動主檔'!$D:$D,A441,'01_異動主檔'!$E:$E,"新增")</f>
        <v/>
      </c>
      <c r="G441" s="4">
        <f>-SUMIFS('01_異動主檔'!$F:$F,'01_異動主檔'!$B:$B,103,'01_異動主檔'!$D:$D,A441,'01_異動主檔'!$E:$E,"減列")</f>
        <v/>
      </c>
      <c r="H441" s="4">
        <f>-SUMIFS('01_異動主檔'!$F:$F,'01_異動主檔'!$B:$B,103,'01_異動主檔'!$D:$D,A441,'01_異動主檔'!$E:$E,"精簡")</f>
        <v/>
      </c>
      <c r="I441" s="8">
        <f>C441+D441+E441+F441+G441+H441</f>
        <v/>
      </c>
    </row>
    <row r="442" ht="18" customHeight="1">
      <c r="A442" s="5" t="inlineStr">
        <is>
          <t>台北分局</t>
        </is>
      </c>
      <c r="B442" s="6" t="n">
        <v>104</v>
      </c>
      <c r="C442" s="8">
        <f>I441</f>
        <v/>
      </c>
      <c r="D442" s="4">
        <f>SUMIFS('01_異動主檔'!$F:$F,'01_異動主檔'!$B:$B,104,'01_異動主檔'!$D:$D,A442,'01_異動主檔'!$E:$E,"移入")</f>
        <v/>
      </c>
      <c r="E442" s="4">
        <f>-SUMIFS('01_異動主檔'!$F:$F,'01_異動主檔'!$B:$B,104,'01_異動主檔'!$D:$D,A442,'01_異動主檔'!$E:$E,"移出")</f>
        <v/>
      </c>
      <c r="F442" s="4">
        <f>SUMIFS('01_異動主檔'!$F:$F,'01_異動主檔'!$B:$B,104,'01_異動主檔'!$D:$D,A442,'01_異動主檔'!$E:$E,"新增")</f>
        <v/>
      </c>
      <c r="G442" s="4">
        <f>-SUMIFS('01_異動主檔'!$F:$F,'01_異動主檔'!$B:$B,104,'01_異動主檔'!$D:$D,A442,'01_異動主檔'!$E:$E,"減列")</f>
        <v/>
      </c>
      <c r="H442" s="4">
        <f>-SUMIFS('01_異動主檔'!$F:$F,'01_異動主檔'!$B:$B,104,'01_異動主檔'!$D:$D,A442,'01_異動主檔'!$E:$E,"精簡")</f>
        <v/>
      </c>
      <c r="I442" s="8">
        <f>C442+D442+E442+F442+G442+H442</f>
        <v/>
      </c>
    </row>
    <row r="443" ht="18" customHeight="1">
      <c r="A443" s="3" t="inlineStr">
        <is>
          <t>台北分局</t>
        </is>
      </c>
      <c r="B443" s="4" t="n">
        <v>105</v>
      </c>
      <c r="C443" s="8">
        <f>I442</f>
        <v/>
      </c>
      <c r="D443" s="4">
        <f>SUMIFS('01_異動主檔'!$F:$F,'01_異動主檔'!$B:$B,105,'01_異動主檔'!$D:$D,A443,'01_異動主檔'!$E:$E,"移入")</f>
        <v/>
      </c>
      <c r="E443" s="4">
        <f>-SUMIFS('01_異動主檔'!$F:$F,'01_異動主檔'!$B:$B,105,'01_異動主檔'!$D:$D,A443,'01_異動主檔'!$E:$E,"移出")</f>
        <v/>
      </c>
      <c r="F443" s="4">
        <f>SUMIFS('01_異動主檔'!$F:$F,'01_異動主檔'!$B:$B,105,'01_異動主檔'!$D:$D,A443,'01_異動主檔'!$E:$E,"新增")</f>
        <v/>
      </c>
      <c r="G443" s="4">
        <f>-SUMIFS('01_異動主檔'!$F:$F,'01_異動主檔'!$B:$B,105,'01_異動主檔'!$D:$D,A443,'01_異動主檔'!$E:$E,"減列")</f>
        <v/>
      </c>
      <c r="H443" s="4">
        <f>-SUMIFS('01_異動主檔'!$F:$F,'01_異動主檔'!$B:$B,105,'01_異動主檔'!$D:$D,A443,'01_異動主檔'!$E:$E,"精簡")</f>
        <v/>
      </c>
      <c r="I443" s="8">
        <f>C443+D443+E443+F443+G443+H443</f>
        <v/>
      </c>
    </row>
    <row r="444" ht="18" customHeight="1">
      <c r="A444" s="5" t="inlineStr">
        <is>
          <t>台北分局</t>
        </is>
      </c>
      <c r="B444" s="6" t="n">
        <v>106</v>
      </c>
      <c r="C444" s="8">
        <f>I443</f>
        <v/>
      </c>
      <c r="D444" s="4">
        <f>SUMIFS('01_異動主檔'!$F:$F,'01_異動主檔'!$B:$B,106,'01_異動主檔'!$D:$D,A444,'01_異動主檔'!$E:$E,"移入")</f>
        <v/>
      </c>
      <c r="E444" s="4">
        <f>-SUMIFS('01_異動主檔'!$F:$F,'01_異動主檔'!$B:$B,106,'01_異動主檔'!$D:$D,A444,'01_異動主檔'!$E:$E,"移出")</f>
        <v/>
      </c>
      <c r="F444" s="4">
        <f>SUMIFS('01_異動主檔'!$F:$F,'01_異動主檔'!$B:$B,106,'01_異動主檔'!$D:$D,A444,'01_異動主檔'!$E:$E,"新增")</f>
        <v/>
      </c>
      <c r="G444" s="4">
        <f>-SUMIFS('01_異動主檔'!$F:$F,'01_異動主檔'!$B:$B,106,'01_異動主檔'!$D:$D,A444,'01_異動主檔'!$E:$E,"減列")</f>
        <v/>
      </c>
      <c r="H444" s="4">
        <f>-SUMIFS('01_異動主檔'!$F:$F,'01_異動主檔'!$B:$B,106,'01_異動主檔'!$D:$D,A444,'01_異動主檔'!$E:$E,"精簡")</f>
        <v/>
      </c>
      <c r="I444" s="8">
        <f>C444+D444+E444+F444+G444+H444</f>
        <v/>
      </c>
    </row>
    <row r="445" ht="18" customHeight="1">
      <c r="A445" s="3" t="inlineStr">
        <is>
          <t>台北分局</t>
        </is>
      </c>
      <c r="B445" s="4" t="n">
        <v>107</v>
      </c>
      <c r="C445" s="8">
        <f>I444</f>
        <v/>
      </c>
      <c r="D445" s="4">
        <f>SUMIFS('01_異動主檔'!$F:$F,'01_異動主檔'!$B:$B,107,'01_異動主檔'!$D:$D,A445,'01_異動主檔'!$E:$E,"移入")</f>
        <v/>
      </c>
      <c r="E445" s="4">
        <f>-SUMIFS('01_異動主檔'!$F:$F,'01_異動主檔'!$B:$B,107,'01_異動主檔'!$D:$D,A445,'01_異動主檔'!$E:$E,"移出")</f>
        <v/>
      </c>
      <c r="F445" s="4">
        <f>SUMIFS('01_異動主檔'!$F:$F,'01_異動主檔'!$B:$B,107,'01_異動主檔'!$D:$D,A445,'01_異動主檔'!$E:$E,"新增")</f>
        <v/>
      </c>
      <c r="G445" s="4">
        <f>-SUMIFS('01_異動主檔'!$F:$F,'01_異動主檔'!$B:$B,107,'01_異動主檔'!$D:$D,A445,'01_異動主檔'!$E:$E,"減列")</f>
        <v/>
      </c>
      <c r="H445" s="4">
        <f>-SUMIFS('01_異動主檔'!$F:$F,'01_異動主檔'!$B:$B,107,'01_異動主檔'!$D:$D,A445,'01_異動主檔'!$E:$E,"精簡")</f>
        <v/>
      </c>
      <c r="I445" s="8">
        <f>C445+D445+E445+F445+G445+H445</f>
        <v/>
      </c>
    </row>
    <row r="446" ht="18" customHeight="1">
      <c r="A446" s="5" t="inlineStr">
        <is>
          <t>台北分局</t>
        </is>
      </c>
      <c r="B446" s="6" t="n">
        <v>108</v>
      </c>
      <c r="C446" s="8">
        <f>I445</f>
        <v/>
      </c>
      <c r="D446" s="4">
        <f>SUMIFS('01_異動主檔'!$F:$F,'01_異動主檔'!$B:$B,108,'01_異動主檔'!$D:$D,A446,'01_異動主檔'!$E:$E,"移入")</f>
        <v/>
      </c>
      <c r="E446" s="4">
        <f>-SUMIFS('01_異動主檔'!$F:$F,'01_異動主檔'!$B:$B,108,'01_異動主檔'!$D:$D,A446,'01_異動主檔'!$E:$E,"移出")</f>
        <v/>
      </c>
      <c r="F446" s="4">
        <f>SUMIFS('01_異動主檔'!$F:$F,'01_異動主檔'!$B:$B,108,'01_異動主檔'!$D:$D,A446,'01_異動主檔'!$E:$E,"新增")</f>
        <v/>
      </c>
      <c r="G446" s="4">
        <f>-SUMIFS('01_異動主檔'!$F:$F,'01_異動主檔'!$B:$B,108,'01_異動主檔'!$D:$D,A446,'01_異動主檔'!$E:$E,"減列")</f>
        <v/>
      </c>
      <c r="H446" s="4">
        <f>-SUMIFS('01_異動主檔'!$F:$F,'01_異動主檔'!$B:$B,108,'01_異動主檔'!$D:$D,A446,'01_異動主檔'!$E:$E,"精簡")</f>
        <v/>
      </c>
      <c r="I446" s="8">
        <f>C446+D446+E446+F446+G446+H446</f>
        <v/>
      </c>
    </row>
    <row r="447" ht="18" customHeight="1">
      <c r="A447" s="3" t="inlineStr">
        <is>
          <t>台北分局</t>
        </is>
      </c>
      <c r="B447" s="4" t="n">
        <v>109</v>
      </c>
      <c r="C447" s="8">
        <f>I446</f>
        <v/>
      </c>
      <c r="D447" s="4">
        <f>SUMIFS('01_異動主檔'!$F:$F,'01_異動主檔'!$B:$B,109,'01_異動主檔'!$D:$D,A447,'01_異動主檔'!$E:$E,"移入")</f>
        <v/>
      </c>
      <c r="E447" s="4">
        <f>-SUMIFS('01_異動主檔'!$F:$F,'01_異動主檔'!$B:$B,109,'01_異動主檔'!$D:$D,A447,'01_異動主檔'!$E:$E,"移出")</f>
        <v/>
      </c>
      <c r="F447" s="4">
        <f>SUMIFS('01_異動主檔'!$F:$F,'01_異動主檔'!$B:$B,109,'01_異動主檔'!$D:$D,A447,'01_異動主檔'!$E:$E,"新增")</f>
        <v/>
      </c>
      <c r="G447" s="4">
        <f>-SUMIFS('01_異動主檔'!$F:$F,'01_異動主檔'!$B:$B,109,'01_異動主檔'!$D:$D,A447,'01_異動主檔'!$E:$E,"減列")</f>
        <v/>
      </c>
      <c r="H447" s="4">
        <f>-SUMIFS('01_異動主檔'!$F:$F,'01_異動主檔'!$B:$B,109,'01_異動主檔'!$D:$D,A447,'01_異動主檔'!$E:$E,"精簡")</f>
        <v/>
      </c>
      <c r="I447" s="8">
        <f>C447+D447+E447+F447+G447+H447</f>
        <v/>
      </c>
    </row>
    <row r="448" ht="18" customHeight="1">
      <c r="A448" s="5" t="inlineStr">
        <is>
          <t>台北分局</t>
        </is>
      </c>
      <c r="B448" s="6" t="n">
        <v>110</v>
      </c>
      <c r="C448" s="8">
        <f>I447</f>
        <v/>
      </c>
      <c r="D448" s="4">
        <f>SUMIFS('01_異動主檔'!$F:$F,'01_異動主檔'!$B:$B,110,'01_異動主檔'!$D:$D,A448,'01_異動主檔'!$E:$E,"移入")</f>
        <v/>
      </c>
      <c r="E448" s="4">
        <f>-SUMIFS('01_異動主檔'!$F:$F,'01_異動主檔'!$B:$B,110,'01_異動主檔'!$D:$D,A448,'01_異動主檔'!$E:$E,"移出")</f>
        <v/>
      </c>
      <c r="F448" s="4">
        <f>SUMIFS('01_異動主檔'!$F:$F,'01_異動主檔'!$B:$B,110,'01_異動主檔'!$D:$D,A448,'01_異動主檔'!$E:$E,"新增")</f>
        <v/>
      </c>
      <c r="G448" s="4">
        <f>-SUMIFS('01_異動主檔'!$F:$F,'01_異動主檔'!$B:$B,110,'01_異動主檔'!$D:$D,A448,'01_異動主檔'!$E:$E,"減列")</f>
        <v/>
      </c>
      <c r="H448" s="4">
        <f>-SUMIFS('01_異動主檔'!$F:$F,'01_異動主檔'!$B:$B,110,'01_異動主檔'!$D:$D,A448,'01_異動主檔'!$E:$E,"精簡")</f>
        <v/>
      </c>
      <c r="I448" s="8">
        <f>C448+D448+E448+F448+G448+H448</f>
        <v/>
      </c>
    </row>
    <row r="449" ht="18" customHeight="1">
      <c r="A449" s="3" t="inlineStr">
        <is>
          <t>台北分局</t>
        </is>
      </c>
      <c r="B449" s="4" t="n">
        <v>111</v>
      </c>
      <c r="C449" s="8">
        <f>I448</f>
        <v/>
      </c>
      <c r="D449" s="4">
        <f>SUMIFS('01_異動主檔'!$F:$F,'01_異動主檔'!$B:$B,111,'01_異動主檔'!$D:$D,A449,'01_異動主檔'!$E:$E,"移入")</f>
        <v/>
      </c>
      <c r="E449" s="4">
        <f>-SUMIFS('01_異動主檔'!$F:$F,'01_異動主檔'!$B:$B,111,'01_異動主檔'!$D:$D,A449,'01_異動主檔'!$E:$E,"移出")</f>
        <v/>
      </c>
      <c r="F449" s="4">
        <f>SUMIFS('01_異動主檔'!$F:$F,'01_異動主檔'!$B:$B,111,'01_異動主檔'!$D:$D,A449,'01_異動主檔'!$E:$E,"新增")</f>
        <v/>
      </c>
      <c r="G449" s="4">
        <f>-SUMIFS('01_異動主檔'!$F:$F,'01_異動主檔'!$B:$B,111,'01_異動主檔'!$D:$D,A449,'01_異動主檔'!$E:$E,"減列")</f>
        <v/>
      </c>
      <c r="H449" s="4">
        <f>-SUMIFS('01_異動主檔'!$F:$F,'01_異動主檔'!$B:$B,111,'01_異動主檔'!$D:$D,A449,'01_異動主檔'!$E:$E,"精簡")</f>
        <v/>
      </c>
      <c r="I449" s="8">
        <f>C449+D449+E449+F449+G449+H449</f>
        <v/>
      </c>
    </row>
    <row r="450" ht="18" customHeight="1">
      <c r="A450" s="5" t="inlineStr">
        <is>
          <t>台北分局</t>
        </is>
      </c>
      <c r="B450" s="6" t="n">
        <v>112</v>
      </c>
      <c r="C450" s="8">
        <f>I449</f>
        <v/>
      </c>
      <c r="D450" s="4">
        <f>SUMIFS('01_異動主檔'!$F:$F,'01_異動主檔'!$B:$B,112,'01_異動主檔'!$D:$D,A450,'01_異動主檔'!$E:$E,"移入")</f>
        <v/>
      </c>
      <c r="E450" s="4">
        <f>-SUMIFS('01_異動主檔'!$F:$F,'01_異動主檔'!$B:$B,112,'01_異動主檔'!$D:$D,A450,'01_異動主檔'!$E:$E,"移出")</f>
        <v/>
      </c>
      <c r="F450" s="4">
        <f>SUMIFS('01_異動主檔'!$F:$F,'01_異動主檔'!$B:$B,112,'01_異動主檔'!$D:$D,A450,'01_異動主檔'!$E:$E,"新增")</f>
        <v/>
      </c>
      <c r="G450" s="4">
        <f>-SUMIFS('01_異動主檔'!$F:$F,'01_異動主檔'!$B:$B,112,'01_異動主檔'!$D:$D,A450,'01_異動主檔'!$E:$E,"減列")</f>
        <v/>
      </c>
      <c r="H450" s="4">
        <f>-SUMIFS('01_異動主檔'!$F:$F,'01_異動主檔'!$B:$B,112,'01_異動主檔'!$D:$D,A450,'01_異動主檔'!$E:$E,"精簡")</f>
        <v/>
      </c>
      <c r="I450" s="8">
        <f>C450+D450+E450+F450+G450+H450</f>
        <v/>
      </c>
    </row>
    <row r="451" ht="18" customHeight="1">
      <c r="A451" s="3" t="inlineStr">
        <is>
          <t>台北分局</t>
        </is>
      </c>
      <c r="B451" s="4" t="n">
        <v>113</v>
      </c>
      <c r="C451" s="8">
        <f>I450</f>
        <v/>
      </c>
      <c r="D451" s="4">
        <f>SUMIFS('01_異動主檔'!$F:$F,'01_異動主檔'!$B:$B,113,'01_異動主檔'!$D:$D,A451,'01_異動主檔'!$E:$E,"移入")</f>
        <v/>
      </c>
      <c r="E451" s="4">
        <f>-SUMIFS('01_異動主檔'!$F:$F,'01_異動主檔'!$B:$B,113,'01_異動主檔'!$D:$D,A451,'01_異動主檔'!$E:$E,"移出")</f>
        <v/>
      </c>
      <c r="F451" s="4">
        <f>SUMIFS('01_異動主檔'!$F:$F,'01_異動主檔'!$B:$B,113,'01_異動主檔'!$D:$D,A451,'01_異動主檔'!$E:$E,"新增")</f>
        <v/>
      </c>
      <c r="G451" s="4">
        <f>-SUMIFS('01_異動主檔'!$F:$F,'01_異動主檔'!$B:$B,113,'01_異動主檔'!$D:$D,A451,'01_異動主檔'!$E:$E,"減列")</f>
        <v/>
      </c>
      <c r="H451" s="4">
        <f>-SUMIFS('01_異動主檔'!$F:$F,'01_異動主檔'!$B:$B,113,'01_異動主檔'!$D:$D,A451,'01_異動主檔'!$E:$E,"精簡")</f>
        <v/>
      </c>
      <c r="I451" s="8">
        <f>C451+D451+E451+F451+G451+H451</f>
        <v/>
      </c>
    </row>
    <row r="452" ht="18" customHeight="1">
      <c r="A452" s="5" t="inlineStr">
        <is>
          <t>台北分局</t>
        </is>
      </c>
      <c r="B452" s="6" t="n">
        <v>114</v>
      </c>
      <c r="C452" s="8">
        <f>I451</f>
        <v/>
      </c>
      <c r="D452" s="4">
        <f>SUMIFS('01_異動主檔'!$F:$F,'01_異動主檔'!$B:$B,114,'01_異動主檔'!$D:$D,A452,'01_異動主檔'!$E:$E,"移入")</f>
        <v/>
      </c>
      <c r="E452" s="4">
        <f>-SUMIFS('01_異動主檔'!$F:$F,'01_異動主檔'!$B:$B,114,'01_異動主檔'!$D:$D,A452,'01_異動主檔'!$E:$E,"移出")</f>
        <v/>
      </c>
      <c r="F452" s="4">
        <f>SUMIFS('01_異動主檔'!$F:$F,'01_異動主檔'!$B:$B,114,'01_異動主檔'!$D:$D,A452,'01_異動主檔'!$E:$E,"新增")</f>
        <v/>
      </c>
      <c r="G452" s="4">
        <f>-SUMIFS('01_異動主檔'!$F:$F,'01_異動主檔'!$B:$B,114,'01_異動主檔'!$D:$D,A452,'01_異動主檔'!$E:$E,"減列")</f>
        <v/>
      </c>
      <c r="H452" s="4">
        <f>-SUMIFS('01_異動主檔'!$F:$F,'01_異動主檔'!$B:$B,114,'01_異動主檔'!$D:$D,A452,'01_異動主檔'!$E:$E,"精簡")</f>
        <v/>
      </c>
      <c r="I452" s="8">
        <f>C452+D452+E452+F452+G452+H452</f>
        <v/>
      </c>
    </row>
    <row r="453" ht="18" customHeight="1">
      <c r="A453" s="3" t="inlineStr">
        <is>
          <t>台北分局</t>
        </is>
      </c>
      <c r="B453" s="4" t="n">
        <v>115</v>
      </c>
      <c r="C453" s="8">
        <f>I452</f>
        <v/>
      </c>
      <c r="D453" s="4">
        <f>SUMIFS('01_異動主檔'!$F:$F,'01_異動主檔'!$B:$B,115,'01_異動主檔'!$D:$D,A453,'01_異動主檔'!$E:$E,"移入")</f>
        <v/>
      </c>
      <c r="E453" s="4">
        <f>-SUMIFS('01_異動主檔'!$F:$F,'01_異動主檔'!$B:$B,115,'01_異動主檔'!$D:$D,A453,'01_異動主檔'!$E:$E,"移出")</f>
        <v/>
      </c>
      <c r="F453" s="4">
        <f>SUMIFS('01_異動主檔'!$F:$F,'01_異動主檔'!$B:$B,115,'01_異動主檔'!$D:$D,A453,'01_異動主檔'!$E:$E,"新增")</f>
        <v/>
      </c>
      <c r="G453" s="4">
        <f>-SUMIFS('01_異動主檔'!$F:$F,'01_異動主檔'!$B:$B,115,'01_異動主檔'!$D:$D,A453,'01_異動主檔'!$E:$E,"減列")</f>
        <v/>
      </c>
      <c r="H453" s="4">
        <f>-SUMIFS('01_異動主檔'!$F:$F,'01_異動主檔'!$B:$B,115,'01_異動主檔'!$D:$D,A453,'01_異動主檔'!$E:$E,"精簡")</f>
        <v/>
      </c>
      <c r="I453" s="8">
        <f>C453+D453+E453+F453+G453+H453</f>
        <v/>
      </c>
    </row>
    <row r="454" ht="18" customHeight="1">
      <c r="A454" s="5" t="inlineStr">
        <is>
          <t>台北分局</t>
        </is>
      </c>
      <c r="B454" s="6" t="n">
        <v>116</v>
      </c>
      <c r="C454" s="8">
        <f>I453</f>
        <v/>
      </c>
      <c r="D454" s="4">
        <f>SUMIFS('01_異動主檔'!$F:$F,'01_異動主檔'!$B:$B,116,'01_異動主檔'!$D:$D,A454,'01_異動主檔'!$E:$E,"移入")</f>
        <v/>
      </c>
      <c r="E454" s="4">
        <f>-SUMIFS('01_異動主檔'!$F:$F,'01_異動主檔'!$B:$B,116,'01_異動主檔'!$D:$D,A454,'01_異動主檔'!$E:$E,"移出")</f>
        <v/>
      </c>
      <c r="F454" s="4">
        <f>SUMIFS('01_異動主檔'!$F:$F,'01_異動主檔'!$B:$B,116,'01_異動主檔'!$D:$D,A454,'01_異動主檔'!$E:$E,"新增")</f>
        <v/>
      </c>
      <c r="G454" s="4">
        <f>-SUMIFS('01_異動主檔'!$F:$F,'01_異動主檔'!$B:$B,116,'01_異動主檔'!$D:$D,A454,'01_異動主檔'!$E:$E,"減列")</f>
        <v/>
      </c>
      <c r="H454" s="4">
        <f>-SUMIFS('01_異動主檔'!$F:$F,'01_異動主檔'!$B:$B,116,'01_異動主檔'!$D:$D,A454,'01_異動主檔'!$E:$E,"精簡")</f>
        <v/>
      </c>
      <c r="I454" s="8">
        <f>C454+D454+E454+F454+G454+H454</f>
        <v/>
      </c>
    </row>
    <row r="455" ht="18" customHeight="1">
      <c r="A455" s="3" t="inlineStr">
        <is>
          <t>台北分局</t>
        </is>
      </c>
      <c r="B455" s="4" t="n">
        <v>117</v>
      </c>
      <c r="C455" s="8">
        <f>I454</f>
        <v/>
      </c>
      <c r="D455" s="4">
        <f>SUMIFS('01_異動主檔'!$F:$F,'01_異動主檔'!$B:$B,117,'01_異動主檔'!$D:$D,A455,'01_異動主檔'!$E:$E,"移入")</f>
        <v/>
      </c>
      <c r="E455" s="4">
        <f>-SUMIFS('01_異動主檔'!$F:$F,'01_異動主檔'!$B:$B,117,'01_異動主檔'!$D:$D,A455,'01_異動主檔'!$E:$E,"移出")</f>
        <v/>
      </c>
      <c r="F455" s="4">
        <f>SUMIFS('01_異動主檔'!$F:$F,'01_異動主檔'!$B:$B,117,'01_異動主檔'!$D:$D,A455,'01_異動主檔'!$E:$E,"新增")</f>
        <v/>
      </c>
      <c r="G455" s="4">
        <f>-SUMIFS('01_異動主檔'!$F:$F,'01_異動主檔'!$B:$B,117,'01_異動主檔'!$D:$D,A455,'01_異動主檔'!$E:$E,"減列")</f>
        <v/>
      </c>
      <c r="H455" s="4">
        <f>-SUMIFS('01_異動主檔'!$F:$F,'01_異動主檔'!$B:$B,117,'01_異動主檔'!$D:$D,A455,'01_異動主檔'!$E:$E,"精簡")</f>
        <v/>
      </c>
      <c r="I455" s="8">
        <f>C455+D455+E455+F455+G455+H455</f>
        <v/>
      </c>
    </row>
    <row r="456" ht="18" customHeight="1">
      <c r="A456" s="5" t="inlineStr">
        <is>
          <t>台北分局</t>
        </is>
      </c>
      <c r="B456" s="6" t="n">
        <v>118</v>
      </c>
      <c r="C456" s="8">
        <f>I455</f>
        <v/>
      </c>
      <c r="D456" s="4">
        <f>SUMIFS('01_異動主檔'!$F:$F,'01_異動主檔'!$B:$B,118,'01_異動主檔'!$D:$D,A456,'01_異動主檔'!$E:$E,"移入")</f>
        <v/>
      </c>
      <c r="E456" s="4">
        <f>-SUMIFS('01_異動主檔'!$F:$F,'01_異動主檔'!$B:$B,118,'01_異動主檔'!$D:$D,A456,'01_異動主檔'!$E:$E,"移出")</f>
        <v/>
      </c>
      <c r="F456" s="4">
        <f>SUMIFS('01_異動主檔'!$F:$F,'01_異動主檔'!$B:$B,118,'01_異動主檔'!$D:$D,A456,'01_異動主檔'!$E:$E,"新增")</f>
        <v/>
      </c>
      <c r="G456" s="4">
        <f>-SUMIFS('01_異動主檔'!$F:$F,'01_異動主檔'!$B:$B,118,'01_異動主檔'!$D:$D,A456,'01_異動主檔'!$E:$E,"減列")</f>
        <v/>
      </c>
      <c r="H456" s="4">
        <f>-SUMIFS('01_異動主檔'!$F:$F,'01_異動主檔'!$B:$B,118,'01_異動主檔'!$D:$D,A456,'01_異動主檔'!$E:$E,"精簡")</f>
        <v/>
      </c>
      <c r="I456" s="8">
        <f>C456+D456+E456+F456+G456+H456</f>
        <v/>
      </c>
    </row>
    <row r="457" ht="18" customHeight="1">
      <c r="A457" s="3" t="inlineStr">
        <is>
          <t>台北分局</t>
        </is>
      </c>
      <c r="B457" s="4" t="n">
        <v>119</v>
      </c>
      <c r="C457" s="8">
        <f>I456</f>
        <v/>
      </c>
      <c r="D457" s="4">
        <f>SUMIFS('01_異動主檔'!$F:$F,'01_異動主檔'!$B:$B,119,'01_異動主檔'!$D:$D,A457,'01_異動主檔'!$E:$E,"移入")</f>
        <v/>
      </c>
      <c r="E457" s="4">
        <f>-SUMIFS('01_異動主檔'!$F:$F,'01_異動主檔'!$B:$B,119,'01_異動主檔'!$D:$D,A457,'01_異動主檔'!$E:$E,"移出")</f>
        <v/>
      </c>
      <c r="F457" s="4">
        <f>SUMIFS('01_異動主檔'!$F:$F,'01_異動主檔'!$B:$B,119,'01_異動主檔'!$D:$D,A457,'01_異動主檔'!$E:$E,"新增")</f>
        <v/>
      </c>
      <c r="G457" s="4">
        <f>-SUMIFS('01_異動主檔'!$F:$F,'01_異動主檔'!$B:$B,119,'01_異動主檔'!$D:$D,A457,'01_異動主檔'!$E:$E,"減列")</f>
        <v/>
      </c>
      <c r="H457" s="4">
        <f>-SUMIFS('01_異動主檔'!$F:$F,'01_異動主檔'!$B:$B,119,'01_異動主檔'!$D:$D,A457,'01_異動主檔'!$E:$E,"精簡")</f>
        <v/>
      </c>
      <c r="I457" s="8">
        <f>C457+D457+E457+F457+G457+H457</f>
        <v/>
      </c>
    </row>
    <row r="458" ht="18" customHeight="1">
      <c r="A458" s="5" t="inlineStr">
        <is>
          <t>台北分局</t>
        </is>
      </c>
      <c r="B458" s="6" t="n">
        <v>120</v>
      </c>
      <c r="C458" s="8">
        <f>I457</f>
        <v/>
      </c>
      <c r="D458" s="4">
        <f>SUMIFS('01_異動主檔'!$F:$F,'01_異動主檔'!$B:$B,120,'01_異動主檔'!$D:$D,A458,'01_異動主檔'!$E:$E,"移入")</f>
        <v/>
      </c>
      <c r="E458" s="4">
        <f>-SUMIFS('01_異動主檔'!$F:$F,'01_異動主檔'!$B:$B,120,'01_異動主檔'!$D:$D,A458,'01_異動主檔'!$E:$E,"移出")</f>
        <v/>
      </c>
      <c r="F458" s="4">
        <f>SUMIFS('01_異動主檔'!$F:$F,'01_異動主檔'!$B:$B,120,'01_異動主檔'!$D:$D,A458,'01_異動主檔'!$E:$E,"新增")</f>
        <v/>
      </c>
      <c r="G458" s="4">
        <f>-SUMIFS('01_異動主檔'!$F:$F,'01_異動主檔'!$B:$B,120,'01_異動主檔'!$D:$D,A458,'01_異動主檔'!$E:$E,"減列")</f>
        <v/>
      </c>
      <c r="H458" s="4">
        <f>-SUMIFS('01_異動主檔'!$F:$F,'01_異動主檔'!$B:$B,120,'01_異動主檔'!$D:$D,A458,'01_異動主檔'!$E:$E,"精簡")</f>
        <v/>
      </c>
      <c r="I458" s="8">
        <f>C458+D458+E458+F458+G458+H458</f>
        <v/>
      </c>
    </row>
    <row r="459" ht="18" customHeight="1">
      <c r="A459" s="3" t="inlineStr">
        <is>
          <t>台北分局</t>
        </is>
      </c>
      <c r="B459" s="4" t="n">
        <v>121</v>
      </c>
      <c r="C459" s="8">
        <f>I458</f>
        <v/>
      </c>
      <c r="D459" s="4">
        <f>SUMIFS('01_異動主檔'!$F:$F,'01_異動主檔'!$B:$B,121,'01_異動主檔'!$D:$D,A459,'01_異動主檔'!$E:$E,"移入")</f>
        <v/>
      </c>
      <c r="E459" s="4">
        <f>-SUMIFS('01_異動主檔'!$F:$F,'01_異動主檔'!$B:$B,121,'01_異動主檔'!$D:$D,A459,'01_異動主檔'!$E:$E,"移出")</f>
        <v/>
      </c>
      <c r="F459" s="4">
        <f>SUMIFS('01_異動主檔'!$F:$F,'01_異動主檔'!$B:$B,121,'01_異動主檔'!$D:$D,A459,'01_異動主檔'!$E:$E,"新增")</f>
        <v/>
      </c>
      <c r="G459" s="4">
        <f>-SUMIFS('01_異動主檔'!$F:$F,'01_異動主檔'!$B:$B,121,'01_異動主檔'!$D:$D,A459,'01_異動主檔'!$E:$E,"減列")</f>
        <v/>
      </c>
      <c r="H459" s="4">
        <f>-SUMIFS('01_異動主檔'!$F:$F,'01_異動主檔'!$B:$B,121,'01_異動主檔'!$D:$D,A459,'01_異動主檔'!$E:$E,"精簡")</f>
        <v/>
      </c>
      <c r="I459" s="8">
        <f>C459+D459+E459+F459+G459+H459</f>
        <v/>
      </c>
    </row>
    <row r="460" ht="18" customHeight="1">
      <c r="A460" s="5" t="inlineStr">
        <is>
          <t>台北分局</t>
        </is>
      </c>
      <c r="B460" s="6" t="n">
        <v>122</v>
      </c>
      <c r="C460" s="8">
        <f>I459</f>
        <v/>
      </c>
      <c r="D460" s="4">
        <f>SUMIFS('01_異動主檔'!$F:$F,'01_異動主檔'!$B:$B,122,'01_異動主檔'!$D:$D,A460,'01_異動主檔'!$E:$E,"移入")</f>
        <v/>
      </c>
      <c r="E460" s="4">
        <f>-SUMIFS('01_異動主檔'!$F:$F,'01_異動主檔'!$B:$B,122,'01_異動主檔'!$D:$D,A460,'01_異動主檔'!$E:$E,"移出")</f>
        <v/>
      </c>
      <c r="F460" s="4">
        <f>SUMIFS('01_異動主檔'!$F:$F,'01_異動主檔'!$B:$B,122,'01_異動主檔'!$D:$D,A460,'01_異動主檔'!$E:$E,"新增")</f>
        <v/>
      </c>
      <c r="G460" s="4">
        <f>-SUMIFS('01_異動主檔'!$F:$F,'01_異動主檔'!$B:$B,122,'01_異動主檔'!$D:$D,A460,'01_異動主檔'!$E:$E,"減列")</f>
        <v/>
      </c>
      <c r="H460" s="4">
        <f>-SUMIFS('01_異動主檔'!$F:$F,'01_異動主檔'!$B:$B,122,'01_異動主檔'!$D:$D,A460,'01_異動主檔'!$E:$E,"精簡")</f>
        <v/>
      </c>
      <c r="I460" s="8">
        <f>C460+D460+E460+F460+G460+H460</f>
        <v/>
      </c>
    </row>
    <row r="461" ht="18" customHeight="1">
      <c r="A461" s="3" t="inlineStr">
        <is>
          <t>台北分局</t>
        </is>
      </c>
      <c r="B461" s="4" t="n">
        <v>123</v>
      </c>
      <c r="C461" s="8">
        <f>I460</f>
        <v/>
      </c>
      <c r="D461" s="4">
        <f>SUMIFS('01_異動主檔'!$F:$F,'01_異動主檔'!$B:$B,123,'01_異動主檔'!$D:$D,A461,'01_異動主檔'!$E:$E,"移入")</f>
        <v/>
      </c>
      <c r="E461" s="4">
        <f>-SUMIFS('01_異動主檔'!$F:$F,'01_異動主檔'!$B:$B,123,'01_異動主檔'!$D:$D,A461,'01_異動主檔'!$E:$E,"移出")</f>
        <v/>
      </c>
      <c r="F461" s="4">
        <f>SUMIFS('01_異動主檔'!$F:$F,'01_異動主檔'!$B:$B,123,'01_異動主檔'!$D:$D,A461,'01_異動主檔'!$E:$E,"新增")</f>
        <v/>
      </c>
      <c r="G461" s="4">
        <f>-SUMIFS('01_異動主檔'!$F:$F,'01_異動主檔'!$B:$B,123,'01_異動主檔'!$D:$D,A461,'01_異動主檔'!$E:$E,"減列")</f>
        <v/>
      </c>
      <c r="H461" s="4">
        <f>-SUMIFS('01_異動主檔'!$F:$F,'01_異動主檔'!$B:$B,123,'01_異動主檔'!$D:$D,A461,'01_異動主檔'!$E:$E,"精簡")</f>
        <v/>
      </c>
      <c r="I461" s="8">
        <f>C461+D461+E461+F461+G461+H461</f>
        <v/>
      </c>
    </row>
    <row r="462" ht="18" customHeight="1">
      <c r="A462" s="5" t="inlineStr">
        <is>
          <t>台北分局</t>
        </is>
      </c>
      <c r="B462" s="6" t="n">
        <v>124</v>
      </c>
      <c r="C462" s="8">
        <f>I461</f>
        <v/>
      </c>
      <c r="D462" s="4">
        <f>SUMIFS('01_異動主檔'!$F:$F,'01_異動主檔'!$B:$B,124,'01_異動主檔'!$D:$D,A462,'01_異動主檔'!$E:$E,"移入")</f>
        <v/>
      </c>
      <c r="E462" s="4">
        <f>-SUMIFS('01_異動主檔'!$F:$F,'01_異動主檔'!$B:$B,124,'01_異動主檔'!$D:$D,A462,'01_異動主檔'!$E:$E,"移出")</f>
        <v/>
      </c>
      <c r="F462" s="4">
        <f>SUMIFS('01_異動主檔'!$F:$F,'01_異動主檔'!$B:$B,124,'01_異動主檔'!$D:$D,A462,'01_異動主檔'!$E:$E,"新增")</f>
        <v/>
      </c>
      <c r="G462" s="4">
        <f>-SUMIFS('01_異動主檔'!$F:$F,'01_異動主檔'!$B:$B,124,'01_異動主檔'!$D:$D,A462,'01_異動主檔'!$E:$E,"減列")</f>
        <v/>
      </c>
      <c r="H462" s="4">
        <f>-SUMIFS('01_異動主檔'!$F:$F,'01_異動主檔'!$B:$B,124,'01_異動主檔'!$D:$D,A462,'01_異動主檔'!$E:$E,"精簡")</f>
        <v/>
      </c>
      <c r="I462" s="8">
        <f>C462+D462+E462+F462+G462+H462</f>
        <v/>
      </c>
    </row>
    <row r="463" ht="18" customHeight="1">
      <c r="A463" s="3" t="inlineStr">
        <is>
          <t>台北分局</t>
        </is>
      </c>
      <c r="B463" s="4" t="n">
        <v>125</v>
      </c>
      <c r="C463" s="8">
        <f>I462</f>
        <v/>
      </c>
      <c r="D463" s="4">
        <f>SUMIFS('01_異動主檔'!$F:$F,'01_異動主檔'!$B:$B,125,'01_異動主檔'!$D:$D,A463,'01_異動主檔'!$E:$E,"移入")</f>
        <v/>
      </c>
      <c r="E463" s="4">
        <f>-SUMIFS('01_異動主檔'!$F:$F,'01_異動主檔'!$B:$B,125,'01_異動主檔'!$D:$D,A463,'01_異動主檔'!$E:$E,"移出")</f>
        <v/>
      </c>
      <c r="F463" s="4">
        <f>SUMIFS('01_異動主檔'!$F:$F,'01_異動主檔'!$B:$B,125,'01_異動主檔'!$D:$D,A463,'01_異動主檔'!$E:$E,"新增")</f>
        <v/>
      </c>
      <c r="G463" s="4">
        <f>-SUMIFS('01_異動主檔'!$F:$F,'01_異動主檔'!$B:$B,125,'01_異動主檔'!$D:$D,A463,'01_異動主檔'!$E:$E,"減列")</f>
        <v/>
      </c>
      <c r="H463" s="4">
        <f>-SUMIFS('01_異動主檔'!$F:$F,'01_異動主檔'!$B:$B,125,'01_異動主檔'!$D:$D,A463,'01_異動主檔'!$E:$E,"精簡")</f>
        <v/>
      </c>
      <c r="I463" s="8">
        <f>C463+D463+E463+F463+G463+H463</f>
        <v/>
      </c>
    </row>
    <row r="464" ht="18" customHeight="1">
      <c r="A464" s="5" t="inlineStr">
        <is>
          <t>新北分局</t>
        </is>
      </c>
      <c r="B464" s="6" t="n">
        <v>99</v>
      </c>
      <c r="C464" s="8">
        <f>'02_年初員額設定'!B22</f>
        <v/>
      </c>
      <c r="D464" s="4">
        <f>SUMIFS('01_異動主檔'!$F:$F,'01_異動主檔'!$B:$B,99,'01_異動主檔'!$D:$D,A464,'01_異動主檔'!$E:$E,"移入")</f>
        <v/>
      </c>
      <c r="E464" s="4">
        <f>-SUMIFS('01_異動主檔'!$F:$F,'01_異動主檔'!$B:$B,99,'01_異動主檔'!$D:$D,A464,'01_異動主檔'!$E:$E,"移出")</f>
        <v/>
      </c>
      <c r="F464" s="4">
        <f>SUMIFS('01_異動主檔'!$F:$F,'01_異動主檔'!$B:$B,99,'01_異動主檔'!$D:$D,A464,'01_異動主檔'!$E:$E,"新增")</f>
        <v/>
      </c>
      <c r="G464" s="4">
        <f>-SUMIFS('01_異動主檔'!$F:$F,'01_異動主檔'!$B:$B,99,'01_異動主檔'!$D:$D,A464,'01_異動主檔'!$E:$E,"減列")</f>
        <v/>
      </c>
      <c r="H464" s="4">
        <f>-SUMIFS('01_異動主檔'!$F:$F,'01_異動主檔'!$B:$B,99,'01_異動主檔'!$D:$D,A464,'01_異動主檔'!$E:$E,"精簡")</f>
        <v/>
      </c>
      <c r="I464" s="8">
        <f>C464+D464+E464+F464+G464+H464</f>
        <v/>
      </c>
    </row>
    <row r="465" ht="18" customHeight="1">
      <c r="A465" s="3" t="inlineStr">
        <is>
          <t>新北分局</t>
        </is>
      </c>
      <c r="B465" s="4" t="n">
        <v>100</v>
      </c>
      <c r="C465" s="8">
        <f>I464</f>
        <v/>
      </c>
      <c r="D465" s="4">
        <f>SUMIFS('01_異動主檔'!$F:$F,'01_異動主檔'!$B:$B,100,'01_異動主檔'!$D:$D,A465,'01_異動主檔'!$E:$E,"移入")</f>
        <v/>
      </c>
      <c r="E465" s="4">
        <f>-SUMIFS('01_異動主檔'!$F:$F,'01_異動主檔'!$B:$B,100,'01_異動主檔'!$D:$D,A465,'01_異動主檔'!$E:$E,"移出")</f>
        <v/>
      </c>
      <c r="F465" s="4">
        <f>SUMIFS('01_異動主檔'!$F:$F,'01_異動主檔'!$B:$B,100,'01_異動主檔'!$D:$D,A465,'01_異動主檔'!$E:$E,"新增")</f>
        <v/>
      </c>
      <c r="G465" s="4">
        <f>-SUMIFS('01_異動主檔'!$F:$F,'01_異動主檔'!$B:$B,100,'01_異動主檔'!$D:$D,A465,'01_異動主檔'!$E:$E,"減列")</f>
        <v/>
      </c>
      <c r="H465" s="4">
        <f>-SUMIFS('01_異動主檔'!$F:$F,'01_異動主檔'!$B:$B,100,'01_異動主檔'!$D:$D,A465,'01_異動主檔'!$E:$E,"精簡")</f>
        <v/>
      </c>
      <c r="I465" s="8">
        <f>C465+D465+E465+F465+G465+H465</f>
        <v/>
      </c>
    </row>
    <row r="466" ht="18" customHeight="1">
      <c r="A466" s="5" t="inlineStr">
        <is>
          <t>新北分局</t>
        </is>
      </c>
      <c r="B466" s="6" t="n">
        <v>101</v>
      </c>
      <c r="C466" s="8">
        <f>I465</f>
        <v/>
      </c>
      <c r="D466" s="4">
        <f>SUMIFS('01_異動主檔'!$F:$F,'01_異動主檔'!$B:$B,101,'01_異動主檔'!$D:$D,A466,'01_異動主檔'!$E:$E,"移入")</f>
        <v/>
      </c>
      <c r="E466" s="4">
        <f>-SUMIFS('01_異動主檔'!$F:$F,'01_異動主檔'!$B:$B,101,'01_異動主檔'!$D:$D,A466,'01_異動主檔'!$E:$E,"移出")</f>
        <v/>
      </c>
      <c r="F466" s="4">
        <f>SUMIFS('01_異動主檔'!$F:$F,'01_異動主檔'!$B:$B,101,'01_異動主檔'!$D:$D,A466,'01_異動主檔'!$E:$E,"新增")</f>
        <v/>
      </c>
      <c r="G466" s="4">
        <f>-SUMIFS('01_異動主檔'!$F:$F,'01_異動主檔'!$B:$B,101,'01_異動主檔'!$D:$D,A466,'01_異動主檔'!$E:$E,"減列")</f>
        <v/>
      </c>
      <c r="H466" s="4">
        <f>-SUMIFS('01_異動主檔'!$F:$F,'01_異動主檔'!$B:$B,101,'01_異動主檔'!$D:$D,A466,'01_異動主檔'!$E:$E,"精簡")</f>
        <v/>
      </c>
      <c r="I466" s="8">
        <f>C466+D466+E466+F466+G466+H466</f>
        <v/>
      </c>
    </row>
    <row r="467" ht="18" customHeight="1">
      <c r="A467" s="3" t="inlineStr">
        <is>
          <t>新北分局</t>
        </is>
      </c>
      <c r="B467" s="4" t="n">
        <v>102</v>
      </c>
      <c r="C467" s="8">
        <f>I466</f>
        <v/>
      </c>
      <c r="D467" s="4">
        <f>SUMIFS('01_異動主檔'!$F:$F,'01_異動主檔'!$B:$B,102,'01_異動主檔'!$D:$D,A467,'01_異動主檔'!$E:$E,"移入")</f>
        <v/>
      </c>
      <c r="E467" s="4">
        <f>-SUMIFS('01_異動主檔'!$F:$F,'01_異動主檔'!$B:$B,102,'01_異動主檔'!$D:$D,A467,'01_異動主檔'!$E:$E,"移出")</f>
        <v/>
      </c>
      <c r="F467" s="4">
        <f>SUMIFS('01_異動主檔'!$F:$F,'01_異動主檔'!$B:$B,102,'01_異動主檔'!$D:$D,A467,'01_異動主檔'!$E:$E,"新增")</f>
        <v/>
      </c>
      <c r="G467" s="4">
        <f>-SUMIFS('01_異動主檔'!$F:$F,'01_異動主檔'!$B:$B,102,'01_異動主檔'!$D:$D,A467,'01_異動主檔'!$E:$E,"減列")</f>
        <v/>
      </c>
      <c r="H467" s="4">
        <f>-SUMIFS('01_異動主檔'!$F:$F,'01_異動主檔'!$B:$B,102,'01_異動主檔'!$D:$D,A467,'01_異動主檔'!$E:$E,"精簡")</f>
        <v/>
      </c>
      <c r="I467" s="8">
        <f>C467+D467+E467+F467+G467+H467</f>
        <v/>
      </c>
    </row>
    <row r="468" ht="18" customHeight="1">
      <c r="A468" s="5" t="inlineStr">
        <is>
          <t>新北分局</t>
        </is>
      </c>
      <c r="B468" s="6" t="n">
        <v>103</v>
      </c>
      <c r="C468" s="8">
        <f>I467</f>
        <v/>
      </c>
      <c r="D468" s="4">
        <f>SUMIFS('01_異動主檔'!$F:$F,'01_異動主檔'!$B:$B,103,'01_異動主檔'!$D:$D,A468,'01_異動主檔'!$E:$E,"移入")</f>
        <v/>
      </c>
      <c r="E468" s="4">
        <f>-SUMIFS('01_異動主檔'!$F:$F,'01_異動主檔'!$B:$B,103,'01_異動主檔'!$D:$D,A468,'01_異動主檔'!$E:$E,"移出")</f>
        <v/>
      </c>
      <c r="F468" s="4">
        <f>SUMIFS('01_異動主檔'!$F:$F,'01_異動主檔'!$B:$B,103,'01_異動主檔'!$D:$D,A468,'01_異動主檔'!$E:$E,"新增")</f>
        <v/>
      </c>
      <c r="G468" s="4">
        <f>-SUMIFS('01_異動主檔'!$F:$F,'01_異動主檔'!$B:$B,103,'01_異動主檔'!$D:$D,A468,'01_異動主檔'!$E:$E,"減列")</f>
        <v/>
      </c>
      <c r="H468" s="4">
        <f>-SUMIFS('01_異動主檔'!$F:$F,'01_異動主檔'!$B:$B,103,'01_異動主檔'!$D:$D,A468,'01_異動主檔'!$E:$E,"精簡")</f>
        <v/>
      </c>
      <c r="I468" s="8">
        <f>C468+D468+E468+F468+G468+H468</f>
        <v/>
      </c>
    </row>
    <row r="469" ht="18" customHeight="1">
      <c r="A469" s="3" t="inlineStr">
        <is>
          <t>新北分局</t>
        </is>
      </c>
      <c r="B469" s="4" t="n">
        <v>104</v>
      </c>
      <c r="C469" s="8">
        <f>I468</f>
        <v/>
      </c>
      <c r="D469" s="4">
        <f>SUMIFS('01_異動主檔'!$F:$F,'01_異動主檔'!$B:$B,104,'01_異動主檔'!$D:$D,A469,'01_異動主檔'!$E:$E,"移入")</f>
        <v/>
      </c>
      <c r="E469" s="4">
        <f>-SUMIFS('01_異動主檔'!$F:$F,'01_異動主檔'!$B:$B,104,'01_異動主檔'!$D:$D,A469,'01_異動主檔'!$E:$E,"移出")</f>
        <v/>
      </c>
      <c r="F469" s="4">
        <f>SUMIFS('01_異動主檔'!$F:$F,'01_異動主檔'!$B:$B,104,'01_異動主檔'!$D:$D,A469,'01_異動主檔'!$E:$E,"新增")</f>
        <v/>
      </c>
      <c r="G469" s="4">
        <f>-SUMIFS('01_異動主檔'!$F:$F,'01_異動主檔'!$B:$B,104,'01_異動主檔'!$D:$D,A469,'01_異動主檔'!$E:$E,"減列")</f>
        <v/>
      </c>
      <c r="H469" s="4">
        <f>-SUMIFS('01_異動主檔'!$F:$F,'01_異動主檔'!$B:$B,104,'01_異動主檔'!$D:$D,A469,'01_異動主檔'!$E:$E,"精簡")</f>
        <v/>
      </c>
      <c r="I469" s="8">
        <f>C469+D469+E469+F469+G469+H469</f>
        <v/>
      </c>
    </row>
    <row r="470" ht="18" customHeight="1">
      <c r="A470" s="5" t="inlineStr">
        <is>
          <t>新北分局</t>
        </is>
      </c>
      <c r="B470" s="6" t="n">
        <v>105</v>
      </c>
      <c r="C470" s="8">
        <f>I469</f>
        <v/>
      </c>
      <c r="D470" s="4">
        <f>SUMIFS('01_異動主檔'!$F:$F,'01_異動主檔'!$B:$B,105,'01_異動主檔'!$D:$D,A470,'01_異動主檔'!$E:$E,"移入")</f>
        <v/>
      </c>
      <c r="E470" s="4">
        <f>-SUMIFS('01_異動主檔'!$F:$F,'01_異動主檔'!$B:$B,105,'01_異動主檔'!$D:$D,A470,'01_異動主檔'!$E:$E,"移出")</f>
        <v/>
      </c>
      <c r="F470" s="4">
        <f>SUMIFS('01_異動主檔'!$F:$F,'01_異動主檔'!$B:$B,105,'01_異動主檔'!$D:$D,A470,'01_異動主檔'!$E:$E,"新增")</f>
        <v/>
      </c>
      <c r="G470" s="4">
        <f>-SUMIFS('01_異動主檔'!$F:$F,'01_異動主檔'!$B:$B,105,'01_異動主檔'!$D:$D,A470,'01_異動主檔'!$E:$E,"減列")</f>
        <v/>
      </c>
      <c r="H470" s="4">
        <f>-SUMIFS('01_異動主檔'!$F:$F,'01_異動主檔'!$B:$B,105,'01_異動主檔'!$D:$D,A470,'01_異動主檔'!$E:$E,"精簡")</f>
        <v/>
      </c>
      <c r="I470" s="8">
        <f>C470+D470+E470+F470+G470+H470</f>
        <v/>
      </c>
    </row>
    <row r="471" ht="18" customHeight="1">
      <c r="A471" s="3" t="inlineStr">
        <is>
          <t>新北分局</t>
        </is>
      </c>
      <c r="B471" s="4" t="n">
        <v>106</v>
      </c>
      <c r="C471" s="8">
        <f>I470</f>
        <v/>
      </c>
      <c r="D471" s="4">
        <f>SUMIFS('01_異動主檔'!$F:$F,'01_異動主檔'!$B:$B,106,'01_異動主檔'!$D:$D,A471,'01_異動主檔'!$E:$E,"移入")</f>
        <v/>
      </c>
      <c r="E471" s="4">
        <f>-SUMIFS('01_異動主檔'!$F:$F,'01_異動主檔'!$B:$B,106,'01_異動主檔'!$D:$D,A471,'01_異動主檔'!$E:$E,"移出")</f>
        <v/>
      </c>
      <c r="F471" s="4">
        <f>SUMIFS('01_異動主檔'!$F:$F,'01_異動主檔'!$B:$B,106,'01_異動主檔'!$D:$D,A471,'01_異動主檔'!$E:$E,"新增")</f>
        <v/>
      </c>
      <c r="G471" s="4">
        <f>-SUMIFS('01_異動主檔'!$F:$F,'01_異動主檔'!$B:$B,106,'01_異動主檔'!$D:$D,A471,'01_異動主檔'!$E:$E,"減列")</f>
        <v/>
      </c>
      <c r="H471" s="4">
        <f>-SUMIFS('01_異動主檔'!$F:$F,'01_異動主檔'!$B:$B,106,'01_異動主檔'!$D:$D,A471,'01_異動主檔'!$E:$E,"精簡")</f>
        <v/>
      </c>
      <c r="I471" s="8">
        <f>C471+D471+E471+F471+G471+H471</f>
        <v/>
      </c>
    </row>
    <row r="472" ht="18" customHeight="1">
      <c r="A472" s="5" t="inlineStr">
        <is>
          <t>新北分局</t>
        </is>
      </c>
      <c r="B472" s="6" t="n">
        <v>107</v>
      </c>
      <c r="C472" s="8">
        <f>I471</f>
        <v/>
      </c>
      <c r="D472" s="4">
        <f>SUMIFS('01_異動主檔'!$F:$F,'01_異動主檔'!$B:$B,107,'01_異動主檔'!$D:$D,A472,'01_異動主檔'!$E:$E,"移入")</f>
        <v/>
      </c>
      <c r="E472" s="4">
        <f>-SUMIFS('01_異動主檔'!$F:$F,'01_異動主檔'!$B:$B,107,'01_異動主檔'!$D:$D,A472,'01_異動主檔'!$E:$E,"移出")</f>
        <v/>
      </c>
      <c r="F472" s="4">
        <f>SUMIFS('01_異動主檔'!$F:$F,'01_異動主檔'!$B:$B,107,'01_異動主檔'!$D:$D,A472,'01_異動主檔'!$E:$E,"新增")</f>
        <v/>
      </c>
      <c r="G472" s="4">
        <f>-SUMIFS('01_異動主檔'!$F:$F,'01_異動主檔'!$B:$B,107,'01_異動主檔'!$D:$D,A472,'01_異動主檔'!$E:$E,"減列")</f>
        <v/>
      </c>
      <c r="H472" s="4">
        <f>-SUMIFS('01_異動主檔'!$F:$F,'01_異動主檔'!$B:$B,107,'01_異動主檔'!$D:$D,A472,'01_異動主檔'!$E:$E,"精簡")</f>
        <v/>
      </c>
      <c r="I472" s="8">
        <f>C472+D472+E472+F472+G472+H472</f>
        <v/>
      </c>
    </row>
    <row r="473" ht="18" customHeight="1">
      <c r="A473" s="3" t="inlineStr">
        <is>
          <t>新北分局</t>
        </is>
      </c>
      <c r="B473" s="4" t="n">
        <v>108</v>
      </c>
      <c r="C473" s="8">
        <f>I472</f>
        <v/>
      </c>
      <c r="D473" s="4">
        <f>SUMIFS('01_異動主檔'!$F:$F,'01_異動主檔'!$B:$B,108,'01_異動主檔'!$D:$D,A473,'01_異動主檔'!$E:$E,"移入")</f>
        <v/>
      </c>
      <c r="E473" s="4">
        <f>-SUMIFS('01_異動主檔'!$F:$F,'01_異動主檔'!$B:$B,108,'01_異動主檔'!$D:$D,A473,'01_異動主檔'!$E:$E,"移出")</f>
        <v/>
      </c>
      <c r="F473" s="4">
        <f>SUMIFS('01_異動主檔'!$F:$F,'01_異動主檔'!$B:$B,108,'01_異動主檔'!$D:$D,A473,'01_異動主檔'!$E:$E,"新增")</f>
        <v/>
      </c>
      <c r="G473" s="4">
        <f>-SUMIFS('01_異動主檔'!$F:$F,'01_異動主檔'!$B:$B,108,'01_異動主檔'!$D:$D,A473,'01_異動主檔'!$E:$E,"減列")</f>
        <v/>
      </c>
      <c r="H473" s="4">
        <f>-SUMIFS('01_異動主檔'!$F:$F,'01_異動主檔'!$B:$B,108,'01_異動主檔'!$D:$D,A473,'01_異動主檔'!$E:$E,"精簡")</f>
        <v/>
      </c>
      <c r="I473" s="8">
        <f>C473+D473+E473+F473+G473+H473</f>
        <v/>
      </c>
    </row>
    <row r="474" ht="18" customHeight="1">
      <c r="A474" s="5" t="inlineStr">
        <is>
          <t>新北分局</t>
        </is>
      </c>
      <c r="B474" s="6" t="n">
        <v>109</v>
      </c>
      <c r="C474" s="8">
        <f>I473</f>
        <v/>
      </c>
      <c r="D474" s="4">
        <f>SUMIFS('01_異動主檔'!$F:$F,'01_異動主檔'!$B:$B,109,'01_異動主檔'!$D:$D,A474,'01_異動主檔'!$E:$E,"移入")</f>
        <v/>
      </c>
      <c r="E474" s="4">
        <f>-SUMIFS('01_異動主檔'!$F:$F,'01_異動主檔'!$B:$B,109,'01_異動主檔'!$D:$D,A474,'01_異動主檔'!$E:$E,"移出")</f>
        <v/>
      </c>
      <c r="F474" s="4">
        <f>SUMIFS('01_異動主檔'!$F:$F,'01_異動主檔'!$B:$B,109,'01_異動主檔'!$D:$D,A474,'01_異動主檔'!$E:$E,"新增")</f>
        <v/>
      </c>
      <c r="G474" s="4">
        <f>-SUMIFS('01_異動主檔'!$F:$F,'01_異動主檔'!$B:$B,109,'01_異動主檔'!$D:$D,A474,'01_異動主檔'!$E:$E,"減列")</f>
        <v/>
      </c>
      <c r="H474" s="4">
        <f>-SUMIFS('01_異動主檔'!$F:$F,'01_異動主檔'!$B:$B,109,'01_異動主檔'!$D:$D,A474,'01_異動主檔'!$E:$E,"精簡")</f>
        <v/>
      </c>
      <c r="I474" s="8">
        <f>C474+D474+E474+F474+G474+H474</f>
        <v/>
      </c>
    </row>
    <row r="475" ht="18" customHeight="1">
      <c r="A475" s="3" t="inlineStr">
        <is>
          <t>新北分局</t>
        </is>
      </c>
      <c r="B475" s="4" t="n">
        <v>110</v>
      </c>
      <c r="C475" s="8">
        <f>I474</f>
        <v/>
      </c>
      <c r="D475" s="4">
        <f>SUMIFS('01_異動主檔'!$F:$F,'01_異動主檔'!$B:$B,110,'01_異動主檔'!$D:$D,A475,'01_異動主檔'!$E:$E,"移入")</f>
        <v/>
      </c>
      <c r="E475" s="4">
        <f>-SUMIFS('01_異動主檔'!$F:$F,'01_異動主檔'!$B:$B,110,'01_異動主檔'!$D:$D,A475,'01_異動主檔'!$E:$E,"移出")</f>
        <v/>
      </c>
      <c r="F475" s="4">
        <f>SUMIFS('01_異動主檔'!$F:$F,'01_異動主檔'!$B:$B,110,'01_異動主檔'!$D:$D,A475,'01_異動主檔'!$E:$E,"新增")</f>
        <v/>
      </c>
      <c r="G475" s="4">
        <f>-SUMIFS('01_異動主檔'!$F:$F,'01_異動主檔'!$B:$B,110,'01_異動主檔'!$D:$D,A475,'01_異動主檔'!$E:$E,"減列")</f>
        <v/>
      </c>
      <c r="H475" s="4">
        <f>-SUMIFS('01_異動主檔'!$F:$F,'01_異動主檔'!$B:$B,110,'01_異動主檔'!$D:$D,A475,'01_異動主檔'!$E:$E,"精簡")</f>
        <v/>
      </c>
      <c r="I475" s="8">
        <f>C475+D475+E475+F475+G475+H475</f>
        <v/>
      </c>
    </row>
    <row r="476" ht="18" customHeight="1">
      <c r="A476" s="5" t="inlineStr">
        <is>
          <t>新北分局</t>
        </is>
      </c>
      <c r="B476" s="6" t="n">
        <v>111</v>
      </c>
      <c r="C476" s="8">
        <f>I475</f>
        <v/>
      </c>
      <c r="D476" s="4">
        <f>SUMIFS('01_異動主檔'!$F:$F,'01_異動主檔'!$B:$B,111,'01_異動主檔'!$D:$D,A476,'01_異動主檔'!$E:$E,"移入")</f>
        <v/>
      </c>
      <c r="E476" s="4">
        <f>-SUMIFS('01_異動主檔'!$F:$F,'01_異動主檔'!$B:$B,111,'01_異動主檔'!$D:$D,A476,'01_異動主檔'!$E:$E,"移出")</f>
        <v/>
      </c>
      <c r="F476" s="4">
        <f>SUMIFS('01_異動主檔'!$F:$F,'01_異動主檔'!$B:$B,111,'01_異動主檔'!$D:$D,A476,'01_異動主檔'!$E:$E,"新增")</f>
        <v/>
      </c>
      <c r="G476" s="4">
        <f>-SUMIFS('01_異動主檔'!$F:$F,'01_異動主檔'!$B:$B,111,'01_異動主檔'!$D:$D,A476,'01_異動主檔'!$E:$E,"減列")</f>
        <v/>
      </c>
      <c r="H476" s="4">
        <f>-SUMIFS('01_異動主檔'!$F:$F,'01_異動主檔'!$B:$B,111,'01_異動主檔'!$D:$D,A476,'01_異動主檔'!$E:$E,"精簡")</f>
        <v/>
      </c>
      <c r="I476" s="8">
        <f>C476+D476+E476+F476+G476+H476</f>
        <v/>
      </c>
    </row>
    <row r="477" ht="18" customHeight="1">
      <c r="A477" s="3" t="inlineStr">
        <is>
          <t>新北分局</t>
        </is>
      </c>
      <c r="B477" s="4" t="n">
        <v>112</v>
      </c>
      <c r="C477" s="8">
        <f>I476</f>
        <v/>
      </c>
      <c r="D477" s="4">
        <f>SUMIFS('01_異動主檔'!$F:$F,'01_異動主檔'!$B:$B,112,'01_異動主檔'!$D:$D,A477,'01_異動主檔'!$E:$E,"移入")</f>
        <v/>
      </c>
      <c r="E477" s="4">
        <f>-SUMIFS('01_異動主檔'!$F:$F,'01_異動主檔'!$B:$B,112,'01_異動主檔'!$D:$D,A477,'01_異動主檔'!$E:$E,"移出")</f>
        <v/>
      </c>
      <c r="F477" s="4">
        <f>SUMIFS('01_異動主檔'!$F:$F,'01_異動主檔'!$B:$B,112,'01_異動主檔'!$D:$D,A477,'01_異動主檔'!$E:$E,"新增")</f>
        <v/>
      </c>
      <c r="G477" s="4">
        <f>-SUMIFS('01_異動主檔'!$F:$F,'01_異動主檔'!$B:$B,112,'01_異動主檔'!$D:$D,A477,'01_異動主檔'!$E:$E,"減列")</f>
        <v/>
      </c>
      <c r="H477" s="4">
        <f>-SUMIFS('01_異動主檔'!$F:$F,'01_異動主檔'!$B:$B,112,'01_異動主檔'!$D:$D,A477,'01_異動主檔'!$E:$E,"精簡")</f>
        <v/>
      </c>
      <c r="I477" s="8">
        <f>C477+D477+E477+F477+G477+H477</f>
        <v/>
      </c>
    </row>
    <row r="478" ht="18" customHeight="1">
      <c r="A478" s="5" t="inlineStr">
        <is>
          <t>新北分局</t>
        </is>
      </c>
      <c r="B478" s="6" t="n">
        <v>113</v>
      </c>
      <c r="C478" s="8">
        <f>I477</f>
        <v/>
      </c>
      <c r="D478" s="4">
        <f>SUMIFS('01_異動主檔'!$F:$F,'01_異動主檔'!$B:$B,113,'01_異動主檔'!$D:$D,A478,'01_異動主檔'!$E:$E,"移入")</f>
        <v/>
      </c>
      <c r="E478" s="4">
        <f>-SUMIFS('01_異動主檔'!$F:$F,'01_異動主檔'!$B:$B,113,'01_異動主檔'!$D:$D,A478,'01_異動主檔'!$E:$E,"移出")</f>
        <v/>
      </c>
      <c r="F478" s="4">
        <f>SUMIFS('01_異動主檔'!$F:$F,'01_異動主檔'!$B:$B,113,'01_異動主檔'!$D:$D,A478,'01_異動主檔'!$E:$E,"新增")</f>
        <v/>
      </c>
      <c r="G478" s="4">
        <f>-SUMIFS('01_異動主檔'!$F:$F,'01_異動主檔'!$B:$B,113,'01_異動主檔'!$D:$D,A478,'01_異動主檔'!$E:$E,"減列")</f>
        <v/>
      </c>
      <c r="H478" s="4">
        <f>-SUMIFS('01_異動主檔'!$F:$F,'01_異動主檔'!$B:$B,113,'01_異動主檔'!$D:$D,A478,'01_異動主檔'!$E:$E,"精簡")</f>
        <v/>
      </c>
      <c r="I478" s="8">
        <f>C478+D478+E478+F478+G478+H478</f>
        <v/>
      </c>
    </row>
    <row r="479" ht="18" customHeight="1">
      <c r="A479" s="3" t="inlineStr">
        <is>
          <t>新北分局</t>
        </is>
      </c>
      <c r="B479" s="4" t="n">
        <v>114</v>
      </c>
      <c r="C479" s="8">
        <f>I478</f>
        <v/>
      </c>
      <c r="D479" s="4">
        <f>SUMIFS('01_異動主檔'!$F:$F,'01_異動主檔'!$B:$B,114,'01_異動主檔'!$D:$D,A479,'01_異動主檔'!$E:$E,"移入")</f>
        <v/>
      </c>
      <c r="E479" s="4">
        <f>-SUMIFS('01_異動主檔'!$F:$F,'01_異動主檔'!$B:$B,114,'01_異動主檔'!$D:$D,A479,'01_異動主檔'!$E:$E,"移出")</f>
        <v/>
      </c>
      <c r="F479" s="4">
        <f>SUMIFS('01_異動主檔'!$F:$F,'01_異動主檔'!$B:$B,114,'01_異動主檔'!$D:$D,A479,'01_異動主檔'!$E:$E,"新增")</f>
        <v/>
      </c>
      <c r="G479" s="4">
        <f>-SUMIFS('01_異動主檔'!$F:$F,'01_異動主檔'!$B:$B,114,'01_異動主檔'!$D:$D,A479,'01_異動主檔'!$E:$E,"減列")</f>
        <v/>
      </c>
      <c r="H479" s="4">
        <f>-SUMIFS('01_異動主檔'!$F:$F,'01_異動主檔'!$B:$B,114,'01_異動主檔'!$D:$D,A479,'01_異動主檔'!$E:$E,"精簡")</f>
        <v/>
      </c>
      <c r="I479" s="8">
        <f>C479+D479+E479+F479+G479+H479</f>
        <v/>
      </c>
    </row>
    <row r="480" ht="18" customHeight="1">
      <c r="A480" s="5" t="inlineStr">
        <is>
          <t>新北分局</t>
        </is>
      </c>
      <c r="B480" s="6" t="n">
        <v>115</v>
      </c>
      <c r="C480" s="8">
        <f>I479</f>
        <v/>
      </c>
      <c r="D480" s="4">
        <f>SUMIFS('01_異動主檔'!$F:$F,'01_異動主檔'!$B:$B,115,'01_異動主檔'!$D:$D,A480,'01_異動主檔'!$E:$E,"移入")</f>
        <v/>
      </c>
      <c r="E480" s="4">
        <f>-SUMIFS('01_異動主檔'!$F:$F,'01_異動主檔'!$B:$B,115,'01_異動主檔'!$D:$D,A480,'01_異動主檔'!$E:$E,"移出")</f>
        <v/>
      </c>
      <c r="F480" s="4">
        <f>SUMIFS('01_異動主檔'!$F:$F,'01_異動主檔'!$B:$B,115,'01_異動主檔'!$D:$D,A480,'01_異動主檔'!$E:$E,"新增")</f>
        <v/>
      </c>
      <c r="G480" s="4">
        <f>-SUMIFS('01_異動主檔'!$F:$F,'01_異動主檔'!$B:$B,115,'01_異動主檔'!$D:$D,A480,'01_異動主檔'!$E:$E,"減列")</f>
        <v/>
      </c>
      <c r="H480" s="4">
        <f>-SUMIFS('01_異動主檔'!$F:$F,'01_異動主檔'!$B:$B,115,'01_異動主檔'!$D:$D,A480,'01_異動主檔'!$E:$E,"精簡")</f>
        <v/>
      </c>
      <c r="I480" s="8">
        <f>C480+D480+E480+F480+G480+H480</f>
        <v/>
      </c>
    </row>
    <row r="481" ht="18" customHeight="1">
      <c r="A481" s="3" t="inlineStr">
        <is>
          <t>新北分局</t>
        </is>
      </c>
      <c r="B481" s="4" t="n">
        <v>116</v>
      </c>
      <c r="C481" s="8">
        <f>I480</f>
        <v/>
      </c>
      <c r="D481" s="4">
        <f>SUMIFS('01_異動主檔'!$F:$F,'01_異動主檔'!$B:$B,116,'01_異動主檔'!$D:$D,A481,'01_異動主檔'!$E:$E,"移入")</f>
        <v/>
      </c>
      <c r="E481" s="4">
        <f>-SUMIFS('01_異動主檔'!$F:$F,'01_異動主檔'!$B:$B,116,'01_異動主檔'!$D:$D,A481,'01_異動主檔'!$E:$E,"移出")</f>
        <v/>
      </c>
      <c r="F481" s="4">
        <f>SUMIFS('01_異動主檔'!$F:$F,'01_異動主檔'!$B:$B,116,'01_異動主檔'!$D:$D,A481,'01_異動主檔'!$E:$E,"新增")</f>
        <v/>
      </c>
      <c r="G481" s="4">
        <f>-SUMIFS('01_異動主檔'!$F:$F,'01_異動主檔'!$B:$B,116,'01_異動主檔'!$D:$D,A481,'01_異動主檔'!$E:$E,"減列")</f>
        <v/>
      </c>
      <c r="H481" s="4">
        <f>-SUMIFS('01_異動主檔'!$F:$F,'01_異動主檔'!$B:$B,116,'01_異動主檔'!$D:$D,A481,'01_異動主檔'!$E:$E,"精簡")</f>
        <v/>
      </c>
      <c r="I481" s="8">
        <f>C481+D481+E481+F481+G481+H481</f>
        <v/>
      </c>
    </row>
    <row r="482" ht="18" customHeight="1">
      <c r="A482" s="5" t="inlineStr">
        <is>
          <t>新北分局</t>
        </is>
      </c>
      <c r="B482" s="6" t="n">
        <v>117</v>
      </c>
      <c r="C482" s="8">
        <f>I481</f>
        <v/>
      </c>
      <c r="D482" s="4">
        <f>SUMIFS('01_異動主檔'!$F:$F,'01_異動主檔'!$B:$B,117,'01_異動主檔'!$D:$D,A482,'01_異動主檔'!$E:$E,"移入")</f>
        <v/>
      </c>
      <c r="E482" s="4">
        <f>-SUMIFS('01_異動主檔'!$F:$F,'01_異動主檔'!$B:$B,117,'01_異動主檔'!$D:$D,A482,'01_異動主檔'!$E:$E,"移出")</f>
        <v/>
      </c>
      <c r="F482" s="4">
        <f>SUMIFS('01_異動主檔'!$F:$F,'01_異動主檔'!$B:$B,117,'01_異動主檔'!$D:$D,A482,'01_異動主檔'!$E:$E,"新增")</f>
        <v/>
      </c>
      <c r="G482" s="4">
        <f>-SUMIFS('01_異動主檔'!$F:$F,'01_異動主檔'!$B:$B,117,'01_異動主檔'!$D:$D,A482,'01_異動主檔'!$E:$E,"減列")</f>
        <v/>
      </c>
      <c r="H482" s="4">
        <f>-SUMIFS('01_異動主檔'!$F:$F,'01_異動主檔'!$B:$B,117,'01_異動主檔'!$D:$D,A482,'01_異動主檔'!$E:$E,"精簡")</f>
        <v/>
      </c>
      <c r="I482" s="8">
        <f>C482+D482+E482+F482+G482+H482</f>
        <v/>
      </c>
    </row>
    <row r="483" ht="18" customHeight="1">
      <c r="A483" s="3" t="inlineStr">
        <is>
          <t>新北分局</t>
        </is>
      </c>
      <c r="B483" s="4" t="n">
        <v>118</v>
      </c>
      <c r="C483" s="8">
        <f>I482</f>
        <v/>
      </c>
      <c r="D483" s="4">
        <f>SUMIFS('01_異動主檔'!$F:$F,'01_異動主檔'!$B:$B,118,'01_異動主檔'!$D:$D,A483,'01_異動主檔'!$E:$E,"移入")</f>
        <v/>
      </c>
      <c r="E483" s="4">
        <f>-SUMIFS('01_異動主檔'!$F:$F,'01_異動主檔'!$B:$B,118,'01_異動主檔'!$D:$D,A483,'01_異動主檔'!$E:$E,"移出")</f>
        <v/>
      </c>
      <c r="F483" s="4">
        <f>SUMIFS('01_異動主檔'!$F:$F,'01_異動主檔'!$B:$B,118,'01_異動主檔'!$D:$D,A483,'01_異動主檔'!$E:$E,"新增")</f>
        <v/>
      </c>
      <c r="G483" s="4">
        <f>-SUMIFS('01_異動主檔'!$F:$F,'01_異動主檔'!$B:$B,118,'01_異動主檔'!$D:$D,A483,'01_異動主檔'!$E:$E,"減列")</f>
        <v/>
      </c>
      <c r="H483" s="4">
        <f>-SUMIFS('01_異動主檔'!$F:$F,'01_異動主檔'!$B:$B,118,'01_異動主檔'!$D:$D,A483,'01_異動主檔'!$E:$E,"精簡")</f>
        <v/>
      </c>
      <c r="I483" s="8">
        <f>C483+D483+E483+F483+G483+H483</f>
        <v/>
      </c>
    </row>
    <row r="484" ht="18" customHeight="1">
      <c r="A484" s="5" t="inlineStr">
        <is>
          <t>新北分局</t>
        </is>
      </c>
      <c r="B484" s="6" t="n">
        <v>119</v>
      </c>
      <c r="C484" s="8">
        <f>I483</f>
        <v/>
      </c>
      <c r="D484" s="4">
        <f>SUMIFS('01_異動主檔'!$F:$F,'01_異動主檔'!$B:$B,119,'01_異動主檔'!$D:$D,A484,'01_異動主檔'!$E:$E,"移入")</f>
        <v/>
      </c>
      <c r="E484" s="4">
        <f>-SUMIFS('01_異動主檔'!$F:$F,'01_異動主檔'!$B:$B,119,'01_異動主檔'!$D:$D,A484,'01_異動主檔'!$E:$E,"移出")</f>
        <v/>
      </c>
      <c r="F484" s="4">
        <f>SUMIFS('01_異動主檔'!$F:$F,'01_異動主檔'!$B:$B,119,'01_異動主檔'!$D:$D,A484,'01_異動主檔'!$E:$E,"新增")</f>
        <v/>
      </c>
      <c r="G484" s="4">
        <f>-SUMIFS('01_異動主檔'!$F:$F,'01_異動主檔'!$B:$B,119,'01_異動主檔'!$D:$D,A484,'01_異動主檔'!$E:$E,"減列")</f>
        <v/>
      </c>
      <c r="H484" s="4">
        <f>-SUMIFS('01_異動主檔'!$F:$F,'01_異動主檔'!$B:$B,119,'01_異動主檔'!$D:$D,A484,'01_異動主檔'!$E:$E,"精簡")</f>
        <v/>
      </c>
      <c r="I484" s="8">
        <f>C484+D484+E484+F484+G484+H484</f>
        <v/>
      </c>
    </row>
    <row r="485" ht="18" customHeight="1">
      <c r="A485" s="3" t="inlineStr">
        <is>
          <t>新北分局</t>
        </is>
      </c>
      <c r="B485" s="4" t="n">
        <v>120</v>
      </c>
      <c r="C485" s="8">
        <f>I484</f>
        <v/>
      </c>
      <c r="D485" s="4">
        <f>SUMIFS('01_異動主檔'!$F:$F,'01_異動主檔'!$B:$B,120,'01_異動主檔'!$D:$D,A485,'01_異動主檔'!$E:$E,"移入")</f>
        <v/>
      </c>
      <c r="E485" s="4">
        <f>-SUMIFS('01_異動主檔'!$F:$F,'01_異動主檔'!$B:$B,120,'01_異動主檔'!$D:$D,A485,'01_異動主檔'!$E:$E,"移出")</f>
        <v/>
      </c>
      <c r="F485" s="4">
        <f>SUMIFS('01_異動主檔'!$F:$F,'01_異動主檔'!$B:$B,120,'01_異動主檔'!$D:$D,A485,'01_異動主檔'!$E:$E,"新增")</f>
        <v/>
      </c>
      <c r="G485" s="4">
        <f>-SUMIFS('01_異動主檔'!$F:$F,'01_異動主檔'!$B:$B,120,'01_異動主檔'!$D:$D,A485,'01_異動主檔'!$E:$E,"減列")</f>
        <v/>
      </c>
      <c r="H485" s="4">
        <f>-SUMIFS('01_異動主檔'!$F:$F,'01_異動主檔'!$B:$B,120,'01_異動主檔'!$D:$D,A485,'01_異動主檔'!$E:$E,"精簡")</f>
        <v/>
      </c>
      <c r="I485" s="8">
        <f>C485+D485+E485+F485+G485+H485</f>
        <v/>
      </c>
    </row>
    <row r="486" ht="18" customHeight="1">
      <c r="A486" s="5" t="inlineStr">
        <is>
          <t>新北分局</t>
        </is>
      </c>
      <c r="B486" s="6" t="n">
        <v>121</v>
      </c>
      <c r="C486" s="8">
        <f>I485</f>
        <v/>
      </c>
      <c r="D486" s="4">
        <f>SUMIFS('01_異動主檔'!$F:$F,'01_異動主檔'!$B:$B,121,'01_異動主檔'!$D:$D,A486,'01_異動主檔'!$E:$E,"移入")</f>
        <v/>
      </c>
      <c r="E486" s="4">
        <f>-SUMIFS('01_異動主檔'!$F:$F,'01_異動主檔'!$B:$B,121,'01_異動主檔'!$D:$D,A486,'01_異動主檔'!$E:$E,"移出")</f>
        <v/>
      </c>
      <c r="F486" s="4">
        <f>SUMIFS('01_異動主檔'!$F:$F,'01_異動主檔'!$B:$B,121,'01_異動主檔'!$D:$D,A486,'01_異動主檔'!$E:$E,"新增")</f>
        <v/>
      </c>
      <c r="G486" s="4">
        <f>-SUMIFS('01_異動主檔'!$F:$F,'01_異動主檔'!$B:$B,121,'01_異動主檔'!$D:$D,A486,'01_異動主檔'!$E:$E,"減列")</f>
        <v/>
      </c>
      <c r="H486" s="4">
        <f>-SUMIFS('01_異動主檔'!$F:$F,'01_異動主檔'!$B:$B,121,'01_異動主檔'!$D:$D,A486,'01_異動主檔'!$E:$E,"精簡")</f>
        <v/>
      </c>
      <c r="I486" s="8">
        <f>C486+D486+E486+F486+G486+H486</f>
        <v/>
      </c>
    </row>
    <row r="487" ht="18" customHeight="1">
      <c r="A487" s="3" t="inlineStr">
        <is>
          <t>新北分局</t>
        </is>
      </c>
      <c r="B487" s="4" t="n">
        <v>122</v>
      </c>
      <c r="C487" s="8">
        <f>I486</f>
        <v/>
      </c>
      <c r="D487" s="4">
        <f>SUMIFS('01_異動主檔'!$F:$F,'01_異動主檔'!$B:$B,122,'01_異動主檔'!$D:$D,A487,'01_異動主檔'!$E:$E,"移入")</f>
        <v/>
      </c>
      <c r="E487" s="4">
        <f>-SUMIFS('01_異動主檔'!$F:$F,'01_異動主檔'!$B:$B,122,'01_異動主檔'!$D:$D,A487,'01_異動主檔'!$E:$E,"移出")</f>
        <v/>
      </c>
      <c r="F487" s="4">
        <f>SUMIFS('01_異動主檔'!$F:$F,'01_異動主檔'!$B:$B,122,'01_異動主檔'!$D:$D,A487,'01_異動主檔'!$E:$E,"新增")</f>
        <v/>
      </c>
      <c r="G487" s="4">
        <f>-SUMIFS('01_異動主檔'!$F:$F,'01_異動主檔'!$B:$B,122,'01_異動主檔'!$D:$D,A487,'01_異動主檔'!$E:$E,"減列")</f>
        <v/>
      </c>
      <c r="H487" s="4">
        <f>-SUMIFS('01_異動主檔'!$F:$F,'01_異動主檔'!$B:$B,122,'01_異動主檔'!$D:$D,A487,'01_異動主檔'!$E:$E,"精簡")</f>
        <v/>
      </c>
      <c r="I487" s="8">
        <f>C487+D487+E487+F487+G487+H487</f>
        <v/>
      </c>
    </row>
    <row r="488" ht="18" customHeight="1">
      <c r="A488" s="5" t="inlineStr">
        <is>
          <t>新北分局</t>
        </is>
      </c>
      <c r="B488" s="6" t="n">
        <v>123</v>
      </c>
      <c r="C488" s="8">
        <f>I487</f>
        <v/>
      </c>
      <c r="D488" s="4">
        <f>SUMIFS('01_異動主檔'!$F:$F,'01_異動主檔'!$B:$B,123,'01_異動主檔'!$D:$D,A488,'01_異動主檔'!$E:$E,"移入")</f>
        <v/>
      </c>
      <c r="E488" s="4">
        <f>-SUMIFS('01_異動主檔'!$F:$F,'01_異動主檔'!$B:$B,123,'01_異動主檔'!$D:$D,A488,'01_異動主檔'!$E:$E,"移出")</f>
        <v/>
      </c>
      <c r="F488" s="4">
        <f>SUMIFS('01_異動主檔'!$F:$F,'01_異動主檔'!$B:$B,123,'01_異動主檔'!$D:$D,A488,'01_異動主檔'!$E:$E,"新增")</f>
        <v/>
      </c>
      <c r="G488" s="4">
        <f>-SUMIFS('01_異動主檔'!$F:$F,'01_異動主檔'!$B:$B,123,'01_異動主檔'!$D:$D,A488,'01_異動主檔'!$E:$E,"減列")</f>
        <v/>
      </c>
      <c r="H488" s="4">
        <f>-SUMIFS('01_異動主檔'!$F:$F,'01_異動主檔'!$B:$B,123,'01_異動主檔'!$D:$D,A488,'01_異動主檔'!$E:$E,"精簡")</f>
        <v/>
      </c>
      <c r="I488" s="8">
        <f>C488+D488+E488+F488+G488+H488</f>
        <v/>
      </c>
    </row>
    <row r="489" ht="18" customHeight="1">
      <c r="A489" s="3" t="inlineStr">
        <is>
          <t>新北分局</t>
        </is>
      </c>
      <c r="B489" s="4" t="n">
        <v>124</v>
      </c>
      <c r="C489" s="8">
        <f>I488</f>
        <v/>
      </c>
      <c r="D489" s="4">
        <f>SUMIFS('01_異動主檔'!$F:$F,'01_異動主檔'!$B:$B,124,'01_異動主檔'!$D:$D,A489,'01_異動主檔'!$E:$E,"移入")</f>
        <v/>
      </c>
      <c r="E489" s="4">
        <f>-SUMIFS('01_異動主檔'!$F:$F,'01_異動主檔'!$B:$B,124,'01_異動主檔'!$D:$D,A489,'01_異動主檔'!$E:$E,"移出")</f>
        <v/>
      </c>
      <c r="F489" s="4">
        <f>SUMIFS('01_異動主檔'!$F:$F,'01_異動主檔'!$B:$B,124,'01_異動主檔'!$D:$D,A489,'01_異動主檔'!$E:$E,"新增")</f>
        <v/>
      </c>
      <c r="G489" s="4">
        <f>-SUMIFS('01_異動主檔'!$F:$F,'01_異動主檔'!$B:$B,124,'01_異動主檔'!$D:$D,A489,'01_異動主檔'!$E:$E,"減列")</f>
        <v/>
      </c>
      <c r="H489" s="4">
        <f>-SUMIFS('01_異動主檔'!$F:$F,'01_異動主檔'!$B:$B,124,'01_異動主檔'!$D:$D,A489,'01_異動主檔'!$E:$E,"精簡")</f>
        <v/>
      </c>
      <c r="I489" s="8">
        <f>C489+D489+E489+F489+G489+H489</f>
        <v/>
      </c>
    </row>
    <row r="490" ht="18" customHeight="1">
      <c r="A490" s="5" t="inlineStr">
        <is>
          <t>新北分局</t>
        </is>
      </c>
      <c r="B490" s="6" t="n">
        <v>125</v>
      </c>
      <c r="C490" s="8">
        <f>I489</f>
        <v/>
      </c>
      <c r="D490" s="4">
        <f>SUMIFS('01_異動主檔'!$F:$F,'01_異動主檔'!$B:$B,125,'01_異動主檔'!$D:$D,A490,'01_異動主檔'!$E:$E,"移入")</f>
        <v/>
      </c>
      <c r="E490" s="4">
        <f>-SUMIFS('01_異動主檔'!$F:$F,'01_異動主檔'!$B:$B,125,'01_異動主檔'!$D:$D,A490,'01_異動主檔'!$E:$E,"移出")</f>
        <v/>
      </c>
      <c r="F490" s="4">
        <f>SUMIFS('01_異動主檔'!$F:$F,'01_異動主檔'!$B:$B,125,'01_異動主檔'!$D:$D,A490,'01_異動主檔'!$E:$E,"新增")</f>
        <v/>
      </c>
      <c r="G490" s="4">
        <f>-SUMIFS('01_異動主檔'!$F:$F,'01_異動主檔'!$B:$B,125,'01_異動主檔'!$D:$D,A490,'01_異動主檔'!$E:$E,"減列")</f>
        <v/>
      </c>
      <c r="H490" s="4">
        <f>-SUMIFS('01_異動主檔'!$F:$F,'01_異動主檔'!$B:$B,125,'01_異動主檔'!$D:$D,A490,'01_異動主檔'!$E:$E,"精簡")</f>
        <v/>
      </c>
      <c r="I490" s="8">
        <f>C490+D490+E490+F490+G490+H490</f>
        <v/>
      </c>
    </row>
    <row r="491" ht="18" customHeight="1">
      <c r="A491" s="3" t="inlineStr">
        <is>
          <t>桃園分局</t>
        </is>
      </c>
      <c r="B491" s="4" t="n">
        <v>99</v>
      </c>
      <c r="C491" s="8">
        <f>'02_年初員額設定'!B23</f>
        <v/>
      </c>
      <c r="D491" s="4">
        <f>SUMIFS('01_異動主檔'!$F:$F,'01_異動主檔'!$B:$B,99,'01_異動主檔'!$D:$D,A491,'01_異動主檔'!$E:$E,"移入")</f>
        <v/>
      </c>
      <c r="E491" s="4">
        <f>-SUMIFS('01_異動主檔'!$F:$F,'01_異動主檔'!$B:$B,99,'01_異動主檔'!$D:$D,A491,'01_異動主檔'!$E:$E,"移出")</f>
        <v/>
      </c>
      <c r="F491" s="4">
        <f>SUMIFS('01_異動主檔'!$F:$F,'01_異動主檔'!$B:$B,99,'01_異動主檔'!$D:$D,A491,'01_異動主檔'!$E:$E,"新增")</f>
        <v/>
      </c>
      <c r="G491" s="4">
        <f>-SUMIFS('01_異動主檔'!$F:$F,'01_異動主檔'!$B:$B,99,'01_異動主檔'!$D:$D,A491,'01_異動主檔'!$E:$E,"減列")</f>
        <v/>
      </c>
      <c r="H491" s="4">
        <f>-SUMIFS('01_異動主檔'!$F:$F,'01_異動主檔'!$B:$B,99,'01_異動主檔'!$D:$D,A491,'01_異動主檔'!$E:$E,"精簡")</f>
        <v/>
      </c>
      <c r="I491" s="8">
        <f>C491+D491+E491+F491+G491+H491</f>
        <v/>
      </c>
    </row>
    <row r="492" ht="18" customHeight="1">
      <c r="A492" s="5" t="inlineStr">
        <is>
          <t>桃園分局</t>
        </is>
      </c>
      <c r="B492" s="6" t="n">
        <v>100</v>
      </c>
      <c r="C492" s="8">
        <f>I491</f>
        <v/>
      </c>
      <c r="D492" s="4">
        <f>SUMIFS('01_異動主檔'!$F:$F,'01_異動主檔'!$B:$B,100,'01_異動主檔'!$D:$D,A492,'01_異動主檔'!$E:$E,"移入")</f>
        <v/>
      </c>
      <c r="E492" s="4">
        <f>-SUMIFS('01_異動主檔'!$F:$F,'01_異動主檔'!$B:$B,100,'01_異動主檔'!$D:$D,A492,'01_異動主檔'!$E:$E,"移出")</f>
        <v/>
      </c>
      <c r="F492" s="4">
        <f>SUMIFS('01_異動主檔'!$F:$F,'01_異動主檔'!$B:$B,100,'01_異動主檔'!$D:$D,A492,'01_異動主檔'!$E:$E,"新增")</f>
        <v/>
      </c>
      <c r="G492" s="4">
        <f>-SUMIFS('01_異動主檔'!$F:$F,'01_異動主檔'!$B:$B,100,'01_異動主檔'!$D:$D,A492,'01_異動主檔'!$E:$E,"減列")</f>
        <v/>
      </c>
      <c r="H492" s="4">
        <f>-SUMIFS('01_異動主檔'!$F:$F,'01_異動主檔'!$B:$B,100,'01_異動主檔'!$D:$D,A492,'01_異動主檔'!$E:$E,"精簡")</f>
        <v/>
      </c>
      <c r="I492" s="8">
        <f>C492+D492+E492+F492+G492+H492</f>
        <v/>
      </c>
    </row>
    <row r="493" ht="18" customHeight="1">
      <c r="A493" s="3" t="inlineStr">
        <is>
          <t>桃園分局</t>
        </is>
      </c>
      <c r="B493" s="4" t="n">
        <v>101</v>
      </c>
      <c r="C493" s="8">
        <f>I492</f>
        <v/>
      </c>
      <c r="D493" s="4">
        <f>SUMIFS('01_異動主檔'!$F:$F,'01_異動主檔'!$B:$B,101,'01_異動主檔'!$D:$D,A493,'01_異動主檔'!$E:$E,"移入")</f>
        <v/>
      </c>
      <c r="E493" s="4">
        <f>-SUMIFS('01_異動主檔'!$F:$F,'01_異動主檔'!$B:$B,101,'01_異動主檔'!$D:$D,A493,'01_異動主檔'!$E:$E,"移出")</f>
        <v/>
      </c>
      <c r="F493" s="4">
        <f>SUMIFS('01_異動主檔'!$F:$F,'01_異動主檔'!$B:$B,101,'01_異動主檔'!$D:$D,A493,'01_異動主檔'!$E:$E,"新增")</f>
        <v/>
      </c>
      <c r="G493" s="4">
        <f>-SUMIFS('01_異動主檔'!$F:$F,'01_異動主檔'!$B:$B,101,'01_異動主檔'!$D:$D,A493,'01_異動主檔'!$E:$E,"減列")</f>
        <v/>
      </c>
      <c r="H493" s="4">
        <f>-SUMIFS('01_異動主檔'!$F:$F,'01_異動主檔'!$B:$B,101,'01_異動主檔'!$D:$D,A493,'01_異動主檔'!$E:$E,"精簡")</f>
        <v/>
      </c>
      <c r="I493" s="8">
        <f>C493+D493+E493+F493+G493+H493</f>
        <v/>
      </c>
    </row>
    <row r="494" ht="18" customHeight="1">
      <c r="A494" s="5" t="inlineStr">
        <is>
          <t>桃園分局</t>
        </is>
      </c>
      <c r="B494" s="6" t="n">
        <v>102</v>
      </c>
      <c r="C494" s="8">
        <f>I493</f>
        <v/>
      </c>
      <c r="D494" s="4">
        <f>SUMIFS('01_異動主檔'!$F:$F,'01_異動主檔'!$B:$B,102,'01_異動主檔'!$D:$D,A494,'01_異動主檔'!$E:$E,"移入")</f>
        <v/>
      </c>
      <c r="E494" s="4">
        <f>-SUMIFS('01_異動主檔'!$F:$F,'01_異動主檔'!$B:$B,102,'01_異動主檔'!$D:$D,A494,'01_異動主檔'!$E:$E,"移出")</f>
        <v/>
      </c>
      <c r="F494" s="4">
        <f>SUMIFS('01_異動主檔'!$F:$F,'01_異動主檔'!$B:$B,102,'01_異動主檔'!$D:$D,A494,'01_異動主檔'!$E:$E,"新增")</f>
        <v/>
      </c>
      <c r="G494" s="4">
        <f>-SUMIFS('01_異動主檔'!$F:$F,'01_異動主檔'!$B:$B,102,'01_異動主檔'!$D:$D,A494,'01_異動主檔'!$E:$E,"減列")</f>
        <v/>
      </c>
      <c r="H494" s="4">
        <f>-SUMIFS('01_異動主檔'!$F:$F,'01_異動主檔'!$B:$B,102,'01_異動主檔'!$D:$D,A494,'01_異動主檔'!$E:$E,"精簡")</f>
        <v/>
      </c>
      <c r="I494" s="8">
        <f>C494+D494+E494+F494+G494+H494</f>
        <v/>
      </c>
    </row>
    <row r="495" ht="18" customHeight="1">
      <c r="A495" s="3" t="inlineStr">
        <is>
          <t>桃園分局</t>
        </is>
      </c>
      <c r="B495" s="4" t="n">
        <v>103</v>
      </c>
      <c r="C495" s="8">
        <f>I494</f>
        <v/>
      </c>
      <c r="D495" s="4">
        <f>SUMIFS('01_異動主檔'!$F:$F,'01_異動主檔'!$B:$B,103,'01_異動主檔'!$D:$D,A495,'01_異動主檔'!$E:$E,"移入")</f>
        <v/>
      </c>
      <c r="E495" s="4">
        <f>-SUMIFS('01_異動主檔'!$F:$F,'01_異動主檔'!$B:$B,103,'01_異動主檔'!$D:$D,A495,'01_異動主檔'!$E:$E,"移出")</f>
        <v/>
      </c>
      <c r="F495" s="4">
        <f>SUMIFS('01_異動主檔'!$F:$F,'01_異動主檔'!$B:$B,103,'01_異動主檔'!$D:$D,A495,'01_異動主檔'!$E:$E,"新增")</f>
        <v/>
      </c>
      <c r="G495" s="4">
        <f>-SUMIFS('01_異動主檔'!$F:$F,'01_異動主檔'!$B:$B,103,'01_異動主檔'!$D:$D,A495,'01_異動主檔'!$E:$E,"減列")</f>
        <v/>
      </c>
      <c r="H495" s="4">
        <f>-SUMIFS('01_異動主檔'!$F:$F,'01_異動主檔'!$B:$B,103,'01_異動主檔'!$D:$D,A495,'01_異動主檔'!$E:$E,"精簡")</f>
        <v/>
      </c>
      <c r="I495" s="8">
        <f>C495+D495+E495+F495+G495+H495</f>
        <v/>
      </c>
    </row>
    <row r="496" ht="18" customHeight="1">
      <c r="A496" s="5" t="inlineStr">
        <is>
          <t>桃園分局</t>
        </is>
      </c>
      <c r="B496" s="6" t="n">
        <v>104</v>
      </c>
      <c r="C496" s="8">
        <f>I495</f>
        <v/>
      </c>
      <c r="D496" s="4">
        <f>SUMIFS('01_異動主檔'!$F:$F,'01_異動主檔'!$B:$B,104,'01_異動主檔'!$D:$D,A496,'01_異動主檔'!$E:$E,"移入")</f>
        <v/>
      </c>
      <c r="E496" s="4">
        <f>-SUMIFS('01_異動主檔'!$F:$F,'01_異動主檔'!$B:$B,104,'01_異動主檔'!$D:$D,A496,'01_異動主檔'!$E:$E,"移出")</f>
        <v/>
      </c>
      <c r="F496" s="4">
        <f>SUMIFS('01_異動主檔'!$F:$F,'01_異動主檔'!$B:$B,104,'01_異動主檔'!$D:$D,A496,'01_異動主檔'!$E:$E,"新增")</f>
        <v/>
      </c>
      <c r="G496" s="4">
        <f>-SUMIFS('01_異動主檔'!$F:$F,'01_異動主檔'!$B:$B,104,'01_異動主檔'!$D:$D,A496,'01_異動主檔'!$E:$E,"減列")</f>
        <v/>
      </c>
      <c r="H496" s="4">
        <f>-SUMIFS('01_異動主檔'!$F:$F,'01_異動主檔'!$B:$B,104,'01_異動主檔'!$D:$D,A496,'01_異動主檔'!$E:$E,"精簡")</f>
        <v/>
      </c>
      <c r="I496" s="8">
        <f>C496+D496+E496+F496+G496+H496</f>
        <v/>
      </c>
    </row>
    <row r="497" ht="18" customHeight="1">
      <c r="A497" s="3" t="inlineStr">
        <is>
          <t>桃園分局</t>
        </is>
      </c>
      <c r="B497" s="4" t="n">
        <v>105</v>
      </c>
      <c r="C497" s="8">
        <f>I496</f>
        <v/>
      </c>
      <c r="D497" s="4">
        <f>SUMIFS('01_異動主檔'!$F:$F,'01_異動主檔'!$B:$B,105,'01_異動主檔'!$D:$D,A497,'01_異動主檔'!$E:$E,"移入")</f>
        <v/>
      </c>
      <c r="E497" s="4">
        <f>-SUMIFS('01_異動主檔'!$F:$F,'01_異動主檔'!$B:$B,105,'01_異動主檔'!$D:$D,A497,'01_異動主檔'!$E:$E,"移出")</f>
        <v/>
      </c>
      <c r="F497" s="4">
        <f>SUMIFS('01_異動主檔'!$F:$F,'01_異動主檔'!$B:$B,105,'01_異動主檔'!$D:$D,A497,'01_異動主檔'!$E:$E,"新增")</f>
        <v/>
      </c>
      <c r="G497" s="4">
        <f>-SUMIFS('01_異動主檔'!$F:$F,'01_異動主檔'!$B:$B,105,'01_異動主檔'!$D:$D,A497,'01_異動主檔'!$E:$E,"減列")</f>
        <v/>
      </c>
      <c r="H497" s="4">
        <f>-SUMIFS('01_異動主檔'!$F:$F,'01_異動主檔'!$B:$B,105,'01_異動主檔'!$D:$D,A497,'01_異動主檔'!$E:$E,"精簡")</f>
        <v/>
      </c>
      <c r="I497" s="8">
        <f>C497+D497+E497+F497+G497+H497</f>
        <v/>
      </c>
    </row>
    <row r="498" ht="18" customHeight="1">
      <c r="A498" s="5" t="inlineStr">
        <is>
          <t>桃園分局</t>
        </is>
      </c>
      <c r="B498" s="6" t="n">
        <v>106</v>
      </c>
      <c r="C498" s="8">
        <f>I497</f>
        <v/>
      </c>
      <c r="D498" s="4">
        <f>SUMIFS('01_異動主檔'!$F:$F,'01_異動主檔'!$B:$B,106,'01_異動主檔'!$D:$D,A498,'01_異動主檔'!$E:$E,"移入")</f>
        <v/>
      </c>
      <c r="E498" s="4">
        <f>-SUMIFS('01_異動主檔'!$F:$F,'01_異動主檔'!$B:$B,106,'01_異動主檔'!$D:$D,A498,'01_異動主檔'!$E:$E,"移出")</f>
        <v/>
      </c>
      <c r="F498" s="4">
        <f>SUMIFS('01_異動主檔'!$F:$F,'01_異動主檔'!$B:$B,106,'01_異動主檔'!$D:$D,A498,'01_異動主檔'!$E:$E,"新增")</f>
        <v/>
      </c>
      <c r="G498" s="4">
        <f>-SUMIFS('01_異動主檔'!$F:$F,'01_異動主檔'!$B:$B,106,'01_異動主檔'!$D:$D,A498,'01_異動主檔'!$E:$E,"減列")</f>
        <v/>
      </c>
      <c r="H498" s="4">
        <f>-SUMIFS('01_異動主檔'!$F:$F,'01_異動主檔'!$B:$B,106,'01_異動主檔'!$D:$D,A498,'01_異動主檔'!$E:$E,"精簡")</f>
        <v/>
      </c>
      <c r="I498" s="8">
        <f>C498+D498+E498+F498+G498+H498</f>
        <v/>
      </c>
    </row>
    <row r="499" ht="18" customHeight="1">
      <c r="A499" s="3" t="inlineStr">
        <is>
          <t>桃園分局</t>
        </is>
      </c>
      <c r="B499" s="4" t="n">
        <v>107</v>
      </c>
      <c r="C499" s="8">
        <f>I498</f>
        <v/>
      </c>
      <c r="D499" s="4">
        <f>SUMIFS('01_異動主檔'!$F:$F,'01_異動主檔'!$B:$B,107,'01_異動主檔'!$D:$D,A499,'01_異動主檔'!$E:$E,"移入")</f>
        <v/>
      </c>
      <c r="E499" s="4">
        <f>-SUMIFS('01_異動主檔'!$F:$F,'01_異動主檔'!$B:$B,107,'01_異動主檔'!$D:$D,A499,'01_異動主檔'!$E:$E,"移出")</f>
        <v/>
      </c>
      <c r="F499" s="4">
        <f>SUMIFS('01_異動主檔'!$F:$F,'01_異動主檔'!$B:$B,107,'01_異動主檔'!$D:$D,A499,'01_異動主檔'!$E:$E,"新增")</f>
        <v/>
      </c>
      <c r="G499" s="4">
        <f>-SUMIFS('01_異動主檔'!$F:$F,'01_異動主檔'!$B:$B,107,'01_異動主檔'!$D:$D,A499,'01_異動主檔'!$E:$E,"減列")</f>
        <v/>
      </c>
      <c r="H499" s="4">
        <f>-SUMIFS('01_異動主檔'!$F:$F,'01_異動主檔'!$B:$B,107,'01_異動主檔'!$D:$D,A499,'01_異動主檔'!$E:$E,"精簡")</f>
        <v/>
      </c>
      <c r="I499" s="8">
        <f>C499+D499+E499+F499+G499+H499</f>
        <v/>
      </c>
    </row>
    <row r="500" ht="18" customHeight="1">
      <c r="A500" s="5" t="inlineStr">
        <is>
          <t>桃園分局</t>
        </is>
      </c>
      <c r="B500" s="6" t="n">
        <v>108</v>
      </c>
      <c r="C500" s="8">
        <f>I499</f>
        <v/>
      </c>
      <c r="D500" s="4">
        <f>SUMIFS('01_異動主檔'!$F:$F,'01_異動主檔'!$B:$B,108,'01_異動主檔'!$D:$D,A500,'01_異動主檔'!$E:$E,"移入")</f>
        <v/>
      </c>
      <c r="E500" s="4">
        <f>-SUMIFS('01_異動主檔'!$F:$F,'01_異動主檔'!$B:$B,108,'01_異動主檔'!$D:$D,A500,'01_異動主檔'!$E:$E,"移出")</f>
        <v/>
      </c>
      <c r="F500" s="4">
        <f>SUMIFS('01_異動主檔'!$F:$F,'01_異動主檔'!$B:$B,108,'01_異動主檔'!$D:$D,A500,'01_異動主檔'!$E:$E,"新增")</f>
        <v/>
      </c>
      <c r="G500" s="4">
        <f>-SUMIFS('01_異動主檔'!$F:$F,'01_異動主檔'!$B:$B,108,'01_異動主檔'!$D:$D,A500,'01_異動主檔'!$E:$E,"減列")</f>
        <v/>
      </c>
      <c r="H500" s="4">
        <f>-SUMIFS('01_異動主檔'!$F:$F,'01_異動主檔'!$B:$B,108,'01_異動主檔'!$D:$D,A500,'01_異動主檔'!$E:$E,"精簡")</f>
        <v/>
      </c>
      <c r="I500" s="8">
        <f>C500+D500+E500+F500+G500+H500</f>
        <v/>
      </c>
    </row>
    <row r="501" ht="18" customHeight="1">
      <c r="A501" s="3" t="inlineStr">
        <is>
          <t>桃園分局</t>
        </is>
      </c>
      <c r="B501" s="4" t="n">
        <v>109</v>
      </c>
      <c r="C501" s="8">
        <f>I500</f>
        <v/>
      </c>
      <c r="D501" s="4">
        <f>SUMIFS('01_異動主檔'!$F:$F,'01_異動主檔'!$B:$B,109,'01_異動主檔'!$D:$D,A501,'01_異動主檔'!$E:$E,"移入")</f>
        <v/>
      </c>
      <c r="E501" s="4">
        <f>-SUMIFS('01_異動主檔'!$F:$F,'01_異動主檔'!$B:$B,109,'01_異動主檔'!$D:$D,A501,'01_異動主檔'!$E:$E,"移出")</f>
        <v/>
      </c>
      <c r="F501" s="4">
        <f>SUMIFS('01_異動主檔'!$F:$F,'01_異動主檔'!$B:$B,109,'01_異動主檔'!$D:$D,A501,'01_異動主檔'!$E:$E,"新增")</f>
        <v/>
      </c>
      <c r="G501" s="4">
        <f>-SUMIFS('01_異動主檔'!$F:$F,'01_異動主檔'!$B:$B,109,'01_異動主檔'!$D:$D,A501,'01_異動主檔'!$E:$E,"減列")</f>
        <v/>
      </c>
      <c r="H501" s="4">
        <f>-SUMIFS('01_異動主檔'!$F:$F,'01_異動主檔'!$B:$B,109,'01_異動主檔'!$D:$D,A501,'01_異動主檔'!$E:$E,"精簡")</f>
        <v/>
      </c>
      <c r="I501" s="8">
        <f>C501+D501+E501+F501+G501+H501</f>
        <v/>
      </c>
    </row>
    <row r="502" ht="18" customHeight="1">
      <c r="A502" s="5" t="inlineStr">
        <is>
          <t>桃園分局</t>
        </is>
      </c>
      <c r="B502" s="6" t="n">
        <v>110</v>
      </c>
      <c r="C502" s="8">
        <f>I501</f>
        <v/>
      </c>
      <c r="D502" s="4">
        <f>SUMIFS('01_異動主檔'!$F:$F,'01_異動主檔'!$B:$B,110,'01_異動主檔'!$D:$D,A502,'01_異動主檔'!$E:$E,"移入")</f>
        <v/>
      </c>
      <c r="E502" s="4">
        <f>-SUMIFS('01_異動主檔'!$F:$F,'01_異動主檔'!$B:$B,110,'01_異動主檔'!$D:$D,A502,'01_異動主檔'!$E:$E,"移出")</f>
        <v/>
      </c>
      <c r="F502" s="4">
        <f>SUMIFS('01_異動主檔'!$F:$F,'01_異動主檔'!$B:$B,110,'01_異動主檔'!$D:$D,A502,'01_異動主檔'!$E:$E,"新增")</f>
        <v/>
      </c>
      <c r="G502" s="4">
        <f>-SUMIFS('01_異動主檔'!$F:$F,'01_異動主檔'!$B:$B,110,'01_異動主檔'!$D:$D,A502,'01_異動主檔'!$E:$E,"減列")</f>
        <v/>
      </c>
      <c r="H502" s="4">
        <f>-SUMIFS('01_異動主檔'!$F:$F,'01_異動主檔'!$B:$B,110,'01_異動主檔'!$D:$D,A502,'01_異動主檔'!$E:$E,"精簡")</f>
        <v/>
      </c>
      <c r="I502" s="8">
        <f>C502+D502+E502+F502+G502+H502</f>
        <v/>
      </c>
    </row>
    <row r="503" ht="18" customHeight="1">
      <c r="A503" s="3" t="inlineStr">
        <is>
          <t>桃園分局</t>
        </is>
      </c>
      <c r="B503" s="4" t="n">
        <v>111</v>
      </c>
      <c r="C503" s="8">
        <f>I502</f>
        <v/>
      </c>
      <c r="D503" s="4">
        <f>SUMIFS('01_異動主檔'!$F:$F,'01_異動主檔'!$B:$B,111,'01_異動主檔'!$D:$D,A503,'01_異動主檔'!$E:$E,"移入")</f>
        <v/>
      </c>
      <c r="E503" s="4">
        <f>-SUMIFS('01_異動主檔'!$F:$F,'01_異動主檔'!$B:$B,111,'01_異動主檔'!$D:$D,A503,'01_異動主檔'!$E:$E,"移出")</f>
        <v/>
      </c>
      <c r="F503" s="4">
        <f>SUMIFS('01_異動主檔'!$F:$F,'01_異動主檔'!$B:$B,111,'01_異動主檔'!$D:$D,A503,'01_異動主檔'!$E:$E,"新增")</f>
        <v/>
      </c>
      <c r="G503" s="4">
        <f>-SUMIFS('01_異動主檔'!$F:$F,'01_異動主檔'!$B:$B,111,'01_異動主檔'!$D:$D,A503,'01_異動主檔'!$E:$E,"減列")</f>
        <v/>
      </c>
      <c r="H503" s="4">
        <f>-SUMIFS('01_異動主檔'!$F:$F,'01_異動主檔'!$B:$B,111,'01_異動主檔'!$D:$D,A503,'01_異動主檔'!$E:$E,"精簡")</f>
        <v/>
      </c>
      <c r="I503" s="8">
        <f>C503+D503+E503+F503+G503+H503</f>
        <v/>
      </c>
    </row>
    <row r="504" ht="18" customHeight="1">
      <c r="A504" s="5" t="inlineStr">
        <is>
          <t>桃園分局</t>
        </is>
      </c>
      <c r="B504" s="6" t="n">
        <v>112</v>
      </c>
      <c r="C504" s="8">
        <f>I503</f>
        <v/>
      </c>
      <c r="D504" s="4">
        <f>SUMIFS('01_異動主檔'!$F:$F,'01_異動主檔'!$B:$B,112,'01_異動主檔'!$D:$D,A504,'01_異動主檔'!$E:$E,"移入")</f>
        <v/>
      </c>
      <c r="E504" s="4">
        <f>-SUMIFS('01_異動主檔'!$F:$F,'01_異動主檔'!$B:$B,112,'01_異動主檔'!$D:$D,A504,'01_異動主檔'!$E:$E,"移出")</f>
        <v/>
      </c>
      <c r="F504" s="4">
        <f>SUMIFS('01_異動主檔'!$F:$F,'01_異動主檔'!$B:$B,112,'01_異動主檔'!$D:$D,A504,'01_異動主檔'!$E:$E,"新增")</f>
        <v/>
      </c>
      <c r="G504" s="4">
        <f>-SUMIFS('01_異動主檔'!$F:$F,'01_異動主檔'!$B:$B,112,'01_異動主檔'!$D:$D,A504,'01_異動主檔'!$E:$E,"減列")</f>
        <v/>
      </c>
      <c r="H504" s="4">
        <f>-SUMIFS('01_異動主檔'!$F:$F,'01_異動主檔'!$B:$B,112,'01_異動主檔'!$D:$D,A504,'01_異動主檔'!$E:$E,"精簡")</f>
        <v/>
      </c>
      <c r="I504" s="8">
        <f>C504+D504+E504+F504+G504+H504</f>
        <v/>
      </c>
    </row>
    <row r="505" ht="18" customHeight="1">
      <c r="A505" s="3" t="inlineStr">
        <is>
          <t>桃園分局</t>
        </is>
      </c>
      <c r="B505" s="4" t="n">
        <v>113</v>
      </c>
      <c r="C505" s="8">
        <f>I504</f>
        <v/>
      </c>
      <c r="D505" s="4">
        <f>SUMIFS('01_異動主檔'!$F:$F,'01_異動主檔'!$B:$B,113,'01_異動主檔'!$D:$D,A505,'01_異動主檔'!$E:$E,"移入")</f>
        <v/>
      </c>
      <c r="E505" s="4">
        <f>-SUMIFS('01_異動主檔'!$F:$F,'01_異動主檔'!$B:$B,113,'01_異動主檔'!$D:$D,A505,'01_異動主檔'!$E:$E,"移出")</f>
        <v/>
      </c>
      <c r="F505" s="4">
        <f>SUMIFS('01_異動主檔'!$F:$F,'01_異動主檔'!$B:$B,113,'01_異動主檔'!$D:$D,A505,'01_異動主檔'!$E:$E,"新增")</f>
        <v/>
      </c>
      <c r="G505" s="4">
        <f>-SUMIFS('01_異動主檔'!$F:$F,'01_異動主檔'!$B:$B,113,'01_異動主檔'!$D:$D,A505,'01_異動主檔'!$E:$E,"減列")</f>
        <v/>
      </c>
      <c r="H505" s="4">
        <f>-SUMIFS('01_異動主檔'!$F:$F,'01_異動主檔'!$B:$B,113,'01_異動主檔'!$D:$D,A505,'01_異動主檔'!$E:$E,"精簡")</f>
        <v/>
      </c>
      <c r="I505" s="8">
        <f>C505+D505+E505+F505+G505+H505</f>
        <v/>
      </c>
    </row>
    <row r="506" ht="18" customHeight="1">
      <c r="A506" s="5" t="inlineStr">
        <is>
          <t>桃園分局</t>
        </is>
      </c>
      <c r="B506" s="6" t="n">
        <v>114</v>
      </c>
      <c r="C506" s="8">
        <f>I505</f>
        <v/>
      </c>
      <c r="D506" s="4">
        <f>SUMIFS('01_異動主檔'!$F:$F,'01_異動主檔'!$B:$B,114,'01_異動主檔'!$D:$D,A506,'01_異動主檔'!$E:$E,"移入")</f>
        <v/>
      </c>
      <c r="E506" s="4">
        <f>-SUMIFS('01_異動主檔'!$F:$F,'01_異動主檔'!$B:$B,114,'01_異動主檔'!$D:$D,A506,'01_異動主檔'!$E:$E,"移出")</f>
        <v/>
      </c>
      <c r="F506" s="4">
        <f>SUMIFS('01_異動主檔'!$F:$F,'01_異動主檔'!$B:$B,114,'01_異動主檔'!$D:$D,A506,'01_異動主檔'!$E:$E,"新增")</f>
        <v/>
      </c>
      <c r="G506" s="4">
        <f>-SUMIFS('01_異動主檔'!$F:$F,'01_異動主檔'!$B:$B,114,'01_異動主檔'!$D:$D,A506,'01_異動主檔'!$E:$E,"減列")</f>
        <v/>
      </c>
      <c r="H506" s="4">
        <f>-SUMIFS('01_異動主檔'!$F:$F,'01_異動主檔'!$B:$B,114,'01_異動主檔'!$D:$D,A506,'01_異動主檔'!$E:$E,"精簡")</f>
        <v/>
      </c>
      <c r="I506" s="8">
        <f>C506+D506+E506+F506+G506+H506</f>
        <v/>
      </c>
    </row>
    <row r="507" ht="18" customHeight="1">
      <c r="A507" s="3" t="inlineStr">
        <is>
          <t>桃園分局</t>
        </is>
      </c>
      <c r="B507" s="4" t="n">
        <v>115</v>
      </c>
      <c r="C507" s="8">
        <f>I506</f>
        <v/>
      </c>
      <c r="D507" s="4">
        <f>SUMIFS('01_異動主檔'!$F:$F,'01_異動主檔'!$B:$B,115,'01_異動主檔'!$D:$D,A507,'01_異動主檔'!$E:$E,"移入")</f>
        <v/>
      </c>
      <c r="E507" s="4">
        <f>-SUMIFS('01_異動主檔'!$F:$F,'01_異動主檔'!$B:$B,115,'01_異動主檔'!$D:$D,A507,'01_異動主檔'!$E:$E,"移出")</f>
        <v/>
      </c>
      <c r="F507" s="4">
        <f>SUMIFS('01_異動主檔'!$F:$F,'01_異動主檔'!$B:$B,115,'01_異動主檔'!$D:$D,A507,'01_異動主檔'!$E:$E,"新增")</f>
        <v/>
      </c>
      <c r="G507" s="4">
        <f>-SUMIFS('01_異動主檔'!$F:$F,'01_異動主檔'!$B:$B,115,'01_異動主檔'!$D:$D,A507,'01_異動主檔'!$E:$E,"減列")</f>
        <v/>
      </c>
      <c r="H507" s="4">
        <f>-SUMIFS('01_異動主檔'!$F:$F,'01_異動主檔'!$B:$B,115,'01_異動主檔'!$D:$D,A507,'01_異動主檔'!$E:$E,"精簡")</f>
        <v/>
      </c>
      <c r="I507" s="8">
        <f>C507+D507+E507+F507+G507+H507</f>
        <v/>
      </c>
    </row>
    <row r="508" ht="18" customHeight="1">
      <c r="A508" s="5" t="inlineStr">
        <is>
          <t>桃園分局</t>
        </is>
      </c>
      <c r="B508" s="6" t="n">
        <v>116</v>
      </c>
      <c r="C508" s="8">
        <f>I507</f>
        <v/>
      </c>
      <c r="D508" s="4">
        <f>SUMIFS('01_異動主檔'!$F:$F,'01_異動主檔'!$B:$B,116,'01_異動主檔'!$D:$D,A508,'01_異動主檔'!$E:$E,"移入")</f>
        <v/>
      </c>
      <c r="E508" s="4">
        <f>-SUMIFS('01_異動主檔'!$F:$F,'01_異動主檔'!$B:$B,116,'01_異動主檔'!$D:$D,A508,'01_異動主檔'!$E:$E,"移出")</f>
        <v/>
      </c>
      <c r="F508" s="4">
        <f>SUMIFS('01_異動主檔'!$F:$F,'01_異動主檔'!$B:$B,116,'01_異動主檔'!$D:$D,A508,'01_異動主檔'!$E:$E,"新增")</f>
        <v/>
      </c>
      <c r="G508" s="4">
        <f>-SUMIFS('01_異動主檔'!$F:$F,'01_異動主檔'!$B:$B,116,'01_異動主檔'!$D:$D,A508,'01_異動主檔'!$E:$E,"減列")</f>
        <v/>
      </c>
      <c r="H508" s="4">
        <f>-SUMIFS('01_異動主檔'!$F:$F,'01_異動主檔'!$B:$B,116,'01_異動主檔'!$D:$D,A508,'01_異動主檔'!$E:$E,"精簡")</f>
        <v/>
      </c>
      <c r="I508" s="8">
        <f>C508+D508+E508+F508+G508+H508</f>
        <v/>
      </c>
    </row>
    <row r="509" ht="18" customHeight="1">
      <c r="A509" s="3" t="inlineStr">
        <is>
          <t>桃園分局</t>
        </is>
      </c>
      <c r="B509" s="4" t="n">
        <v>117</v>
      </c>
      <c r="C509" s="8">
        <f>I508</f>
        <v/>
      </c>
      <c r="D509" s="4">
        <f>SUMIFS('01_異動主檔'!$F:$F,'01_異動主檔'!$B:$B,117,'01_異動主檔'!$D:$D,A509,'01_異動主檔'!$E:$E,"移入")</f>
        <v/>
      </c>
      <c r="E509" s="4">
        <f>-SUMIFS('01_異動主檔'!$F:$F,'01_異動主檔'!$B:$B,117,'01_異動主檔'!$D:$D,A509,'01_異動主檔'!$E:$E,"移出")</f>
        <v/>
      </c>
      <c r="F509" s="4">
        <f>SUMIFS('01_異動主檔'!$F:$F,'01_異動主檔'!$B:$B,117,'01_異動主檔'!$D:$D,A509,'01_異動主檔'!$E:$E,"新增")</f>
        <v/>
      </c>
      <c r="G509" s="4">
        <f>-SUMIFS('01_異動主檔'!$F:$F,'01_異動主檔'!$B:$B,117,'01_異動主檔'!$D:$D,A509,'01_異動主檔'!$E:$E,"減列")</f>
        <v/>
      </c>
      <c r="H509" s="4">
        <f>-SUMIFS('01_異動主檔'!$F:$F,'01_異動主檔'!$B:$B,117,'01_異動主檔'!$D:$D,A509,'01_異動主檔'!$E:$E,"精簡")</f>
        <v/>
      </c>
      <c r="I509" s="8">
        <f>C509+D509+E509+F509+G509+H509</f>
        <v/>
      </c>
    </row>
    <row r="510" ht="18" customHeight="1">
      <c r="A510" s="5" t="inlineStr">
        <is>
          <t>桃園分局</t>
        </is>
      </c>
      <c r="B510" s="6" t="n">
        <v>118</v>
      </c>
      <c r="C510" s="8">
        <f>I509</f>
        <v/>
      </c>
      <c r="D510" s="4">
        <f>SUMIFS('01_異動主檔'!$F:$F,'01_異動主檔'!$B:$B,118,'01_異動主檔'!$D:$D,A510,'01_異動主檔'!$E:$E,"移入")</f>
        <v/>
      </c>
      <c r="E510" s="4">
        <f>-SUMIFS('01_異動主檔'!$F:$F,'01_異動主檔'!$B:$B,118,'01_異動主檔'!$D:$D,A510,'01_異動主檔'!$E:$E,"移出")</f>
        <v/>
      </c>
      <c r="F510" s="4">
        <f>SUMIFS('01_異動主檔'!$F:$F,'01_異動主檔'!$B:$B,118,'01_異動主檔'!$D:$D,A510,'01_異動主檔'!$E:$E,"新增")</f>
        <v/>
      </c>
      <c r="G510" s="4">
        <f>-SUMIFS('01_異動主檔'!$F:$F,'01_異動主檔'!$B:$B,118,'01_異動主檔'!$D:$D,A510,'01_異動主檔'!$E:$E,"減列")</f>
        <v/>
      </c>
      <c r="H510" s="4">
        <f>-SUMIFS('01_異動主檔'!$F:$F,'01_異動主檔'!$B:$B,118,'01_異動主檔'!$D:$D,A510,'01_異動主檔'!$E:$E,"精簡")</f>
        <v/>
      </c>
      <c r="I510" s="8">
        <f>C510+D510+E510+F510+G510+H510</f>
        <v/>
      </c>
    </row>
    <row r="511" ht="18" customHeight="1">
      <c r="A511" s="3" t="inlineStr">
        <is>
          <t>桃園分局</t>
        </is>
      </c>
      <c r="B511" s="4" t="n">
        <v>119</v>
      </c>
      <c r="C511" s="8">
        <f>I510</f>
        <v/>
      </c>
      <c r="D511" s="4">
        <f>SUMIFS('01_異動主檔'!$F:$F,'01_異動主檔'!$B:$B,119,'01_異動主檔'!$D:$D,A511,'01_異動主檔'!$E:$E,"移入")</f>
        <v/>
      </c>
      <c r="E511" s="4">
        <f>-SUMIFS('01_異動主檔'!$F:$F,'01_異動主檔'!$B:$B,119,'01_異動主檔'!$D:$D,A511,'01_異動主檔'!$E:$E,"移出")</f>
        <v/>
      </c>
      <c r="F511" s="4">
        <f>SUMIFS('01_異動主檔'!$F:$F,'01_異動主檔'!$B:$B,119,'01_異動主檔'!$D:$D,A511,'01_異動主檔'!$E:$E,"新增")</f>
        <v/>
      </c>
      <c r="G511" s="4">
        <f>-SUMIFS('01_異動主檔'!$F:$F,'01_異動主檔'!$B:$B,119,'01_異動主檔'!$D:$D,A511,'01_異動主檔'!$E:$E,"減列")</f>
        <v/>
      </c>
      <c r="H511" s="4">
        <f>-SUMIFS('01_異動主檔'!$F:$F,'01_異動主檔'!$B:$B,119,'01_異動主檔'!$D:$D,A511,'01_異動主檔'!$E:$E,"精簡")</f>
        <v/>
      </c>
      <c r="I511" s="8">
        <f>C511+D511+E511+F511+G511+H511</f>
        <v/>
      </c>
    </row>
    <row r="512" ht="18" customHeight="1">
      <c r="A512" s="5" t="inlineStr">
        <is>
          <t>桃園分局</t>
        </is>
      </c>
      <c r="B512" s="6" t="n">
        <v>120</v>
      </c>
      <c r="C512" s="8">
        <f>I511</f>
        <v/>
      </c>
      <c r="D512" s="4">
        <f>SUMIFS('01_異動主檔'!$F:$F,'01_異動主檔'!$B:$B,120,'01_異動主檔'!$D:$D,A512,'01_異動主檔'!$E:$E,"移入")</f>
        <v/>
      </c>
      <c r="E512" s="4">
        <f>-SUMIFS('01_異動主檔'!$F:$F,'01_異動主檔'!$B:$B,120,'01_異動主檔'!$D:$D,A512,'01_異動主檔'!$E:$E,"移出")</f>
        <v/>
      </c>
      <c r="F512" s="4">
        <f>SUMIFS('01_異動主檔'!$F:$F,'01_異動主檔'!$B:$B,120,'01_異動主檔'!$D:$D,A512,'01_異動主檔'!$E:$E,"新增")</f>
        <v/>
      </c>
      <c r="G512" s="4">
        <f>-SUMIFS('01_異動主檔'!$F:$F,'01_異動主檔'!$B:$B,120,'01_異動主檔'!$D:$D,A512,'01_異動主檔'!$E:$E,"減列")</f>
        <v/>
      </c>
      <c r="H512" s="4">
        <f>-SUMIFS('01_異動主檔'!$F:$F,'01_異動主檔'!$B:$B,120,'01_異動主檔'!$D:$D,A512,'01_異動主檔'!$E:$E,"精簡")</f>
        <v/>
      </c>
      <c r="I512" s="8">
        <f>C512+D512+E512+F512+G512+H512</f>
        <v/>
      </c>
    </row>
    <row r="513" ht="18" customHeight="1">
      <c r="A513" s="3" t="inlineStr">
        <is>
          <t>桃園分局</t>
        </is>
      </c>
      <c r="B513" s="4" t="n">
        <v>121</v>
      </c>
      <c r="C513" s="8">
        <f>I512</f>
        <v/>
      </c>
      <c r="D513" s="4">
        <f>SUMIFS('01_異動主檔'!$F:$F,'01_異動主檔'!$B:$B,121,'01_異動主檔'!$D:$D,A513,'01_異動主檔'!$E:$E,"移入")</f>
        <v/>
      </c>
      <c r="E513" s="4">
        <f>-SUMIFS('01_異動主檔'!$F:$F,'01_異動主檔'!$B:$B,121,'01_異動主檔'!$D:$D,A513,'01_異動主檔'!$E:$E,"移出")</f>
        <v/>
      </c>
      <c r="F513" s="4">
        <f>SUMIFS('01_異動主檔'!$F:$F,'01_異動主檔'!$B:$B,121,'01_異動主檔'!$D:$D,A513,'01_異動主檔'!$E:$E,"新增")</f>
        <v/>
      </c>
      <c r="G513" s="4">
        <f>-SUMIFS('01_異動主檔'!$F:$F,'01_異動主檔'!$B:$B,121,'01_異動主檔'!$D:$D,A513,'01_異動主檔'!$E:$E,"減列")</f>
        <v/>
      </c>
      <c r="H513" s="4">
        <f>-SUMIFS('01_異動主檔'!$F:$F,'01_異動主檔'!$B:$B,121,'01_異動主檔'!$D:$D,A513,'01_異動主檔'!$E:$E,"精簡")</f>
        <v/>
      </c>
      <c r="I513" s="8">
        <f>C513+D513+E513+F513+G513+H513</f>
        <v/>
      </c>
    </row>
    <row r="514" ht="18" customHeight="1">
      <c r="A514" s="5" t="inlineStr">
        <is>
          <t>桃園分局</t>
        </is>
      </c>
      <c r="B514" s="6" t="n">
        <v>122</v>
      </c>
      <c r="C514" s="8">
        <f>I513</f>
        <v/>
      </c>
      <c r="D514" s="4">
        <f>SUMIFS('01_異動主檔'!$F:$F,'01_異動主檔'!$B:$B,122,'01_異動主檔'!$D:$D,A514,'01_異動主檔'!$E:$E,"移入")</f>
        <v/>
      </c>
      <c r="E514" s="4">
        <f>-SUMIFS('01_異動主檔'!$F:$F,'01_異動主檔'!$B:$B,122,'01_異動主檔'!$D:$D,A514,'01_異動主檔'!$E:$E,"移出")</f>
        <v/>
      </c>
      <c r="F514" s="4">
        <f>SUMIFS('01_異動主檔'!$F:$F,'01_異動主檔'!$B:$B,122,'01_異動主檔'!$D:$D,A514,'01_異動主檔'!$E:$E,"新增")</f>
        <v/>
      </c>
      <c r="G514" s="4">
        <f>-SUMIFS('01_異動主檔'!$F:$F,'01_異動主檔'!$B:$B,122,'01_異動主檔'!$D:$D,A514,'01_異動主檔'!$E:$E,"減列")</f>
        <v/>
      </c>
      <c r="H514" s="4">
        <f>-SUMIFS('01_異動主檔'!$F:$F,'01_異動主檔'!$B:$B,122,'01_異動主檔'!$D:$D,A514,'01_異動主檔'!$E:$E,"精簡")</f>
        <v/>
      </c>
      <c r="I514" s="8">
        <f>C514+D514+E514+F514+G514+H514</f>
        <v/>
      </c>
    </row>
    <row r="515" ht="18" customHeight="1">
      <c r="A515" s="3" t="inlineStr">
        <is>
          <t>桃園分局</t>
        </is>
      </c>
      <c r="B515" s="4" t="n">
        <v>123</v>
      </c>
      <c r="C515" s="8">
        <f>I514</f>
        <v/>
      </c>
      <c r="D515" s="4">
        <f>SUMIFS('01_異動主檔'!$F:$F,'01_異動主檔'!$B:$B,123,'01_異動主檔'!$D:$D,A515,'01_異動主檔'!$E:$E,"移入")</f>
        <v/>
      </c>
      <c r="E515" s="4">
        <f>-SUMIFS('01_異動主檔'!$F:$F,'01_異動主檔'!$B:$B,123,'01_異動主檔'!$D:$D,A515,'01_異動主檔'!$E:$E,"移出")</f>
        <v/>
      </c>
      <c r="F515" s="4">
        <f>SUMIFS('01_異動主檔'!$F:$F,'01_異動主檔'!$B:$B,123,'01_異動主檔'!$D:$D,A515,'01_異動主檔'!$E:$E,"新增")</f>
        <v/>
      </c>
      <c r="G515" s="4">
        <f>-SUMIFS('01_異動主檔'!$F:$F,'01_異動主檔'!$B:$B,123,'01_異動主檔'!$D:$D,A515,'01_異動主檔'!$E:$E,"減列")</f>
        <v/>
      </c>
      <c r="H515" s="4">
        <f>-SUMIFS('01_異動主檔'!$F:$F,'01_異動主檔'!$B:$B,123,'01_異動主檔'!$D:$D,A515,'01_異動主檔'!$E:$E,"精簡")</f>
        <v/>
      </c>
      <c r="I515" s="8">
        <f>C515+D515+E515+F515+G515+H515</f>
        <v/>
      </c>
    </row>
    <row r="516" ht="18" customHeight="1">
      <c r="A516" s="5" t="inlineStr">
        <is>
          <t>桃園分局</t>
        </is>
      </c>
      <c r="B516" s="6" t="n">
        <v>124</v>
      </c>
      <c r="C516" s="8">
        <f>I515</f>
        <v/>
      </c>
      <c r="D516" s="4">
        <f>SUMIFS('01_異動主檔'!$F:$F,'01_異動主檔'!$B:$B,124,'01_異動主檔'!$D:$D,A516,'01_異動主檔'!$E:$E,"移入")</f>
        <v/>
      </c>
      <c r="E516" s="4">
        <f>-SUMIFS('01_異動主檔'!$F:$F,'01_異動主檔'!$B:$B,124,'01_異動主檔'!$D:$D,A516,'01_異動主檔'!$E:$E,"移出")</f>
        <v/>
      </c>
      <c r="F516" s="4">
        <f>SUMIFS('01_異動主檔'!$F:$F,'01_異動主檔'!$B:$B,124,'01_異動主檔'!$D:$D,A516,'01_異動主檔'!$E:$E,"新增")</f>
        <v/>
      </c>
      <c r="G516" s="4">
        <f>-SUMIFS('01_異動主檔'!$F:$F,'01_異動主檔'!$B:$B,124,'01_異動主檔'!$D:$D,A516,'01_異動主檔'!$E:$E,"減列")</f>
        <v/>
      </c>
      <c r="H516" s="4">
        <f>-SUMIFS('01_異動主檔'!$F:$F,'01_異動主檔'!$B:$B,124,'01_異動主檔'!$D:$D,A516,'01_異動主檔'!$E:$E,"精簡")</f>
        <v/>
      </c>
      <c r="I516" s="8">
        <f>C516+D516+E516+F516+G516+H516</f>
        <v/>
      </c>
    </row>
    <row r="517" ht="18" customHeight="1">
      <c r="A517" s="3" t="inlineStr">
        <is>
          <t>桃園分局</t>
        </is>
      </c>
      <c r="B517" s="4" t="n">
        <v>125</v>
      </c>
      <c r="C517" s="8">
        <f>I516</f>
        <v/>
      </c>
      <c r="D517" s="4">
        <f>SUMIFS('01_異動主檔'!$F:$F,'01_異動主檔'!$B:$B,125,'01_異動主檔'!$D:$D,A517,'01_異動主檔'!$E:$E,"移入")</f>
        <v/>
      </c>
      <c r="E517" s="4">
        <f>-SUMIFS('01_異動主檔'!$F:$F,'01_異動主檔'!$B:$B,125,'01_異動主檔'!$D:$D,A517,'01_異動主檔'!$E:$E,"移出")</f>
        <v/>
      </c>
      <c r="F517" s="4">
        <f>SUMIFS('01_異動主檔'!$F:$F,'01_異動主檔'!$B:$B,125,'01_異動主檔'!$D:$D,A517,'01_異動主檔'!$E:$E,"新增")</f>
        <v/>
      </c>
      <c r="G517" s="4">
        <f>-SUMIFS('01_異動主檔'!$F:$F,'01_異動主檔'!$B:$B,125,'01_異動主檔'!$D:$D,A517,'01_異動主檔'!$E:$E,"減列")</f>
        <v/>
      </c>
      <c r="H517" s="4">
        <f>-SUMIFS('01_異動主檔'!$F:$F,'01_異動主檔'!$B:$B,125,'01_異動主檔'!$D:$D,A517,'01_異動主檔'!$E:$E,"精簡")</f>
        <v/>
      </c>
      <c r="I517" s="8">
        <f>C517+D517+E517+F517+G517+H517</f>
        <v/>
      </c>
    </row>
    <row r="518" ht="18" customHeight="1">
      <c r="A518" s="5" t="inlineStr">
        <is>
          <t>台中分局</t>
        </is>
      </c>
      <c r="B518" s="6" t="n">
        <v>99</v>
      </c>
      <c r="C518" s="8">
        <f>'02_年初員額設定'!B24</f>
        <v/>
      </c>
      <c r="D518" s="4">
        <f>SUMIFS('01_異動主檔'!$F:$F,'01_異動主檔'!$B:$B,99,'01_異動主檔'!$D:$D,A518,'01_異動主檔'!$E:$E,"移入")</f>
        <v/>
      </c>
      <c r="E518" s="4">
        <f>-SUMIFS('01_異動主檔'!$F:$F,'01_異動主檔'!$B:$B,99,'01_異動主檔'!$D:$D,A518,'01_異動主檔'!$E:$E,"移出")</f>
        <v/>
      </c>
      <c r="F518" s="4">
        <f>SUMIFS('01_異動主檔'!$F:$F,'01_異動主檔'!$B:$B,99,'01_異動主檔'!$D:$D,A518,'01_異動主檔'!$E:$E,"新增")</f>
        <v/>
      </c>
      <c r="G518" s="4">
        <f>-SUMIFS('01_異動主檔'!$F:$F,'01_異動主檔'!$B:$B,99,'01_異動主檔'!$D:$D,A518,'01_異動主檔'!$E:$E,"減列")</f>
        <v/>
      </c>
      <c r="H518" s="4">
        <f>-SUMIFS('01_異動主檔'!$F:$F,'01_異動主檔'!$B:$B,99,'01_異動主檔'!$D:$D,A518,'01_異動主檔'!$E:$E,"精簡")</f>
        <v/>
      </c>
      <c r="I518" s="8">
        <f>C518+D518+E518+F518+G518+H518</f>
        <v/>
      </c>
    </row>
    <row r="519" ht="18" customHeight="1">
      <c r="A519" s="3" t="inlineStr">
        <is>
          <t>台中分局</t>
        </is>
      </c>
      <c r="B519" s="4" t="n">
        <v>100</v>
      </c>
      <c r="C519" s="8">
        <f>I518</f>
        <v/>
      </c>
      <c r="D519" s="4">
        <f>SUMIFS('01_異動主檔'!$F:$F,'01_異動主檔'!$B:$B,100,'01_異動主檔'!$D:$D,A519,'01_異動主檔'!$E:$E,"移入")</f>
        <v/>
      </c>
      <c r="E519" s="4">
        <f>-SUMIFS('01_異動主檔'!$F:$F,'01_異動主檔'!$B:$B,100,'01_異動主檔'!$D:$D,A519,'01_異動主檔'!$E:$E,"移出")</f>
        <v/>
      </c>
      <c r="F519" s="4">
        <f>SUMIFS('01_異動主檔'!$F:$F,'01_異動主檔'!$B:$B,100,'01_異動主檔'!$D:$D,A519,'01_異動主檔'!$E:$E,"新增")</f>
        <v/>
      </c>
      <c r="G519" s="4">
        <f>-SUMIFS('01_異動主檔'!$F:$F,'01_異動主檔'!$B:$B,100,'01_異動主檔'!$D:$D,A519,'01_異動主檔'!$E:$E,"減列")</f>
        <v/>
      </c>
      <c r="H519" s="4">
        <f>-SUMIFS('01_異動主檔'!$F:$F,'01_異動主檔'!$B:$B,100,'01_異動主檔'!$D:$D,A519,'01_異動主檔'!$E:$E,"精簡")</f>
        <v/>
      </c>
      <c r="I519" s="8">
        <f>C519+D519+E519+F519+G519+H519</f>
        <v/>
      </c>
    </row>
    <row r="520" ht="18" customHeight="1">
      <c r="A520" s="5" t="inlineStr">
        <is>
          <t>台中分局</t>
        </is>
      </c>
      <c r="B520" s="6" t="n">
        <v>101</v>
      </c>
      <c r="C520" s="8">
        <f>I519</f>
        <v/>
      </c>
      <c r="D520" s="4">
        <f>SUMIFS('01_異動主檔'!$F:$F,'01_異動主檔'!$B:$B,101,'01_異動主檔'!$D:$D,A520,'01_異動主檔'!$E:$E,"移入")</f>
        <v/>
      </c>
      <c r="E520" s="4">
        <f>-SUMIFS('01_異動主檔'!$F:$F,'01_異動主檔'!$B:$B,101,'01_異動主檔'!$D:$D,A520,'01_異動主檔'!$E:$E,"移出")</f>
        <v/>
      </c>
      <c r="F520" s="4">
        <f>SUMIFS('01_異動主檔'!$F:$F,'01_異動主檔'!$B:$B,101,'01_異動主檔'!$D:$D,A520,'01_異動主檔'!$E:$E,"新增")</f>
        <v/>
      </c>
      <c r="G520" s="4">
        <f>-SUMIFS('01_異動主檔'!$F:$F,'01_異動主檔'!$B:$B,101,'01_異動主檔'!$D:$D,A520,'01_異動主檔'!$E:$E,"減列")</f>
        <v/>
      </c>
      <c r="H520" s="4">
        <f>-SUMIFS('01_異動主檔'!$F:$F,'01_異動主檔'!$B:$B,101,'01_異動主檔'!$D:$D,A520,'01_異動主檔'!$E:$E,"精簡")</f>
        <v/>
      </c>
      <c r="I520" s="8">
        <f>C520+D520+E520+F520+G520+H520</f>
        <v/>
      </c>
    </row>
    <row r="521" ht="18" customHeight="1">
      <c r="A521" s="3" t="inlineStr">
        <is>
          <t>台中分局</t>
        </is>
      </c>
      <c r="B521" s="4" t="n">
        <v>102</v>
      </c>
      <c r="C521" s="8">
        <f>I520</f>
        <v/>
      </c>
      <c r="D521" s="4">
        <f>SUMIFS('01_異動主檔'!$F:$F,'01_異動主檔'!$B:$B,102,'01_異動主檔'!$D:$D,A521,'01_異動主檔'!$E:$E,"移入")</f>
        <v/>
      </c>
      <c r="E521" s="4">
        <f>-SUMIFS('01_異動主檔'!$F:$F,'01_異動主檔'!$B:$B,102,'01_異動主檔'!$D:$D,A521,'01_異動主檔'!$E:$E,"移出")</f>
        <v/>
      </c>
      <c r="F521" s="4">
        <f>SUMIFS('01_異動主檔'!$F:$F,'01_異動主檔'!$B:$B,102,'01_異動主檔'!$D:$D,A521,'01_異動主檔'!$E:$E,"新增")</f>
        <v/>
      </c>
      <c r="G521" s="4">
        <f>-SUMIFS('01_異動主檔'!$F:$F,'01_異動主檔'!$B:$B,102,'01_異動主檔'!$D:$D,A521,'01_異動主檔'!$E:$E,"減列")</f>
        <v/>
      </c>
      <c r="H521" s="4">
        <f>-SUMIFS('01_異動主檔'!$F:$F,'01_異動主檔'!$B:$B,102,'01_異動主檔'!$D:$D,A521,'01_異動主檔'!$E:$E,"精簡")</f>
        <v/>
      </c>
      <c r="I521" s="8">
        <f>C521+D521+E521+F521+G521+H521</f>
        <v/>
      </c>
    </row>
    <row r="522" ht="18" customHeight="1">
      <c r="A522" s="5" t="inlineStr">
        <is>
          <t>台中分局</t>
        </is>
      </c>
      <c r="B522" s="6" t="n">
        <v>103</v>
      </c>
      <c r="C522" s="8">
        <f>I521</f>
        <v/>
      </c>
      <c r="D522" s="4">
        <f>SUMIFS('01_異動主檔'!$F:$F,'01_異動主檔'!$B:$B,103,'01_異動主檔'!$D:$D,A522,'01_異動主檔'!$E:$E,"移入")</f>
        <v/>
      </c>
      <c r="E522" s="4">
        <f>-SUMIFS('01_異動主檔'!$F:$F,'01_異動主檔'!$B:$B,103,'01_異動主檔'!$D:$D,A522,'01_異動主檔'!$E:$E,"移出")</f>
        <v/>
      </c>
      <c r="F522" s="4">
        <f>SUMIFS('01_異動主檔'!$F:$F,'01_異動主檔'!$B:$B,103,'01_異動主檔'!$D:$D,A522,'01_異動主檔'!$E:$E,"新增")</f>
        <v/>
      </c>
      <c r="G522" s="4">
        <f>-SUMIFS('01_異動主檔'!$F:$F,'01_異動主檔'!$B:$B,103,'01_異動主檔'!$D:$D,A522,'01_異動主檔'!$E:$E,"減列")</f>
        <v/>
      </c>
      <c r="H522" s="4">
        <f>-SUMIFS('01_異動主檔'!$F:$F,'01_異動主檔'!$B:$B,103,'01_異動主檔'!$D:$D,A522,'01_異動主檔'!$E:$E,"精簡")</f>
        <v/>
      </c>
      <c r="I522" s="8">
        <f>C522+D522+E522+F522+G522+H522</f>
        <v/>
      </c>
    </row>
    <row r="523" ht="18" customHeight="1">
      <c r="A523" s="3" t="inlineStr">
        <is>
          <t>台中分局</t>
        </is>
      </c>
      <c r="B523" s="4" t="n">
        <v>104</v>
      </c>
      <c r="C523" s="8">
        <f>I522</f>
        <v/>
      </c>
      <c r="D523" s="4">
        <f>SUMIFS('01_異動主檔'!$F:$F,'01_異動主檔'!$B:$B,104,'01_異動主檔'!$D:$D,A523,'01_異動主檔'!$E:$E,"移入")</f>
        <v/>
      </c>
      <c r="E523" s="4">
        <f>-SUMIFS('01_異動主檔'!$F:$F,'01_異動主檔'!$B:$B,104,'01_異動主檔'!$D:$D,A523,'01_異動主檔'!$E:$E,"移出")</f>
        <v/>
      </c>
      <c r="F523" s="4">
        <f>SUMIFS('01_異動主檔'!$F:$F,'01_異動主檔'!$B:$B,104,'01_異動主檔'!$D:$D,A523,'01_異動主檔'!$E:$E,"新增")</f>
        <v/>
      </c>
      <c r="G523" s="4">
        <f>-SUMIFS('01_異動主檔'!$F:$F,'01_異動主檔'!$B:$B,104,'01_異動主檔'!$D:$D,A523,'01_異動主檔'!$E:$E,"減列")</f>
        <v/>
      </c>
      <c r="H523" s="4">
        <f>-SUMIFS('01_異動主檔'!$F:$F,'01_異動主檔'!$B:$B,104,'01_異動主檔'!$D:$D,A523,'01_異動主檔'!$E:$E,"精簡")</f>
        <v/>
      </c>
      <c r="I523" s="8">
        <f>C523+D523+E523+F523+G523+H523</f>
        <v/>
      </c>
    </row>
    <row r="524" ht="18" customHeight="1">
      <c r="A524" s="5" t="inlineStr">
        <is>
          <t>台中分局</t>
        </is>
      </c>
      <c r="B524" s="6" t="n">
        <v>105</v>
      </c>
      <c r="C524" s="8">
        <f>I523</f>
        <v/>
      </c>
      <c r="D524" s="4">
        <f>SUMIFS('01_異動主檔'!$F:$F,'01_異動主檔'!$B:$B,105,'01_異動主檔'!$D:$D,A524,'01_異動主檔'!$E:$E,"移入")</f>
        <v/>
      </c>
      <c r="E524" s="4">
        <f>-SUMIFS('01_異動主檔'!$F:$F,'01_異動主檔'!$B:$B,105,'01_異動主檔'!$D:$D,A524,'01_異動主檔'!$E:$E,"移出")</f>
        <v/>
      </c>
      <c r="F524" s="4">
        <f>SUMIFS('01_異動主檔'!$F:$F,'01_異動主檔'!$B:$B,105,'01_異動主檔'!$D:$D,A524,'01_異動主檔'!$E:$E,"新增")</f>
        <v/>
      </c>
      <c r="G524" s="4">
        <f>-SUMIFS('01_異動主檔'!$F:$F,'01_異動主檔'!$B:$B,105,'01_異動主檔'!$D:$D,A524,'01_異動主檔'!$E:$E,"減列")</f>
        <v/>
      </c>
      <c r="H524" s="4">
        <f>-SUMIFS('01_異動主檔'!$F:$F,'01_異動主檔'!$B:$B,105,'01_異動主檔'!$D:$D,A524,'01_異動主檔'!$E:$E,"精簡")</f>
        <v/>
      </c>
      <c r="I524" s="8">
        <f>C524+D524+E524+F524+G524+H524</f>
        <v/>
      </c>
    </row>
    <row r="525" ht="18" customHeight="1">
      <c r="A525" s="3" t="inlineStr">
        <is>
          <t>台中分局</t>
        </is>
      </c>
      <c r="B525" s="4" t="n">
        <v>106</v>
      </c>
      <c r="C525" s="8">
        <f>I524</f>
        <v/>
      </c>
      <c r="D525" s="4">
        <f>SUMIFS('01_異動主檔'!$F:$F,'01_異動主檔'!$B:$B,106,'01_異動主檔'!$D:$D,A525,'01_異動主檔'!$E:$E,"移入")</f>
        <v/>
      </c>
      <c r="E525" s="4">
        <f>-SUMIFS('01_異動主檔'!$F:$F,'01_異動主檔'!$B:$B,106,'01_異動主檔'!$D:$D,A525,'01_異動主檔'!$E:$E,"移出")</f>
        <v/>
      </c>
      <c r="F525" s="4">
        <f>SUMIFS('01_異動主檔'!$F:$F,'01_異動主檔'!$B:$B,106,'01_異動主檔'!$D:$D,A525,'01_異動主檔'!$E:$E,"新增")</f>
        <v/>
      </c>
      <c r="G525" s="4">
        <f>-SUMIFS('01_異動主檔'!$F:$F,'01_異動主檔'!$B:$B,106,'01_異動主檔'!$D:$D,A525,'01_異動主檔'!$E:$E,"減列")</f>
        <v/>
      </c>
      <c r="H525" s="4">
        <f>-SUMIFS('01_異動主檔'!$F:$F,'01_異動主檔'!$B:$B,106,'01_異動主檔'!$D:$D,A525,'01_異動主檔'!$E:$E,"精簡")</f>
        <v/>
      </c>
      <c r="I525" s="8">
        <f>C525+D525+E525+F525+G525+H525</f>
        <v/>
      </c>
    </row>
    <row r="526" ht="18" customHeight="1">
      <c r="A526" s="5" t="inlineStr">
        <is>
          <t>台中分局</t>
        </is>
      </c>
      <c r="B526" s="6" t="n">
        <v>107</v>
      </c>
      <c r="C526" s="8">
        <f>I525</f>
        <v/>
      </c>
      <c r="D526" s="4">
        <f>SUMIFS('01_異動主檔'!$F:$F,'01_異動主檔'!$B:$B,107,'01_異動主檔'!$D:$D,A526,'01_異動主檔'!$E:$E,"移入")</f>
        <v/>
      </c>
      <c r="E526" s="4">
        <f>-SUMIFS('01_異動主檔'!$F:$F,'01_異動主檔'!$B:$B,107,'01_異動主檔'!$D:$D,A526,'01_異動主檔'!$E:$E,"移出")</f>
        <v/>
      </c>
      <c r="F526" s="4">
        <f>SUMIFS('01_異動主檔'!$F:$F,'01_異動主檔'!$B:$B,107,'01_異動主檔'!$D:$D,A526,'01_異動主檔'!$E:$E,"新增")</f>
        <v/>
      </c>
      <c r="G526" s="4">
        <f>-SUMIFS('01_異動主檔'!$F:$F,'01_異動主檔'!$B:$B,107,'01_異動主檔'!$D:$D,A526,'01_異動主檔'!$E:$E,"減列")</f>
        <v/>
      </c>
      <c r="H526" s="4">
        <f>-SUMIFS('01_異動主檔'!$F:$F,'01_異動主檔'!$B:$B,107,'01_異動主檔'!$D:$D,A526,'01_異動主檔'!$E:$E,"精簡")</f>
        <v/>
      </c>
      <c r="I526" s="8">
        <f>C526+D526+E526+F526+G526+H526</f>
        <v/>
      </c>
    </row>
    <row r="527" ht="18" customHeight="1">
      <c r="A527" s="3" t="inlineStr">
        <is>
          <t>台中分局</t>
        </is>
      </c>
      <c r="B527" s="4" t="n">
        <v>108</v>
      </c>
      <c r="C527" s="8">
        <f>I526</f>
        <v/>
      </c>
      <c r="D527" s="4">
        <f>SUMIFS('01_異動主檔'!$F:$F,'01_異動主檔'!$B:$B,108,'01_異動主檔'!$D:$D,A527,'01_異動主檔'!$E:$E,"移入")</f>
        <v/>
      </c>
      <c r="E527" s="4">
        <f>-SUMIFS('01_異動主檔'!$F:$F,'01_異動主檔'!$B:$B,108,'01_異動主檔'!$D:$D,A527,'01_異動主檔'!$E:$E,"移出")</f>
        <v/>
      </c>
      <c r="F527" s="4">
        <f>SUMIFS('01_異動主檔'!$F:$F,'01_異動主檔'!$B:$B,108,'01_異動主檔'!$D:$D,A527,'01_異動主檔'!$E:$E,"新增")</f>
        <v/>
      </c>
      <c r="G527" s="4">
        <f>-SUMIFS('01_異動主檔'!$F:$F,'01_異動主檔'!$B:$B,108,'01_異動主檔'!$D:$D,A527,'01_異動主檔'!$E:$E,"減列")</f>
        <v/>
      </c>
      <c r="H527" s="4">
        <f>-SUMIFS('01_異動主檔'!$F:$F,'01_異動主檔'!$B:$B,108,'01_異動主檔'!$D:$D,A527,'01_異動主檔'!$E:$E,"精簡")</f>
        <v/>
      </c>
      <c r="I527" s="8">
        <f>C527+D527+E527+F527+G527+H527</f>
        <v/>
      </c>
    </row>
    <row r="528" ht="18" customHeight="1">
      <c r="A528" s="5" t="inlineStr">
        <is>
          <t>台中分局</t>
        </is>
      </c>
      <c r="B528" s="6" t="n">
        <v>109</v>
      </c>
      <c r="C528" s="8">
        <f>I527</f>
        <v/>
      </c>
      <c r="D528" s="4">
        <f>SUMIFS('01_異動主檔'!$F:$F,'01_異動主檔'!$B:$B,109,'01_異動主檔'!$D:$D,A528,'01_異動主檔'!$E:$E,"移入")</f>
        <v/>
      </c>
      <c r="E528" s="4">
        <f>-SUMIFS('01_異動主檔'!$F:$F,'01_異動主檔'!$B:$B,109,'01_異動主檔'!$D:$D,A528,'01_異動主檔'!$E:$E,"移出")</f>
        <v/>
      </c>
      <c r="F528" s="4">
        <f>SUMIFS('01_異動主檔'!$F:$F,'01_異動主檔'!$B:$B,109,'01_異動主檔'!$D:$D,A528,'01_異動主檔'!$E:$E,"新增")</f>
        <v/>
      </c>
      <c r="G528" s="4">
        <f>-SUMIFS('01_異動主檔'!$F:$F,'01_異動主檔'!$B:$B,109,'01_異動主檔'!$D:$D,A528,'01_異動主檔'!$E:$E,"減列")</f>
        <v/>
      </c>
      <c r="H528" s="4">
        <f>-SUMIFS('01_異動主檔'!$F:$F,'01_異動主檔'!$B:$B,109,'01_異動主檔'!$D:$D,A528,'01_異動主檔'!$E:$E,"精簡")</f>
        <v/>
      </c>
      <c r="I528" s="8">
        <f>C528+D528+E528+F528+G528+H528</f>
        <v/>
      </c>
    </row>
    <row r="529" ht="18" customHeight="1">
      <c r="A529" s="3" t="inlineStr">
        <is>
          <t>台中分局</t>
        </is>
      </c>
      <c r="B529" s="4" t="n">
        <v>110</v>
      </c>
      <c r="C529" s="8">
        <f>I528</f>
        <v/>
      </c>
      <c r="D529" s="4">
        <f>SUMIFS('01_異動主檔'!$F:$F,'01_異動主檔'!$B:$B,110,'01_異動主檔'!$D:$D,A529,'01_異動主檔'!$E:$E,"移入")</f>
        <v/>
      </c>
      <c r="E529" s="4">
        <f>-SUMIFS('01_異動主檔'!$F:$F,'01_異動主檔'!$B:$B,110,'01_異動主檔'!$D:$D,A529,'01_異動主檔'!$E:$E,"移出")</f>
        <v/>
      </c>
      <c r="F529" s="4">
        <f>SUMIFS('01_異動主檔'!$F:$F,'01_異動主檔'!$B:$B,110,'01_異動主檔'!$D:$D,A529,'01_異動主檔'!$E:$E,"新增")</f>
        <v/>
      </c>
      <c r="G529" s="4">
        <f>-SUMIFS('01_異動主檔'!$F:$F,'01_異動主檔'!$B:$B,110,'01_異動主檔'!$D:$D,A529,'01_異動主檔'!$E:$E,"減列")</f>
        <v/>
      </c>
      <c r="H529" s="4">
        <f>-SUMIFS('01_異動主檔'!$F:$F,'01_異動主檔'!$B:$B,110,'01_異動主檔'!$D:$D,A529,'01_異動主檔'!$E:$E,"精簡")</f>
        <v/>
      </c>
      <c r="I529" s="8">
        <f>C529+D529+E529+F529+G529+H529</f>
        <v/>
      </c>
    </row>
    <row r="530" ht="18" customHeight="1">
      <c r="A530" s="5" t="inlineStr">
        <is>
          <t>台中分局</t>
        </is>
      </c>
      <c r="B530" s="6" t="n">
        <v>111</v>
      </c>
      <c r="C530" s="8">
        <f>I529</f>
        <v/>
      </c>
      <c r="D530" s="4">
        <f>SUMIFS('01_異動主檔'!$F:$F,'01_異動主檔'!$B:$B,111,'01_異動主檔'!$D:$D,A530,'01_異動主檔'!$E:$E,"移入")</f>
        <v/>
      </c>
      <c r="E530" s="4">
        <f>-SUMIFS('01_異動主檔'!$F:$F,'01_異動主檔'!$B:$B,111,'01_異動主檔'!$D:$D,A530,'01_異動主檔'!$E:$E,"移出")</f>
        <v/>
      </c>
      <c r="F530" s="4">
        <f>SUMIFS('01_異動主檔'!$F:$F,'01_異動主檔'!$B:$B,111,'01_異動主檔'!$D:$D,A530,'01_異動主檔'!$E:$E,"新增")</f>
        <v/>
      </c>
      <c r="G530" s="4">
        <f>-SUMIFS('01_異動主檔'!$F:$F,'01_異動主檔'!$B:$B,111,'01_異動主檔'!$D:$D,A530,'01_異動主檔'!$E:$E,"減列")</f>
        <v/>
      </c>
      <c r="H530" s="4">
        <f>-SUMIFS('01_異動主檔'!$F:$F,'01_異動主檔'!$B:$B,111,'01_異動主檔'!$D:$D,A530,'01_異動主檔'!$E:$E,"精簡")</f>
        <v/>
      </c>
      <c r="I530" s="8">
        <f>C530+D530+E530+F530+G530+H530</f>
        <v/>
      </c>
    </row>
    <row r="531" ht="18" customHeight="1">
      <c r="A531" s="3" t="inlineStr">
        <is>
          <t>台中分局</t>
        </is>
      </c>
      <c r="B531" s="4" t="n">
        <v>112</v>
      </c>
      <c r="C531" s="8">
        <f>I530</f>
        <v/>
      </c>
      <c r="D531" s="4">
        <f>SUMIFS('01_異動主檔'!$F:$F,'01_異動主檔'!$B:$B,112,'01_異動主檔'!$D:$D,A531,'01_異動主檔'!$E:$E,"移入")</f>
        <v/>
      </c>
      <c r="E531" s="4">
        <f>-SUMIFS('01_異動主檔'!$F:$F,'01_異動主檔'!$B:$B,112,'01_異動主檔'!$D:$D,A531,'01_異動主檔'!$E:$E,"移出")</f>
        <v/>
      </c>
      <c r="F531" s="4">
        <f>SUMIFS('01_異動主檔'!$F:$F,'01_異動主檔'!$B:$B,112,'01_異動主檔'!$D:$D,A531,'01_異動主檔'!$E:$E,"新增")</f>
        <v/>
      </c>
      <c r="G531" s="4">
        <f>-SUMIFS('01_異動主檔'!$F:$F,'01_異動主檔'!$B:$B,112,'01_異動主檔'!$D:$D,A531,'01_異動主檔'!$E:$E,"減列")</f>
        <v/>
      </c>
      <c r="H531" s="4">
        <f>-SUMIFS('01_異動主檔'!$F:$F,'01_異動主檔'!$B:$B,112,'01_異動主檔'!$D:$D,A531,'01_異動主檔'!$E:$E,"精簡")</f>
        <v/>
      </c>
      <c r="I531" s="8">
        <f>C531+D531+E531+F531+G531+H531</f>
        <v/>
      </c>
    </row>
    <row r="532" ht="18" customHeight="1">
      <c r="A532" s="5" t="inlineStr">
        <is>
          <t>台中分局</t>
        </is>
      </c>
      <c r="B532" s="6" t="n">
        <v>113</v>
      </c>
      <c r="C532" s="8">
        <f>I531</f>
        <v/>
      </c>
      <c r="D532" s="4">
        <f>SUMIFS('01_異動主檔'!$F:$F,'01_異動主檔'!$B:$B,113,'01_異動主檔'!$D:$D,A532,'01_異動主檔'!$E:$E,"移入")</f>
        <v/>
      </c>
      <c r="E532" s="4">
        <f>-SUMIFS('01_異動主檔'!$F:$F,'01_異動主檔'!$B:$B,113,'01_異動主檔'!$D:$D,A532,'01_異動主檔'!$E:$E,"移出")</f>
        <v/>
      </c>
      <c r="F532" s="4">
        <f>SUMIFS('01_異動主檔'!$F:$F,'01_異動主檔'!$B:$B,113,'01_異動主檔'!$D:$D,A532,'01_異動主檔'!$E:$E,"新增")</f>
        <v/>
      </c>
      <c r="G532" s="4">
        <f>-SUMIFS('01_異動主檔'!$F:$F,'01_異動主檔'!$B:$B,113,'01_異動主檔'!$D:$D,A532,'01_異動主檔'!$E:$E,"減列")</f>
        <v/>
      </c>
      <c r="H532" s="4">
        <f>-SUMIFS('01_異動主檔'!$F:$F,'01_異動主檔'!$B:$B,113,'01_異動主檔'!$D:$D,A532,'01_異動主檔'!$E:$E,"精簡")</f>
        <v/>
      </c>
      <c r="I532" s="8">
        <f>C532+D532+E532+F532+G532+H532</f>
        <v/>
      </c>
    </row>
    <row r="533" ht="18" customHeight="1">
      <c r="A533" s="3" t="inlineStr">
        <is>
          <t>台中分局</t>
        </is>
      </c>
      <c r="B533" s="4" t="n">
        <v>114</v>
      </c>
      <c r="C533" s="8">
        <f>I532</f>
        <v/>
      </c>
      <c r="D533" s="4">
        <f>SUMIFS('01_異動主檔'!$F:$F,'01_異動主檔'!$B:$B,114,'01_異動主檔'!$D:$D,A533,'01_異動主檔'!$E:$E,"移入")</f>
        <v/>
      </c>
      <c r="E533" s="4">
        <f>-SUMIFS('01_異動主檔'!$F:$F,'01_異動主檔'!$B:$B,114,'01_異動主檔'!$D:$D,A533,'01_異動主檔'!$E:$E,"移出")</f>
        <v/>
      </c>
      <c r="F533" s="4">
        <f>SUMIFS('01_異動主檔'!$F:$F,'01_異動主檔'!$B:$B,114,'01_異動主檔'!$D:$D,A533,'01_異動主檔'!$E:$E,"新增")</f>
        <v/>
      </c>
      <c r="G533" s="4">
        <f>-SUMIFS('01_異動主檔'!$F:$F,'01_異動主檔'!$B:$B,114,'01_異動主檔'!$D:$D,A533,'01_異動主檔'!$E:$E,"減列")</f>
        <v/>
      </c>
      <c r="H533" s="4">
        <f>-SUMIFS('01_異動主檔'!$F:$F,'01_異動主檔'!$B:$B,114,'01_異動主檔'!$D:$D,A533,'01_異動主檔'!$E:$E,"精簡")</f>
        <v/>
      </c>
      <c r="I533" s="8">
        <f>C533+D533+E533+F533+G533+H533</f>
        <v/>
      </c>
    </row>
    <row r="534" ht="18" customHeight="1">
      <c r="A534" s="5" t="inlineStr">
        <is>
          <t>台中分局</t>
        </is>
      </c>
      <c r="B534" s="6" t="n">
        <v>115</v>
      </c>
      <c r="C534" s="8">
        <f>I533</f>
        <v/>
      </c>
      <c r="D534" s="4">
        <f>SUMIFS('01_異動主檔'!$F:$F,'01_異動主檔'!$B:$B,115,'01_異動主檔'!$D:$D,A534,'01_異動主檔'!$E:$E,"移入")</f>
        <v/>
      </c>
      <c r="E534" s="4">
        <f>-SUMIFS('01_異動主檔'!$F:$F,'01_異動主檔'!$B:$B,115,'01_異動主檔'!$D:$D,A534,'01_異動主檔'!$E:$E,"移出")</f>
        <v/>
      </c>
      <c r="F534" s="4">
        <f>SUMIFS('01_異動主檔'!$F:$F,'01_異動主檔'!$B:$B,115,'01_異動主檔'!$D:$D,A534,'01_異動主檔'!$E:$E,"新增")</f>
        <v/>
      </c>
      <c r="G534" s="4">
        <f>-SUMIFS('01_異動主檔'!$F:$F,'01_異動主檔'!$B:$B,115,'01_異動主檔'!$D:$D,A534,'01_異動主檔'!$E:$E,"減列")</f>
        <v/>
      </c>
      <c r="H534" s="4">
        <f>-SUMIFS('01_異動主檔'!$F:$F,'01_異動主檔'!$B:$B,115,'01_異動主檔'!$D:$D,A534,'01_異動主檔'!$E:$E,"精簡")</f>
        <v/>
      </c>
      <c r="I534" s="8">
        <f>C534+D534+E534+F534+G534+H534</f>
        <v/>
      </c>
    </row>
    <row r="535" ht="18" customHeight="1">
      <c r="A535" s="3" t="inlineStr">
        <is>
          <t>台中分局</t>
        </is>
      </c>
      <c r="B535" s="4" t="n">
        <v>116</v>
      </c>
      <c r="C535" s="8">
        <f>I534</f>
        <v/>
      </c>
      <c r="D535" s="4">
        <f>SUMIFS('01_異動主檔'!$F:$F,'01_異動主檔'!$B:$B,116,'01_異動主檔'!$D:$D,A535,'01_異動主檔'!$E:$E,"移入")</f>
        <v/>
      </c>
      <c r="E535" s="4">
        <f>-SUMIFS('01_異動主檔'!$F:$F,'01_異動主檔'!$B:$B,116,'01_異動主檔'!$D:$D,A535,'01_異動主檔'!$E:$E,"移出")</f>
        <v/>
      </c>
      <c r="F535" s="4">
        <f>SUMIFS('01_異動主檔'!$F:$F,'01_異動主檔'!$B:$B,116,'01_異動主檔'!$D:$D,A535,'01_異動主檔'!$E:$E,"新增")</f>
        <v/>
      </c>
      <c r="G535" s="4">
        <f>-SUMIFS('01_異動主檔'!$F:$F,'01_異動主檔'!$B:$B,116,'01_異動主檔'!$D:$D,A535,'01_異動主檔'!$E:$E,"減列")</f>
        <v/>
      </c>
      <c r="H535" s="4">
        <f>-SUMIFS('01_異動主檔'!$F:$F,'01_異動主檔'!$B:$B,116,'01_異動主檔'!$D:$D,A535,'01_異動主檔'!$E:$E,"精簡")</f>
        <v/>
      </c>
      <c r="I535" s="8">
        <f>C535+D535+E535+F535+G535+H535</f>
        <v/>
      </c>
    </row>
    <row r="536" ht="18" customHeight="1">
      <c r="A536" s="5" t="inlineStr">
        <is>
          <t>台中分局</t>
        </is>
      </c>
      <c r="B536" s="6" t="n">
        <v>117</v>
      </c>
      <c r="C536" s="8">
        <f>I535</f>
        <v/>
      </c>
      <c r="D536" s="4">
        <f>SUMIFS('01_異動主檔'!$F:$F,'01_異動主檔'!$B:$B,117,'01_異動主檔'!$D:$D,A536,'01_異動主檔'!$E:$E,"移入")</f>
        <v/>
      </c>
      <c r="E536" s="4">
        <f>-SUMIFS('01_異動主檔'!$F:$F,'01_異動主檔'!$B:$B,117,'01_異動主檔'!$D:$D,A536,'01_異動主檔'!$E:$E,"移出")</f>
        <v/>
      </c>
      <c r="F536" s="4">
        <f>SUMIFS('01_異動主檔'!$F:$F,'01_異動主檔'!$B:$B,117,'01_異動主檔'!$D:$D,A536,'01_異動主檔'!$E:$E,"新增")</f>
        <v/>
      </c>
      <c r="G536" s="4">
        <f>-SUMIFS('01_異動主檔'!$F:$F,'01_異動主檔'!$B:$B,117,'01_異動主檔'!$D:$D,A536,'01_異動主檔'!$E:$E,"減列")</f>
        <v/>
      </c>
      <c r="H536" s="4">
        <f>-SUMIFS('01_異動主檔'!$F:$F,'01_異動主檔'!$B:$B,117,'01_異動主檔'!$D:$D,A536,'01_異動主檔'!$E:$E,"精簡")</f>
        <v/>
      </c>
      <c r="I536" s="8">
        <f>C536+D536+E536+F536+G536+H536</f>
        <v/>
      </c>
    </row>
    <row r="537" ht="18" customHeight="1">
      <c r="A537" s="3" t="inlineStr">
        <is>
          <t>台中分局</t>
        </is>
      </c>
      <c r="B537" s="4" t="n">
        <v>118</v>
      </c>
      <c r="C537" s="8">
        <f>I536</f>
        <v/>
      </c>
      <c r="D537" s="4">
        <f>SUMIFS('01_異動主檔'!$F:$F,'01_異動主檔'!$B:$B,118,'01_異動主檔'!$D:$D,A537,'01_異動主檔'!$E:$E,"移入")</f>
        <v/>
      </c>
      <c r="E537" s="4">
        <f>-SUMIFS('01_異動主檔'!$F:$F,'01_異動主檔'!$B:$B,118,'01_異動主檔'!$D:$D,A537,'01_異動主檔'!$E:$E,"移出")</f>
        <v/>
      </c>
      <c r="F537" s="4">
        <f>SUMIFS('01_異動主檔'!$F:$F,'01_異動主檔'!$B:$B,118,'01_異動主檔'!$D:$D,A537,'01_異動主檔'!$E:$E,"新增")</f>
        <v/>
      </c>
      <c r="G537" s="4">
        <f>-SUMIFS('01_異動主檔'!$F:$F,'01_異動主檔'!$B:$B,118,'01_異動主檔'!$D:$D,A537,'01_異動主檔'!$E:$E,"減列")</f>
        <v/>
      </c>
      <c r="H537" s="4">
        <f>-SUMIFS('01_異動主檔'!$F:$F,'01_異動主檔'!$B:$B,118,'01_異動主檔'!$D:$D,A537,'01_異動主檔'!$E:$E,"精簡")</f>
        <v/>
      </c>
      <c r="I537" s="8">
        <f>C537+D537+E537+F537+G537+H537</f>
        <v/>
      </c>
    </row>
    <row r="538" ht="18" customHeight="1">
      <c r="A538" s="5" t="inlineStr">
        <is>
          <t>台中分局</t>
        </is>
      </c>
      <c r="B538" s="6" t="n">
        <v>119</v>
      </c>
      <c r="C538" s="8">
        <f>I537</f>
        <v/>
      </c>
      <c r="D538" s="4">
        <f>SUMIFS('01_異動主檔'!$F:$F,'01_異動主檔'!$B:$B,119,'01_異動主檔'!$D:$D,A538,'01_異動主檔'!$E:$E,"移入")</f>
        <v/>
      </c>
      <c r="E538" s="4">
        <f>-SUMIFS('01_異動主檔'!$F:$F,'01_異動主檔'!$B:$B,119,'01_異動主檔'!$D:$D,A538,'01_異動主檔'!$E:$E,"移出")</f>
        <v/>
      </c>
      <c r="F538" s="4">
        <f>SUMIFS('01_異動主檔'!$F:$F,'01_異動主檔'!$B:$B,119,'01_異動主檔'!$D:$D,A538,'01_異動主檔'!$E:$E,"新增")</f>
        <v/>
      </c>
      <c r="G538" s="4">
        <f>-SUMIFS('01_異動主檔'!$F:$F,'01_異動主檔'!$B:$B,119,'01_異動主檔'!$D:$D,A538,'01_異動主檔'!$E:$E,"減列")</f>
        <v/>
      </c>
      <c r="H538" s="4">
        <f>-SUMIFS('01_異動主檔'!$F:$F,'01_異動主檔'!$B:$B,119,'01_異動主檔'!$D:$D,A538,'01_異動主檔'!$E:$E,"精簡")</f>
        <v/>
      </c>
      <c r="I538" s="8">
        <f>C538+D538+E538+F538+G538+H538</f>
        <v/>
      </c>
    </row>
    <row r="539" ht="18" customHeight="1">
      <c r="A539" s="3" t="inlineStr">
        <is>
          <t>台中分局</t>
        </is>
      </c>
      <c r="B539" s="4" t="n">
        <v>120</v>
      </c>
      <c r="C539" s="8">
        <f>I538</f>
        <v/>
      </c>
      <c r="D539" s="4">
        <f>SUMIFS('01_異動主檔'!$F:$F,'01_異動主檔'!$B:$B,120,'01_異動主檔'!$D:$D,A539,'01_異動主檔'!$E:$E,"移入")</f>
        <v/>
      </c>
      <c r="E539" s="4">
        <f>-SUMIFS('01_異動主檔'!$F:$F,'01_異動主檔'!$B:$B,120,'01_異動主檔'!$D:$D,A539,'01_異動主檔'!$E:$E,"移出")</f>
        <v/>
      </c>
      <c r="F539" s="4">
        <f>SUMIFS('01_異動主檔'!$F:$F,'01_異動主檔'!$B:$B,120,'01_異動主檔'!$D:$D,A539,'01_異動主檔'!$E:$E,"新增")</f>
        <v/>
      </c>
      <c r="G539" s="4">
        <f>-SUMIFS('01_異動主檔'!$F:$F,'01_異動主檔'!$B:$B,120,'01_異動主檔'!$D:$D,A539,'01_異動主檔'!$E:$E,"減列")</f>
        <v/>
      </c>
      <c r="H539" s="4">
        <f>-SUMIFS('01_異動主檔'!$F:$F,'01_異動主檔'!$B:$B,120,'01_異動主檔'!$D:$D,A539,'01_異動主檔'!$E:$E,"精簡")</f>
        <v/>
      </c>
      <c r="I539" s="8">
        <f>C539+D539+E539+F539+G539+H539</f>
        <v/>
      </c>
    </row>
    <row r="540" ht="18" customHeight="1">
      <c r="A540" s="5" t="inlineStr">
        <is>
          <t>台中分局</t>
        </is>
      </c>
      <c r="B540" s="6" t="n">
        <v>121</v>
      </c>
      <c r="C540" s="8">
        <f>I539</f>
        <v/>
      </c>
      <c r="D540" s="4">
        <f>SUMIFS('01_異動主檔'!$F:$F,'01_異動主檔'!$B:$B,121,'01_異動主檔'!$D:$D,A540,'01_異動主檔'!$E:$E,"移入")</f>
        <v/>
      </c>
      <c r="E540" s="4">
        <f>-SUMIFS('01_異動主檔'!$F:$F,'01_異動主檔'!$B:$B,121,'01_異動主檔'!$D:$D,A540,'01_異動主檔'!$E:$E,"移出")</f>
        <v/>
      </c>
      <c r="F540" s="4">
        <f>SUMIFS('01_異動主檔'!$F:$F,'01_異動主檔'!$B:$B,121,'01_異動主檔'!$D:$D,A540,'01_異動主檔'!$E:$E,"新增")</f>
        <v/>
      </c>
      <c r="G540" s="4">
        <f>-SUMIFS('01_異動主檔'!$F:$F,'01_異動主檔'!$B:$B,121,'01_異動主檔'!$D:$D,A540,'01_異動主檔'!$E:$E,"減列")</f>
        <v/>
      </c>
      <c r="H540" s="4">
        <f>-SUMIFS('01_異動主檔'!$F:$F,'01_異動主檔'!$B:$B,121,'01_異動主檔'!$D:$D,A540,'01_異動主檔'!$E:$E,"精簡")</f>
        <v/>
      </c>
      <c r="I540" s="8">
        <f>C540+D540+E540+F540+G540+H540</f>
        <v/>
      </c>
    </row>
    <row r="541" ht="18" customHeight="1">
      <c r="A541" s="3" t="inlineStr">
        <is>
          <t>台中分局</t>
        </is>
      </c>
      <c r="B541" s="4" t="n">
        <v>122</v>
      </c>
      <c r="C541" s="8">
        <f>I540</f>
        <v/>
      </c>
      <c r="D541" s="4">
        <f>SUMIFS('01_異動主檔'!$F:$F,'01_異動主檔'!$B:$B,122,'01_異動主檔'!$D:$D,A541,'01_異動主檔'!$E:$E,"移入")</f>
        <v/>
      </c>
      <c r="E541" s="4">
        <f>-SUMIFS('01_異動主檔'!$F:$F,'01_異動主檔'!$B:$B,122,'01_異動主檔'!$D:$D,A541,'01_異動主檔'!$E:$E,"移出")</f>
        <v/>
      </c>
      <c r="F541" s="4">
        <f>SUMIFS('01_異動主檔'!$F:$F,'01_異動主檔'!$B:$B,122,'01_異動主檔'!$D:$D,A541,'01_異動主檔'!$E:$E,"新增")</f>
        <v/>
      </c>
      <c r="G541" s="4">
        <f>-SUMIFS('01_異動主檔'!$F:$F,'01_異動主檔'!$B:$B,122,'01_異動主檔'!$D:$D,A541,'01_異動主檔'!$E:$E,"減列")</f>
        <v/>
      </c>
      <c r="H541" s="4">
        <f>-SUMIFS('01_異動主檔'!$F:$F,'01_異動主檔'!$B:$B,122,'01_異動主檔'!$D:$D,A541,'01_異動主檔'!$E:$E,"精簡")</f>
        <v/>
      </c>
      <c r="I541" s="8">
        <f>C541+D541+E541+F541+G541+H541</f>
        <v/>
      </c>
    </row>
    <row r="542" ht="18" customHeight="1">
      <c r="A542" s="5" t="inlineStr">
        <is>
          <t>台中分局</t>
        </is>
      </c>
      <c r="B542" s="6" t="n">
        <v>123</v>
      </c>
      <c r="C542" s="8">
        <f>I541</f>
        <v/>
      </c>
      <c r="D542" s="4">
        <f>SUMIFS('01_異動主檔'!$F:$F,'01_異動主檔'!$B:$B,123,'01_異動主檔'!$D:$D,A542,'01_異動主檔'!$E:$E,"移入")</f>
        <v/>
      </c>
      <c r="E542" s="4">
        <f>-SUMIFS('01_異動主檔'!$F:$F,'01_異動主檔'!$B:$B,123,'01_異動主檔'!$D:$D,A542,'01_異動主檔'!$E:$E,"移出")</f>
        <v/>
      </c>
      <c r="F542" s="4">
        <f>SUMIFS('01_異動主檔'!$F:$F,'01_異動主檔'!$B:$B,123,'01_異動主檔'!$D:$D,A542,'01_異動主檔'!$E:$E,"新增")</f>
        <v/>
      </c>
      <c r="G542" s="4">
        <f>-SUMIFS('01_異動主檔'!$F:$F,'01_異動主檔'!$B:$B,123,'01_異動主檔'!$D:$D,A542,'01_異動主檔'!$E:$E,"減列")</f>
        <v/>
      </c>
      <c r="H542" s="4">
        <f>-SUMIFS('01_異動主檔'!$F:$F,'01_異動主檔'!$B:$B,123,'01_異動主檔'!$D:$D,A542,'01_異動主檔'!$E:$E,"精簡")</f>
        <v/>
      </c>
      <c r="I542" s="8">
        <f>C542+D542+E542+F542+G542+H542</f>
        <v/>
      </c>
    </row>
    <row r="543" ht="18" customHeight="1">
      <c r="A543" s="3" t="inlineStr">
        <is>
          <t>台中分局</t>
        </is>
      </c>
      <c r="B543" s="4" t="n">
        <v>124</v>
      </c>
      <c r="C543" s="8">
        <f>I542</f>
        <v/>
      </c>
      <c r="D543" s="4">
        <f>SUMIFS('01_異動主檔'!$F:$F,'01_異動主檔'!$B:$B,124,'01_異動主檔'!$D:$D,A543,'01_異動主檔'!$E:$E,"移入")</f>
        <v/>
      </c>
      <c r="E543" s="4">
        <f>-SUMIFS('01_異動主檔'!$F:$F,'01_異動主檔'!$B:$B,124,'01_異動主檔'!$D:$D,A543,'01_異動主檔'!$E:$E,"移出")</f>
        <v/>
      </c>
      <c r="F543" s="4">
        <f>SUMIFS('01_異動主檔'!$F:$F,'01_異動主檔'!$B:$B,124,'01_異動主檔'!$D:$D,A543,'01_異動主檔'!$E:$E,"新增")</f>
        <v/>
      </c>
      <c r="G543" s="4">
        <f>-SUMIFS('01_異動主檔'!$F:$F,'01_異動主檔'!$B:$B,124,'01_異動主檔'!$D:$D,A543,'01_異動主檔'!$E:$E,"減列")</f>
        <v/>
      </c>
      <c r="H543" s="4">
        <f>-SUMIFS('01_異動主檔'!$F:$F,'01_異動主檔'!$B:$B,124,'01_異動主檔'!$D:$D,A543,'01_異動主檔'!$E:$E,"精簡")</f>
        <v/>
      </c>
      <c r="I543" s="8">
        <f>C543+D543+E543+F543+G543+H543</f>
        <v/>
      </c>
    </row>
    <row r="544" ht="18" customHeight="1">
      <c r="A544" s="5" t="inlineStr">
        <is>
          <t>台中分局</t>
        </is>
      </c>
      <c r="B544" s="6" t="n">
        <v>125</v>
      </c>
      <c r="C544" s="8">
        <f>I543</f>
        <v/>
      </c>
      <c r="D544" s="4">
        <f>SUMIFS('01_異動主檔'!$F:$F,'01_異動主檔'!$B:$B,125,'01_異動主檔'!$D:$D,A544,'01_異動主檔'!$E:$E,"移入")</f>
        <v/>
      </c>
      <c r="E544" s="4">
        <f>-SUMIFS('01_異動主檔'!$F:$F,'01_異動主檔'!$B:$B,125,'01_異動主檔'!$D:$D,A544,'01_異動主檔'!$E:$E,"移出")</f>
        <v/>
      </c>
      <c r="F544" s="4">
        <f>SUMIFS('01_異動主檔'!$F:$F,'01_異動主檔'!$B:$B,125,'01_異動主檔'!$D:$D,A544,'01_異動主檔'!$E:$E,"新增")</f>
        <v/>
      </c>
      <c r="G544" s="4">
        <f>-SUMIFS('01_異動主檔'!$F:$F,'01_異動主檔'!$B:$B,125,'01_異動主檔'!$D:$D,A544,'01_異動主檔'!$E:$E,"減列")</f>
        <v/>
      </c>
      <c r="H544" s="4">
        <f>-SUMIFS('01_異動主檔'!$F:$F,'01_異動主檔'!$B:$B,125,'01_異動主檔'!$D:$D,A544,'01_異動主檔'!$E:$E,"精簡")</f>
        <v/>
      </c>
      <c r="I544" s="8">
        <f>C544+D544+E544+F544+G544+H544</f>
        <v/>
      </c>
    </row>
    <row r="545" ht="18" customHeight="1">
      <c r="A545" s="3" t="inlineStr">
        <is>
          <t>台南分局</t>
        </is>
      </c>
      <c r="B545" s="4" t="n">
        <v>99</v>
      </c>
      <c r="C545" s="8">
        <f>'02_年初員額設定'!B25</f>
        <v/>
      </c>
      <c r="D545" s="4">
        <f>SUMIFS('01_異動主檔'!$F:$F,'01_異動主檔'!$B:$B,99,'01_異動主檔'!$D:$D,A545,'01_異動主檔'!$E:$E,"移入")</f>
        <v/>
      </c>
      <c r="E545" s="4">
        <f>-SUMIFS('01_異動主檔'!$F:$F,'01_異動主檔'!$B:$B,99,'01_異動主檔'!$D:$D,A545,'01_異動主檔'!$E:$E,"移出")</f>
        <v/>
      </c>
      <c r="F545" s="4">
        <f>SUMIFS('01_異動主檔'!$F:$F,'01_異動主檔'!$B:$B,99,'01_異動主檔'!$D:$D,A545,'01_異動主檔'!$E:$E,"新增")</f>
        <v/>
      </c>
      <c r="G545" s="4">
        <f>-SUMIFS('01_異動主檔'!$F:$F,'01_異動主檔'!$B:$B,99,'01_異動主檔'!$D:$D,A545,'01_異動主檔'!$E:$E,"減列")</f>
        <v/>
      </c>
      <c r="H545" s="4">
        <f>-SUMIFS('01_異動主檔'!$F:$F,'01_異動主檔'!$B:$B,99,'01_異動主檔'!$D:$D,A545,'01_異動主檔'!$E:$E,"精簡")</f>
        <v/>
      </c>
      <c r="I545" s="8">
        <f>C545+D545+E545+F545+G545+H545</f>
        <v/>
      </c>
    </row>
    <row r="546" ht="18" customHeight="1">
      <c r="A546" s="5" t="inlineStr">
        <is>
          <t>台南分局</t>
        </is>
      </c>
      <c r="B546" s="6" t="n">
        <v>100</v>
      </c>
      <c r="C546" s="8">
        <f>I545</f>
        <v/>
      </c>
      <c r="D546" s="4">
        <f>SUMIFS('01_異動主檔'!$F:$F,'01_異動主檔'!$B:$B,100,'01_異動主檔'!$D:$D,A546,'01_異動主檔'!$E:$E,"移入")</f>
        <v/>
      </c>
      <c r="E546" s="4">
        <f>-SUMIFS('01_異動主檔'!$F:$F,'01_異動主檔'!$B:$B,100,'01_異動主檔'!$D:$D,A546,'01_異動主檔'!$E:$E,"移出")</f>
        <v/>
      </c>
      <c r="F546" s="4">
        <f>SUMIFS('01_異動主檔'!$F:$F,'01_異動主檔'!$B:$B,100,'01_異動主檔'!$D:$D,A546,'01_異動主檔'!$E:$E,"新增")</f>
        <v/>
      </c>
      <c r="G546" s="4">
        <f>-SUMIFS('01_異動主檔'!$F:$F,'01_異動主檔'!$B:$B,100,'01_異動主檔'!$D:$D,A546,'01_異動主檔'!$E:$E,"減列")</f>
        <v/>
      </c>
      <c r="H546" s="4">
        <f>-SUMIFS('01_異動主檔'!$F:$F,'01_異動主檔'!$B:$B,100,'01_異動主檔'!$D:$D,A546,'01_異動主檔'!$E:$E,"精簡")</f>
        <v/>
      </c>
      <c r="I546" s="8">
        <f>C546+D546+E546+F546+G546+H546</f>
        <v/>
      </c>
    </row>
    <row r="547" ht="18" customHeight="1">
      <c r="A547" s="3" t="inlineStr">
        <is>
          <t>台南分局</t>
        </is>
      </c>
      <c r="B547" s="4" t="n">
        <v>101</v>
      </c>
      <c r="C547" s="8">
        <f>I546</f>
        <v/>
      </c>
      <c r="D547" s="4">
        <f>SUMIFS('01_異動主檔'!$F:$F,'01_異動主檔'!$B:$B,101,'01_異動主檔'!$D:$D,A547,'01_異動主檔'!$E:$E,"移入")</f>
        <v/>
      </c>
      <c r="E547" s="4">
        <f>-SUMIFS('01_異動主檔'!$F:$F,'01_異動主檔'!$B:$B,101,'01_異動主檔'!$D:$D,A547,'01_異動主檔'!$E:$E,"移出")</f>
        <v/>
      </c>
      <c r="F547" s="4">
        <f>SUMIFS('01_異動主檔'!$F:$F,'01_異動主檔'!$B:$B,101,'01_異動主檔'!$D:$D,A547,'01_異動主檔'!$E:$E,"新增")</f>
        <v/>
      </c>
      <c r="G547" s="4">
        <f>-SUMIFS('01_異動主檔'!$F:$F,'01_異動主檔'!$B:$B,101,'01_異動主檔'!$D:$D,A547,'01_異動主檔'!$E:$E,"減列")</f>
        <v/>
      </c>
      <c r="H547" s="4">
        <f>-SUMIFS('01_異動主檔'!$F:$F,'01_異動主檔'!$B:$B,101,'01_異動主檔'!$D:$D,A547,'01_異動主檔'!$E:$E,"精簡")</f>
        <v/>
      </c>
      <c r="I547" s="8">
        <f>C547+D547+E547+F547+G547+H547</f>
        <v/>
      </c>
    </row>
    <row r="548" ht="18" customHeight="1">
      <c r="A548" s="5" t="inlineStr">
        <is>
          <t>台南分局</t>
        </is>
      </c>
      <c r="B548" s="6" t="n">
        <v>102</v>
      </c>
      <c r="C548" s="8">
        <f>I547</f>
        <v/>
      </c>
      <c r="D548" s="4">
        <f>SUMIFS('01_異動主檔'!$F:$F,'01_異動主檔'!$B:$B,102,'01_異動主檔'!$D:$D,A548,'01_異動主檔'!$E:$E,"移入")</f>
        <v/>
      </c>
      <c r="E548" s="4">
        <f>-SUMIFS('01_異動主檔'!$F:$F,'01_異動主檔'!$B:$B,102,'01_異動主檔'!$D:$D,A548,'01_異動主檔'!$E:$E,"移出")</f>
        <v/>
      </c>
      <c r="F548" s="4">
        <f>SUMIFS('01_異動主檔'!$F:$F,'01_異動主檔'!$B:$B,102,'01_異動主檔'!$D:$D,A548,'01_異動主檔'!$E:$E,"新增")</f>
        <v/>
      </c>
      <c r="G548" s="4">
        <f>-SUMIFS('01_異動主檔'!$F:$F,'01_異動主檔'!$B:$B,102,'01_異動主檔'!$D:$D,A548,'01_異動主檔'!$E:$E,"減列")</f>
        <v/>
      </c>
      <c r="H548" s="4">
        <f>-SUMIFS('01_異動主檔'!$F:$F,'01_異動主檔'!$B:$B,102,'01_異動主檔'!$D:$D,A548,'01_異動主檔'!$E:$E,"精簡")</f>
        <v/>
      </c>
      <c r="I548" s="8">
        <f>C548+D548+E548+F548+G548+H548</f>
        <v/>
      </c>
    </row>
    <row r="549" ht="18" customHeight="1">
      <c r="A549" s="3" t="inlineStr">
        <is>
          <t>台南分局</t>
        </is>
      </c>
      <c r="B549" s="4" t="n">
        <v>103</v>
      </c>
      <c r="C549" s="8">
        <f>I548</f>
        <v/>
      </c>
      <c r="D549" s="4">
        <f>SUMIFS('01_異動主檔'!$F:$F,'01_異動主檔'!$B:$B,103,'01_異動主檔'!$D:$D,A549,'01_異動主檔'!$E:$E,"移入")</f>
        <v/>
      </c>
      <c r="E549" s="4">
        <f>-SUMIFS('01_異動主檔'!$F:$F,'01_異動主檔'!$B:$B,103,'01_異動主檔'!$D:$D,A549,'01_異動主檔'!$E:$E,"移出")</f>
        <v/>
      </c>
      <c r="F549" s="4">
        <f>SUMIFS('01_異動主檔'!$F:$F,'01_異動主檔'!$B:$B,103,'01_異動主檔'!$D:$D,A549,'01_異動主檔'!$E:$E,"新增")</f>
        <v/>
      </c>
      <c r="G549" s="4">
        <f>-SUMIFS('01_異動主檔'!$F:$F,'01_異動主檔'!$B:$B,103,'01_異動主檔'!$D:$D,A549,'01_異動主檔'!$E:$E,"減列")</f>
        <v/>
      </c>
      <c r="H549" s="4">
        <f>-SUMIFS('01_異動主檔'!$F:$F,'01_異動主檔'!$B:$B,103,'01_異動主檔'!$D:$D,A549,'01_異動主檔'!$E:$E,"精簡")</f>
        <v/>
      </c>
      <c r="I549" s="8">
        <f>C549+D549+E549+F549+G549+H549</f>
        <v/>
      </c>
    </row>
    <row r="550" ht="18" customHeight="1">
      <c r="A550" s="5" t="inlineStr">
        <is>
          <t>台南分局</t>
        </is>
      </c>
      <c r="B550" s="6" t="n">
        <v>104</v>
      </c>
      <c r="C550" s="8">
        <f>I549</f>
        <v/>
      </c>
      <c r="D550" s="4">
        <f>SUMIFS('01_異動主檔'!$F:$F,'01_異動主檔'!$B:$B,104,'01_異動主檔'!$D:$D,A550,'01_異動主檔'!$E:$E,"移入")</f>
        <v/>
      </c>
      <c r="E550" s="4">
        <f>-SUMIFS('01_異動主檔'!$F:$F,'01_異動主檔'!$B:$B,104,'01_異動主檔'!$D:$D,A550,'01_異動主檔'!$E:$E,"移出")</f>
        <v/>
      </c>
      <c r="F550" s="4">
        <f>SUMIFS('01_異動主檔'!$F:$F,'01_異動主檔'!$B:$B,104,'01_異動主檔'!$D:$D,A550,'01_異動主檔'!$E:$E,"新增")</f>
        <v/>
      </c>
      <c r="G550" s="4">
        <f>-SUMIFS('01_異動主檔'!$F:$F,'01_異動主檔'!$B:$B,104,'01_異動主檔'!$D:$D,A550,'01_異動主檔'!$E:$E,"減列")</f>
        <v/>
      </c>
      <c r="H550" s="4">
        <f>-SUMIFS('01_異動主檔'!$F:$F,'01_異動主檔'!$B:$B,104,'01_異動主檔'!$D:$D,A550,'01_異動主檔'!$E:$E,"精簡")</f>
        <v/>
      </c>
      <c r="I550" s="8">
        <f>C550+D550+E550+F550+G550+H550</f>
        <v/>
      </c>
    </row>
    <row r="551" ht="18" customHeight="1">
      <c r="A551" s="3" t="inlineStr">
        <is>
          <t>台南分局</t>
        </is>
      </c>
      <c r="B551" s="4" t="n">
        <v>105</v>
      </c>
      <c r="C551" s="8">
        <f>I550</f>
        <v/>
      </c>
      <c r="D551" s="4">
        <f>SUMIFS('01_異動主檔'!$F:$F,'01_異動主檔'!$B:$B,105,'01_異動主檔'!$D:$D,A551,'01_異動主檔'!$E:$E,"移入")</f>
        <v/>
      </c>
      <c r="E551" s="4">
        <f>-SUMIFS('01_異動主檔'!$F:$F,'01_異動主檔'!$B:$B,105,'01_異動主檔'!$D:$D,A551,'01_異動主檔'!$E:$E,"移出")</f>
        <v/>
      </c>
      <c r="F551" s="4">
        <f>SUMIFS('01_異動主檔'!$F:$F,'01_異動主檔'!$B:$B,105,'01_異動主檔'!$D:$D,A551,'01_異動主檔'!$E:$E,"新增")</f>
        <v/>
      </c>
      <c r="G551" s="4">
        <f>-SUMIFS('01_異動主檔'!$F:$F,'01_異動主檔'!$B:$B,105,'01_異動主檔'!$D:$D,A551,'01_異動主檔'!$E:$E,"減列")</f>
        <v/>
      </c>
      <c r="H551" s="4">
        <f>-SUMIFS('01_異動主檔'!$F:$F,'01_異動主檔'!$B:$B,105,'01_異動主檔'!$D:$D,A551,'01_異動主檔'!$E:$E,"精簡")</f>
        <v/>
      </c>
      <c r="I551" s="8">
        <f>C551+D551+E551+F551+G551+H551</f>
        <v/>
      </c>
    </row>
    <row r="552" ht="18" customHeight="1">
      <c r="A552" s="5" t="inlineStr">
        <is>
          <t>台南分局</t>
        </is>
      </c>
      <c r="B552" s="6" t="n">
        <v>106</v>
      </c>
      <c r="C552" s="8">
        <f>I551</f>
        <v/>
      </c>
      <c r="D552" s="4">
        <f>SUMIFS('01_異動主檔'!$F:$F,'01_異動主檔'!$B:$B,106,'01_異動主檔'!$D:$D,A552,'01_異動主檔'!$E:$E,"移入")</f>
        <v/>
      </c>
      <c r="E552" s="4">
        <f>-SUMIFS('01_異動主檔'!$F:$F,'01_異動主檔'!$B:$B,106,'01_異動主檔'!$D:$D,A552,'01_異動主檔'!$E:$E,"移出")</f>
        <v/>
      </c>
      <c r="F552" s="4">
        <f>SUMIFS('01_異動主檔'!$F:$F,'01_異動主檔'!$B:$B,106,'01_異動主檔'!$D:$D,A552,'01_異動主檔'!$E:$E,"新增")</f>
        <v/>
      </c>
      <c r="G552" s="4">
        <f>-SUMIFS('01_異動主檔'!$F:$F,'01_異動主檔'!$B:$B,106,'01_異動主檔'!$D:$D,A552,'01_異動主檔'!$E:$E,"減列")</f>
        <v/>
      </c>
      <c r="H552" s="4">
        <f>-SUMIFS('01_異動主檔'!$F:$F,'01_異動主檔'!$B:$B,106,'01_異動主檔'!$D:$D,A552,'01_異動主檔'!$E:$E,"精簡")</f>
        <v/>
      </c>
      <c r="I552" s="8">
        <f>C552+D552+E552+F552+G552+H552</f>
        <v/>
      </c>
    </row>
    <row r="553" ht="18" customHeight="1">
      <c r="A553" s="3" t="inlineStr">
        <is>
          <t>台南分局</t>
        </is>
      </c>
      <c r="B553" s="4" t="n">
        <v>107</v>
      </c>
      <c r="C553" s="8">
        <f>I552</f>
        <v/>
      </c>
      <c r="D553" s="4">
        <f>SUMIFS('01_異動主檔'!$F:$F,'01_異動主檔'!$B:$B,107,'01_異動主檔'!$D:$D,A553,'01_異動主檔'!$E:$E,"移入")</f>
        <v/>
      </c>
      <c r="E553" s="4">
        <f>-SUMIFS('01_異動主檔'!$F:$F,'01_異動主檔'!$B:$B,107,'01_異動主檔'!$D:$D,A553,'01_異動主檔'!$E:$E,"移出")</f>
        <v/>
      </c>
      <c r="F553" s="4">
        <f>SUMIFS('01_異動主檔'!$F:$F,'01_異動主檔'!$B:$B,107,'01_異動主檔'!$D:$D,A553,'01_異動主檔'!$E:$E,"新增")</f>
        <v/>
      </c>
      <c r="G553" s="4">
        <f>-SUMIFS('01_異動主檔'!$F:$F,'01_異動主檔'!$B:$B,107,'01_異動主檔'!$D:$D,A553,'01_異動主檔'!$E:$E,"減列")</f>
        <v/>
      </c>
      <c r="H553" s="4">
        <f>-SUMIFS('01_異動主檔'!$F:$F,'01_異動主檔'!$B:$B,107,'01_異動主檔'!$D:$D,A553,'01_異動主檔'!$E:$E,"精簡")</f>
        <v/>
      </c>
      <c r="I553" s="8">
        <f>C553+D553+E553+F553+G553+H553</f>
        <v/>
      </c>
    </row>
    <row r="554" ht="18" customHeight="1">
      <c r="A554" s="5" t="inlineStr">
        <is>
          <t>台南分局</t>
        </is>
      </c>
      <c r="B554" s="6" t="n">
        <v>108</v>
      </c>
      <c r="C554" s="8">
        <f>I553</f>
        <v/>
      </c>
      <c r="D554" s="4">
        <f>SUMIFS('01_異動主檔'!$F:$F,'01_異動主檔'!$B:$B,108,'01_異動主檔'!$D:$D,A554,'01_異動主檔'!$E:$E,"移入")</f>
        <v/>
      </c>
      <c r="E554" s="4">
        <f>-SUMIFS('01_異動主檔'!$F:$F,'01_異動主檔'!$B:$B,108,'01_異動主檔'!$D:$D,A554,'01_異動主檔'!$E:$E,"移出")</f>
        <v/>
      </c>
      <c r="F554" s="4">
        <f>SUMIFS('01_異動主檔'!$F:$F,'01_異動主檔'!$B:$B,108,'01_異動主檔'!$D:$D,A554,'01_異動主檔'!$E:$E,"新增")</f>
        <v/>
      </c>
      <c r="G554" s="4">
        <f>-SUMIFS('01_異動主檔'!$F:$F,'01_異動主檔'!$B:$B,108,'01_異動主檔'!$D:$D,A554,'01_異動主檔'!$E:$E,"減列")</f>
        <v/>
      </c>
      <c r="H554" s="4">
        <f>-SUMIFS('01_異動主檔'!$F:$F,'01_異動主檔'!$B:$B,108,'01_異動主檔'!$D:$D,A554,'01_異動主檔'!$E:$E,"精簡")</f>
        <v/>
      </c>
      <c r="I554" s="8">
        <f>C554+D554+E554+F554+G554+H554</f>
        <v/>
      </c>
    </row>
    <row r="555" ht="18" customHeight="1">
      <c r="A555" s="3" t="inlineStr">
        <is>
          <t>台南分局</t>
        </is>
      </c>
      <c r="B555" s="4" t="n">
        <v>109</v>
      </c>
      <c r="C555" s="8">
        <f>I554</f>
        <v/>
      </c>
      <c r="D555" s="4">
        <f>SUMIFS('01_異動主檔'!$F:$F,'01_異動主檔'!$B:$B,109,'01_異動主檔'!$D:$D,A555,'01_異動主檔'!$E:$E,"移入")</f>
        <v/>
      </c>
      <c r="E555" s="4">
        <f>-SUMIFS('01_異動主檔'!$F:$F,'01_異動主檔'!$B:$B,109,'01_異動主檔'!$D:$D,A555,'01_異動主檔'!$E:$E,"移出")</f>
        <v/>
      </c>
      <c r="F555" s="4">
        <f>SUMIFS('01_異動主檔'!$F:$F,'01_異動主檔'!$B:$B,109,'01_異動主檔'!$D:$D,A555,'01_異動主檔'!$E:$E,"新增")</f>
        <v/>
      </c>
      <c r="G555" s="4">
        <f>-SUMIFS('01_異動主檔'!$F:$F,'01_異動主檔'!$B:$B,109,'01_異動主檔'!$D:$D,A555,'01_異動主檔'!$E:$E,"減列")</f>
        <v/>
      </c>
      <c r="H555" s="4">
        <f>-SUMIFS('01_異動主檔'!$F:$F,'01_異動主檔'!$B:$B,109,'01_異動主檔'!$D:$D,A555,'01_異動主檔'!$E:$E,"精簡")</f>
        <v/>
      </c>
      <c r="I555" s="8">
        <f>C555+D555+E555+F555+G555+H555</f>
        <v/>
      </c>
    </row>
    <row r="556" ht="18" customHeight="1">
      <c r="A556" s="5" t="inlineStr">
        <is>
          <t>台南分局</t>
        </is>
      </c>
      <c r="B556" s="6" t="n">
        <v>110</v>
      </c>
      <c r="C556" s="8">
        <f>I555</f>
        <v/>
      </c>
      <c r="D556" s="4">
        <f>SUMIFS('01_異動主檔'!$F:$F,'01_異動主檔'!$B:$B,110,'01_異動主檔'!$D:$D,A556,'01_異動主檔'!$E:$E,"移入")</f>
        <v/>
      </c>
      <c r="E556" s="4">
        <f>-SUMIFS('01_異動主檔'!$F:$F,'01_異動主檔'!$B:$B,110,'01_異動主檔'!$D:$D,A556,'01_異動主檔'!$E:$E,"移出")</f>
        <v/>
      </c>
      <c r="F556" s="4">
        <f>SUMIFS('01_異動主檔'!$F:$F,'01_異動主檔'!$B:$B,110,'01_異動主檔'!$D:$D,A556,'01_異動主檔'!$E:$E,"新增")</f>
        <v/>
      </c>
      <c r="G556" s="4">
        <f>-SUMIFS('01_異動主檔'!$F:$F,'01_異動主檔'!$B:$B,110,'01_異動主檔'!$D:$D,A556,'01_異動主檔'!$E:$E,"減列")</f>
        <v/>
      </c>
      <c r="H556" s="4">
        <f>-SUMIFS('01_異動主檔'!$F:$F,'01_異動主檔'!$B:$B,110,'01_異動主檔'!$D:$D,A556,'01_異動主檔'!$E:$E,"精簡")</f>
        <v/>
      </c>
      <c r="I556" s="8">
        <f>C556+D556+E556+F556+G556+H556</f>
        <v/>
      </c>
    </row>
    <row r="557" ht="18" customHeight="1">
      <c r="A557" s="3" t="inlineStr">
        <is>
          <t>台南分局</t>
        </is>
      </c>
      <c r="B557" s="4" t="n">
        <v>111</v>
      </c>
      <c r="C557" s="8">
        <f>I556</f>
        <v/>
      </c>
      <c r="D557" s="4">
        <f>SUMIFS('01_異動主檔'!$F:$F,'01_異動主檔'!$B:$B,111,'01_異動主檔'!$D:$D,A557,'01_異動主檔'!$E:$E,"移入")</f>
        <v/>
      </c>
      <c r="E557" s="4">
        <f>-SUMIFS('01_異動主檔'!$F:$F,'01_異動主檔'!$B:$B,111,'01_異動主檔'!$D:$D,A557,'01_異動主檔'!$E:$E,"移出")</f>
        <v/>
      </c>
      <c r="F557" s="4">
        <f>SUMIFS('01_異動主檔'!$F:$F,'01_異動主檔'!$B:$B,111,'01_異動主檔'!$D:$D,A557,'01_異動主檔'!$E:$E,"新增")</f>
        <v/>
      </c>
      <c r="G557" s="4">
        <f>-SUMIFS('01_異動主檔'!$F:$F,'01_異動主檔'!$B:$B,111,'01_異動主檔'!$D:$D,A557,'01_異動主檔'!$E:$E,"減列")</f>
        <v/>
      </c>
      <c r="H557" s="4">
        <f>-SUMIFS('01_異動主檔'!$F:$F,'01_異動主檔'!$B:$B,111,'01_異動主檔'!$D:$D,A557,'01_異動主檔'!$E:$E,"精簡")</f>
        <v/>
      </c>
      <c r="I557" s="8">
        <f>C557+D557+E557+F557+G557+H557</f>
        <v/>
      </c>
    </row>
    <row r="558" ht="18" customHeight="1">
      <c r="A558" s="5" t="inlineStr">
        <is>
          <t>台南分局</t>
        </is>
      </c>
      <c r="B558" s="6" t="n">
        <v>112</v>
      </c>
      <c r="C558" s="8">
        <f>I557</f>
        <v/>
      </c>
      <c r="D558" s="4">
        <f>SUMIFS('01_異動主檔'!$F:$F,'01_異動主檔'!$B:$B,112,'01_異動主檔'!$D:$D,A558,'01_異動主檔'!$E:$E,"移入")</f>
        <v/>
      </c>
      <c r="E558" s="4">
        <f>-SUMIFS('01_異動主檔'!$F:$F,'01_異動主檔'!$B:$B,112,'01_異動主檔'!$D:$D,A558,'01_異動主檔'!$E:$E,"移出")</f>
        <v/>
      </c>
      <c r="F558" s="4">
        <f>SUMIFS('01_異動主檔'!$F:$F,'01_異動主檔'!$B:$B,112,'01_異動主檔'!$D:$D,A558,'01_異動主檔'!$E:$E,"新增")</f>
        <v/>
      </c>
      <c r="G558" s="4">
        <f>-SUMIFS('01_異動主檔'!$F:$F,'01_異動主檔'!$B:$B,112,'01_異動主檔'!$D:$D,A558,'01_異動主檔'!$E:$E,"減列")</f>
        <v/>
      </c>
      <c r="H558" s="4">
        <f>-SUMIFS('01_異動主檔'!$F:$F,'01_異動主檔'!$B:$B,112,'01_異動主檔'!$D:$D,A558,'01_異動主檔'!$E:$E,"精簡")</f>
        <v/>
      </c>
      <c r="I558" s="8">
        <f>C558+D558+E558+F558+G558+H558</f>
        <v/>
      </c>
    </row>
    <row r="559" ht="18" customHeight="1">
      <c r="A559" s="3" t="inlineStr">
        <is>
          <t>台南分局</t>
        </is>
      </c>
      <c r="B559" s="4" t="n">
        <v>113</v>
      </c>
      <c r="C559" s="8">
        <f>I558</f>
        <v/>
      </c>
      <c r="D559" s="4">
        <f>SUMIFS('01_異動主檔'!$F:$F,'01_異動主檔'!$B:$B,113,'01_異動主檔'!$D:$D,A559,'01_異動主檔'!$E:$E,"移入")</f>
        <v/>
      </c>
      <c r="E559" s="4">
        <f>-SUMIFS('01_異動主檔'!$F:$F,'01_異動主檔'!$B:$B,113,'01_異動主檔'!$D:$D,A559,'01_異動主檔'!$E:$E,"移出")</f>
        <v/>
      </c>
      <c r="F559" s="4">
        <f>SUMIFS('01_異動主檔'!$F:$F,'01_異動主檔'!$B:$B,113,'01_異動主檔'!$D:$D,A559,'01_異動主檔'!$E:$E,"新增")</f>
        <v/>
      </c>
      <c r="G559" s="4">
        <f>-SUMIFS('01_異動主檔'!$F:$F,'01_異動主檔'!$B:$B,113,'01_異動主檔'!$D:$D,A559,'01_異動主檔'!$E:$E,"減列")</f>
        <v/>
      </c>
      <c r="H559" s="4">
        <f>-SUMIFS('01_異動主檔'!$F:$F,'01_異動主檔'!$B:$B,113,'01_異動主檔'!$D:$D,A559,'01_異動主檔'!$E:$E,"精簡")</f>
        <v/>
      </c>
      <c r="I559" s="8">
        <f>C559+D559+E559+F559+G559+H559</f>
        <v/>
      </c>
    </row>
    <row r="560" ht="18" customHeight="1">
      <c r="A560" s="5" t="inlineStr">
        <is>
          <t>台南分局</t>
        </is>
      </c>
      <c r="B560" s="6" t="n">
        <v>114</v>
      </c>
      <c r="C560" s="8">
        <f>I559</f>
        <v/>
      </c>
      <c r="D560" s="4">
        <f>SUMIFS('01_異動主檔'!$F:$F,'01_異動主檔'!$B:$B,114,'01_異動主檔'!$D:$D,A560,'01_異動主檔'!$E:$E,"移入")</f>
        <v/>
      </c>
      <c r="E560" s="4">
        <f>-SUMIFS('01_異動主檔'!$F:$F,'01_異動主檔'!$B:$B,114,'01_異動主檔'!$D:$D,A560,'01_異動主檔'!$E:$E,"移出")</f>
        <v/>
      </c>
      <c r="F560" s="4">
        <f>SUMIFS('01_異動主檔'!$F:$F,'01_異動主檔'!$B:$B,114,'01_異動主檔'!$D:$D,A560,'01_異動主檔'!$E:$E,"新增")</f>
        <v/>
      </c>
      <c r="G560" s="4">
        <f>-SUMIFS('01_異動主檔'!$F:$F,'01_異動主檔'!$B:$B,114,'01_異動主檔'!$D:$D,A560,'01_異動主檔'!$E:$E,"減列")</f>
        <v/>
      </c>
      <c r="H560" s="4">
        <f>-SUMIFS('01_異動主檔'!$F:$F,'01_異動主檔'!$B:$B,114,'01_異動主檔'!$D:$D,A560,'01_異動主檔'!$E:$E,"精簡")</f>
        <v/>
      </c>
      <c r="I560" s="8">
        <f>C560+D560+E560+F560+G560+H560</f>
        <v/>
      </c>
    </row>
    <row r="561" ht="18" customHeight="1">
      <c r="A561" s="3" t="inlineStr">
        <is>
          <t>台南分局</t>
        </is>
      </c>
      <c r="B561" s="4" t="n">
        <v>115</v>
      </c>
      <c r="C561" s="8">
        <f>I560</f>
        <v/>
      </c>
      <c r="D561" s="4">
        <f>SUMIFS('01_異動主檔'!$F:$F,'01_異動主檔'!$B:$B,115,'01_異動主檔'!$D:$D,A561,'01_異動主檔'!$E:$E,"移入")</f>
        <v/>
      </c>
      <c r="E561" s="4">
        <f>-SUMIFS('01_異動主檔'!$F:$F,'01_異動主檔'!$B:$B,115,'01_異動主檔'!$D:$D,A561,'01_異動主檔'!$E:$E,"移出")</f>
        <v/>
      </c>
      <c r="F561" s="4">
        <f>SUMIFS('01_異動主檔'!$F:$F,'01_異動主檔'!$B:$B,115,'01_異動主檔'!$D:$D,A561,'01_異動主檔'!$E:$E,"新增")</f>
        <v/>
      </c>
      <c r="G561" s="4">
        <f>-SUMIFS('01_異動主檔'!$F:$F,'01_異動主檔'!$B:$B,115,'01_異動主檔'!$D:$D,A561,'01_異動主檔'!$E:$E,"減列")</f>
        <v/>
      </c>
      <c r="H561" s="4">
        <f>-SUMIFS('01_異動主檔'!$F:$F,'01_異動主檔'!$B:$B,115,'01_異動主檔'!$D:$D,A561,'01_異動主檔'!$E:$E,"精簡")</f>
        <v/>
      </c>
      <c r="I561" s="8">
        <f>C561+D561+E561+F561+G561+H561</f>
        <v/>
      </c>
    </row>
    <row r="562" ht="18" customHeight="1">
      <c r="A562" s="5" t="inlineStr">
        <is>
          <t>台南分局</t>
        </is>
      </c>
      <c r="B562" s="6" t="n">
        <v>116</v>
      </c>
      <c r="C562" s="8">
        <f>I561</f>
        <v/>
      </c>
      <c r="D562" s="4">
        <f>SUMIFS('01_異動主檔'!$F:$F,'01_異動主檔'!$B:$B,116,'01_異動主檔'!$D:$D,A562,'01_異動主檔'!$E:$E,"移入")</f>
        <v/>
      </c>
      <c r="E562" s="4">
        <f>-SUMIFS('01_異動主檔'!$F:$F,'01_異動主檔'!$B:$B,116,'01_異動主檔'!$D:$D,A562,'01_異動主檔'!$E:$E,"移出")</f>
        <v/>
      </c>
      <c r="F562" s="4">
        <f>SUMIFS('01_異動主檔'!$F:$F,'01_異動主檔'!$B:$B,116,'01_異動主檔'!$D:$D,A562,'01_異動主檔'!$E:$E,"新增")</f>
        <v/>
      </c>
      <c r="G562" s="4">
        <f>-SUMIFS('01_異動主檔'!$F:$F,'01_異動主檔'!$B:$B,116,'01_異動主檔'!$D:$D,A562,'01_異動主檔'!$E:$E,"減列")</f>
        <v/>
      </c>
      <c r="H562" s="4">
        <f>-SUMIFS('01_異動主檔'!$F:$F,'01_異動主檔'!$B:$B,116,'01_異動主檔'!$D:$D,A562,'01_異動主檔'!$E:$E,"精簡")</f>
        <v/>
      </c>
      <c r="I562" s="8">
        <f>C562+D562+E562+F562+G562+H562</f>
        <v/>
      </c>
    </row>
    <row r="563" ht="18" customHeight="1">
      <c r="A563" s="3" t="inlineStr">
        <is>
          <t>台南分局</t>
        </is>
      </c>
      <c r="B563" s="4" t="n">
        <v>117</v>
      </c>
      <c r="C563" s="8">
        <f>I562</f>
        <v/>
      </c>
      <c r="D563" s="4">
        <f>SUMIFS('01_異動主檔'!$F:$F,'01_異動主檔'!$B:$B,117,'01_異動主檔'!$D:$D,A563,'01_異動主檔'!$E:$E,"移入")</f>
        <v/>
      </c>
      <c r="E563" s="4">
        <f>-SUMIFS('01_異動主檔'!$F:$F,'01_異動主檔'!$B:$B,117,'01_異動主檔'!$D:$D,A563,'01_異動主檔'!$E:$E,"移出")</f>
        <v/>
      </c>
      <c r="F563" s="4">
        <f>SUMIFS('01_異動主檔'!$F:$F,'01_異動主檔'!$B:$B,117,'01_異動主檔'!$D:$D,A563,'01_異動主檔'!$E:$E,"新增")</f>
        <v/>
      </c>
      <c r="G563" s="4">
        <f>-SUMIFS('01_異動主檔'!$F:$F,'01_異動主檔'!$B:$B,117,'01_異動主檔'!$D:$D,A563,'01_異動主檔'!$E:$E,"減列")</f>
        <v/>
      </c>
      <c r="H563" s="4">
        <f>-SUMIFS('01_異動主檔'!$F:$F,'01_異動主檔'!$B:$B,117,'01_異動主檔'!$D:$D,A563,'01_異動主檔'!$E:$E,"精簡")</f>
        <v/>
      </c>
      <c r="I563" s="8">
        <f>C563+D563+E563+F563+G563+H563</f>
        <v/>
      </c>
    </row>
    <row r="564" ht="18" customHeight="1">
      <c r="A564" s="5" t="inlineStr">
        <is>
          <t>台南分局</t>
        </is>
      </c>
      <c r="B564" s="6" t="n">
        <v>118</v>
      </c>
      <c r="C564" s="8">
        <f>I563</f>
        <v/>
      </c>
      <c r="D564" s="4">
        <f>SUMIFS('01_異動主檔'!$F:$F,'01_異動主檔'!$B:$B,118,'01_異動主檔'!$D:$D,A564,'01_異動主檔'!$E:$E,"移入")</f>
        <v/>
      </c>
      <c r="E564" s="4">
        <f>-SUMIFS('01_異動主檔'!$F:$F,'01_異動主檔'!$B:$B,118,'01_異動主檔'!$D:$D,A564,'01_異動主檔'!$E:$E,"移出")</f>
        <v/>
      </c>
      <c r="F564" s="4">
        <f>SUMIFS('01_異動主檔'!$F:$F,'01_異動主檔'!$B:$B,118,'01_異動主檔'!$D:$D,A564,'01_異動主檔'!$E:$E,"新增")</f>
        <v/>
      </c>
      <c r="G564" s="4">
        <f>-SUMIFS('01_異動主檔'!$F:$F,'01_異動主檔'!$B:$B,118,'01_異動主檔'!$D:$D,A564,'01_異動主檔'!$E:$E,"減列")</f>
        <v/>
      </c>
      <c r="H564" s="4">
        <f>-SUMIFS('01_異動主檔'!$F:$F,'01_異動主檔'!$B:$B,118,'01_異動主檔'!$D:$D,A564,'01_異動主檔'!$E:$E,"精簡")</f>
        <v/>
      </c>
      <c r="I564" s="8">
        <f>C564+D564+E564+F564+G564+H564</f>
        <v/>
      </c>
    </row>
    <row r="565" ht="18" customHeight="1">
      <c r="A565" s="3" t="inlineStr">
        <is>
          <t>台南分局</t>
        </is>
      </c>
      <c r="B565" s="4" t="n">
        <v>119</v>
      </c>
      <c r="C565" s="8">
        <f>I564</f>
        <v/>
      </c>
      <c r="D565" s="4">
        <f>SUMIFS('01_異動主檔'!$F:$F,'01_異動主檔'!$B:$B,119,'01_異動主檔'!$D:$D,A565,'01_異動主檔'!$E:$E,"移入")</f>
        <v/>
      </c>
      <c r="E565" s="4">
        <f>-SUMIFS('01_異動主檔'!$F:$F,'01_異動主檔'!$B:$B,119,'01_異動主檔'!$D:$D,A565,'01_異動主檔'!$E:$E,"移出")</f>
        <v/>
      </c>
      <c r="F565" s="4">
        <f>SUMIFS('01_異動主檔'!$F:$F,'01_異動主檔'!$B:$B,119,'01_異動主檔'!$D:$D,A565,'01_異動主檔'!$E:$E,"新增")</f>
        <v/>
      </c>
      <c r="G565" s="4">
        <f>-SUMIFS('01_異動主檔'!$F:$F,'01_異動主檔'!$B:$B,119,'01_異動主檔'!$D:$D,A565,'01_異動主檔'!$E:$E,"減列")</f>
        <v/>
      </c>
      <c r="H565" s="4">
        <f>-SUMIFS('01_異動主檔'!$F:$F,'01_異動主檔'!$B:$B,119,'01_異動主檔'!$D:$D,A565,'01_異動主檔'!$E:$E,"精簡")</f>
        <v/>
      </c>
      <c r="I565" s="8">
        <f>C565+D565+E565+F565+G565+H565</f>
        <v/>
      </c>
    </row>
    <row r="566" ht="18" customHeight="1">
      <c r="A566" s="5" t="inlineStr">
        <is>
          <t>台南分局</t>
        </is>
      </c>
      <c r="B566" s="6" t="n">
        <v>120</v>
      </c>
      <c r="C566" s="8">
        <f>I565</f>
        <v/>
      </c>
      <c r="D566" s="4">
        <f>SUMIFS('01_異動主檔'!$F:$F,'01_異動主檔'!$B:$B,120,'01_異動主檔'!$D:$D,A566,'01_異動主檔'!$E:$E,"移入")</f>
        <v/>
      </c>
      <c r="E566" s="4">
        <f>-SUMIFS('01_異動主檔'!$F:$F,'01_異動主檔'!$B:$B,120,'01_異動主檔'!$D:$D,A566,'01_異動主檔'!$E:$E,"移出")</f>
        <v/>
      </c>
      <c r="F566" s="4">
        <f>SUMIFS('01_異動主檔'!$F:$F,'01_異動主檔'!$B:$B,120,'01_異動主檔'!$D:$D,A566,'01_異動主檔'!$E:$E,"新增")</f>
        <v/>
      </c>
      <c r="G566" s="4">
        <f>-SUMIFS('01_異動主檔'!$F:$F,'01_異動主檔'!$B:$B,120,'01_異動主檔'!$D:$D,A566,'01_異動主檔'!$E:$E,"減列")</f>
        <v/>
      </c>
      <c r="H566" s="4">
        <f>-SUMIFS('01_異動主檔'!$F:$F,'01_異動主檔'!$B:$B,120,'01_異動主檔'!$D:$D,A566,'01_異動主檔'!$E:$E,"精簡")</f>
        <v/>
      </c>
      <c r="I566" s="8">
        <f>C566+D566+E566+F566+G566+H566</f>
        <v/>
      </c>
    </row>
    <row r="567" ht="18" customHeight="1">
      <c r="A567" s="3" t="inlineStr">
        <is>
          <t>台南分局</t>
        </is>
      </c>
      <c r="B567" s="4" t="n">
        <v>121</v>
      </c>
      <c r="C567" s="8">
        <f>I566</f>
        <v/>
      </c>
      <c r="D567" s="4">
        <f>SUMIFS('01_異動主檔'!$F:$F,'01_異動主檔'!$B:$B,121,'01_異動主檔'!$D:$D,A567,'01_異動主檔'!$E:$E,"移入")</f>
        <v/>
      </c>
      <c r="E567" s="4">
        <f>-SUMIFS('01_異動主檔'!$F:$F,'01_異動主檔'!$B:$B,121,'01_異動主檔'!$D:$D,A567,'01_異動主檔'!$E:$E,"移出")</f>
        <v/>
      </c>
      <c r="F567" s="4">
        <f>SUMIFS('01_異動主檔'!$F:$F,'01_異動主檔'!$B:$B,121,'01_異動主檔'!$D:$D,A567,'01_異動主檔'!$E:$E,"新增")</f>
        <v/>
      </c>
      <c r="G567" s="4">
        <f>-SUMIFS('01_異動主檔'!$F:$F,'01_異動主檔'!$B:$B,121,'01_異動主檔'!$D:$D,A567,'01_異動主檔'!$E:$E,"減列")</f>
        <v/>
      </c>
      <c r="H567" s="4">
        <f>-SUMIFS('01_異動主檔'!$F:$F,'01_異動主檔'!$B:$B,121,'01_異動主檔'!$D:$D,A567,'01_異動主檔'!$E:$E,"精簡")</f>
        <v/>
      </c>
      <c r="I567" s="8">
        <f>C567+D567+E567+F567+G567+H567</f>
        <v/>
      </c>
    </row>
    <row r="568" ht="18" customHeight="1">
      <c r="A568" s="5" t="inlineStr">
        <is>
          <t>台南分局</t>
        </is>
      </c>
      <c r="B568" s="6" t="n">
        <v>122</v>
      </c>
      <c r="C568" s="8">
        <f>I567</f>
        <v/>
      </c>
      <c r="D568" s="4">
        <f>SUMIFS('01_異動主檔'!$F:$F,'01_異動主檔'!$B:$B,122,'01_異動主檔'!$D:$D,A568,'01_異動主檔'!$E:$E,"移入")</f>
        <v/>
      </c>
      <c r="E568" s="4">
        <f>-SUMIFS('01_異動主檔'!$F:$F,'01_異動主檔'!$B:$B,122,'01_異動主檔'!$D:$D,A568,'01_異動主檔'!$E:$E,"移出")</f>
        <v/>
      </c>
      <c r="F568" s="4">
        <f>SUMIFS('01_異動主檔'!$F:$F,'01_異動主檔'!$B:$B,122,'01_異動主檔'!$D:$D,A568,'01_異動主檔'!$E:$E,"新增")</f>
        <v/>
      </c>
      <c r="G568" s="4">
        <f>-SUMIFS('01_異動主檔'!$F:$F,'01_異動主檔'!$B:$B,122,'01_異動主檔'!$D:$D,A568,'01_異動主檔'!$E:$E,"減列")</f>
        <v/>
      </c>
      <c r="H568" s="4">
        <f>-SUMIFS('01_異動主檔'!$F:$F,'01_異動主檔'!$B:$B,122,'01_異動主檔'!$D:$D,A568,'01_異動主檔'!$E:$E,"精簡")</f>
        <v/>
      </c>
      <c r="I568" s="8">
        <f>C568+D568+E568+F568+G568+H568</f>
        <v/>
      </c>
    </row>
    <row r="569" ht="18" customHeight="1">
      <c r="A569" s="3" t="inlineStr">
        <is>
          <t>台南分局</t>
        </is>
      </c>
      <c r="B569" s="4" t="n">
        <v>123</v>
      </c>
      <c r="C569" s="8">
        <f>I568</f>
        <v/>
      </c>
      <c r="D569" s="4">
        <f>SUMIFS('01_異動主檔'!$F:$F,'01_異動主檔'!$B:$B,123,'01_異動主檔'!$D:$D,A569,'01_異動主檔'!$E:$E,"移入")</f>
        <v/>
      </c>
      <c r="E569" s="4">
        <f>-SUMIFS('01_異動主檔'!$F:$F,'01_異動主檔'!$B:$B,123,'01_異動主檔'!$D:$D,A569,'01_異動主檔'!$E:$E,"移出")</f>
        <v/>
      </c>
      <c r="F569" s="4">
        <f>SUMIFS('01_異動主檔'!$F:$F,'01_異動主檔'!$B:$B,123,'01_異動主檔'!$D:$D,A569,'01_異動主檔'!$E:$E,"新增")</f>
        <v/>
      </c>
      <c r="G569" s="4">
        <f>-SUMIFS('01_異動主檔'!$F:$F,'01_異動主檔'!$B:$B,123,'01_異動主檔'!$D:$D,A569,'01_異動主檔'!$E:$E,"減列")</f>
        <v/>
      </c>
      <c r="H569" s="4">
        <f>-SUMIFS('01_異動主檔'!$F:$F,'01_異動主檔'!$B:$B,123,'01_異動主檔'!$D:$D,A569,'01_異動主檔'!$E:$E,"精簡")</f>
        <v/>
      </c>
      <c r="I569" s="8">
        <f>C569+D569+E569+F569+G569+H569</f>
        <v/>
      </c>
    </row>
    <row r="570" ht="18" customHeight="1">
      <c r="A570" s="5" t="inlineStr">
        <is>
          <t>台南分局</t>
        </is>
      </c>
      <c r="B570" s="6" t="n">
        <v>124</v>
      </c>
      <c r="C570" s="8">
        <f>I569</f>
        <v/>
      </c>
      <c r="D570" s="4">
        <f>SUMIFS('01_異動主檔'!$F:$F,'01_異動主檔'!$B:$B,124,'01_異動主檔'!$D:$D,A570,'01_異動主檔'!$E:$E,"移入")</f>
        <v/>
      </c>
      <c r="E570" s="4">
        <f>-SUMIFS('01_異動主檔'!$F:$F,'01_異動主檔'!$B:$B,124,'01_異動主檔'!$D:$D,A570,'01_異動主檔'!$E:$E,"移出")</f>
        <v/>
      </c>
      <c r="F570" s="4">
        <f>SUMIFS('01_異動主檔'!$F:$F,'01_異動主檔'!$B:$B,124,'01_異動主檔'!$D:$D,A570,'01_異動主檔'!$E:$E,"新增")</f>
        <v/>
      </c>
      <c r="G570" s="4">
        <f>-SUMIFS('01_異動主檔'!$F:$F,'01_異動主檔'!$B:$B,124,'01_異動主檔'!$D:$D,A570,'01_異動主檔'!$E:$E,"減列")</f>
        <v/>
      </c>
      <c r="H570" s="4">
        <f>-SUMIFS('01_異動主檔'!$F:$F,'01_異動主檔'!$B:$B,124,'01_異動主檔'!$D:$D,A570,'01_異動主檔'!$E:$E,"精簡")</f>
        <v/>
      </c>
      <c r="I570" s="8">
        <f>C570+D570+E570+F570+G570+H570</f>
        <v/>
      </c>
    </row>
    <row r="571" ht="18" customHeight="1">
      <c r="A571" s="3" t="inlineStr">
        <is>
          <t>台南分局</t>
        </is>
      </c>
      <c r="B571" s="4" t="n">
        <v>125</v>
      </c>
      <c r="C571" s="8">
        <f>I570</f>
        <v/>
      </c>
      <c r="D571" s="4">
        <f>SUMIFS('01_異動主檔'!$F:$F,'01_異動主檔'!$B:$B,125,'01_異動主檔'!$D:$D,A571,'01_異動主檔'!$E:$E,"移入")</f>
        <v/>
      </c>
      <c r="E571" s="4">
        <f>-SUMIFS('01_異動主檔'!$F:$F,'01_異動主檔'!$B:$B,125,'01_異動主檔'!$D:$D,A571,'01_異動主檔'!$E:$E,"移出")</f>
        <v/>
      </c>
      <c r="F571" s="4">
        <f>SUMIFS('01_異動主檔'!$F:$F,'01_異動主檔'!$B:$B,125,'01_異動主檔'!$D:$D,A571,'01_異動主檔'!$E:$E,"新增")</f>
        <v/>
      </c>
      <c r="G571" s="4">
        <f>-SUMIFS('01_異動主檔'!$F:$F,'01_異動主檔'!$B:$B,125,'01_異動主檔'!$D:$D,A571,'01_異動主檔'!$E:$E,"減列")</f>
        <v/>
      </c>
      <c r="H571" s="4">
        <f>-SUMIFS('01_異動主檔'!$F:$F,'01_異動主檔'!$B:$B,125,'01_異動主檔'!$D:$D,A571,'01_異動主檔'!$E:$E,"精簡")</f>
        <v/>
      </c>
      <c r="I571" s="8">
        <f>C571+D571+E571+F571+G571+H571</f>
        <v/>
      </c>
    </row>
    <row r="572" ht="18" customHeight="1">
      <c r="A572" s="5" t="inlineStr">
        <is>
          <t>高雄分局</t>
        </is>
      </c>
      <c r="B572" s="6" t="n">
        <v>99</v>
      </c>
      <c r="C572" s="8">
        <f>'02_年初員額設定'!B26</f>
        <v/>
      </c>
      <c r="D572" s="4">
        <f>SUMIFS('01_異動主檔'!$F:$F,'01_異動主檔'!$B:$B,99,'01_異動主檔'!$D:$D,A572,'01_異動主檔'!$E:$E,"移入")</f>
        <v/>
      </c>
      <c r="E572" s="4">
        <f>-SUMIFS('01_異動主檔'!$F:$F,'01_異動主檔'!$B:$B,99,'01_異動主檔'!$D:$D,A572,'01_異動主檔'!$E:$E,"移出")</f>
        <v/>
      </c>
      <c r="F572" s="4">
        <f>SUMIFS('01_異動主檔'!$F:$F,'01_異動主檔'!$B:$B,99,'01_異動主檔'!$D:$D,A572,'01_異動主檔'!$E:$E,"新增")</f>
        <v/>
      </c>
      <c r="G572" s="4">
        <f>-SUMIFS('01_異動主檔'!$F:$F,'01_異動主檔'!$B:$B,99,'01_異動主檔'!$D:$D,A572,'01_異動主檔'!$E:$E,"減列")</f>
        <v/>
      </c>
      <c r="H572" s="4">
        <f>-SUMIFS('01_異動主檔'!$F:$F,'01_異動主檔'!$B:$B,99,'01_異動主檔'!$D:$D,A572,'01_異動主檔'!$E:$E,"精簡")</f>
        <v/>
      </c>
      <c r="I572" s="8">
        <f>C572+D572+E572+F572+G572+H572</f>
        <v/>
      </c>
    </row>
    <row r="573" ht="18" customHeight="1">
      <c r="A573" s="3" t="inlineStr">
        <is>
          <t>高雄分局</t>
        </is>
      </c>
      <c r="B573" s="4" t="n">
        <v>100</v>
      </c>
      <c r="C573" s="8">
        <f>I572</f>
        <v/>
      </c>
      <c r="D573" s="4">
        <f>SUMIFS('01_異動主檔'!$F:$F,'01_異動主檔'!$B:$B,100,'01_異動主檔'!$D:$D,A573,'01_異動主檔'!$E:$E,"移入")</f>
        <v/>
      </c>
      <c r="E573" s="4">
        <f>-SUMIFS('01_異動主檔'!$F:$F,'01_異動主檔'!$B:$B,100,'01_異動主檔'!$D:$D,A573,'01_異動主檔'!$E:$E,"移出")</f>
        <v/>
      </c>
      <c r="F573" s="4">
        <f>SUMIFS('01_異動主檔'!$F:$F,'01_異動主檔'!$B:$B,100,'01_異動主檔'!$D:$D,A573,'01_異動主檔'!$E:$E,"新增")</f>
        <v/>
      </c>
      <c r="G573" s="4">
        <f>-SUMIFS('01_異動主檔'!$F:$F,'01_異動主檔'!$B:$B,100,'01_異動主檔'!$D:$D,A573,'01_異動主檔'!$E:$E,"減列")</f>
        <v/>
      </c>
      <c r="H573" s="4">
        <f>-SUMIFS('01_異動主檔'!$F:$F,'01_異動主檔'!$B:$B,100,'01_異動主檔'!$D:$D,A573,'01_異動主檔'!$E:$E,"精簡")</f>
        <v/>
      </c>
      <c r="I573" s="8">
        <f>C573+D573+E573+F573+G573+H573</f>
        <v/>
      </c>
    </row>
    <row r="574" ht="18" customHeight="1">
      <c r="A574" s="5" t="inlineStr">
        <is>
          <t>高雄分局</t>
        </is>
      </c>
      <c r="B574" s="6" t="n">
        <v>101</v>
      </c>
      <c r="C574" s="8">
        <f>I573</f>
        <v/>
      </c>
      <c r="D574" s="4">
        <f>SUMIFS('01_異動主檔'!$F:$F,'01_異動主檔'!$B:$B,101,'01_異動主檔'!$D:$D,A574,'01_異動主檔'!$E:$E,"移入")</f>
        <v/>
      </c>
      <c r="E574" s="4">
        <f>-SUMIFS('01_異動主檔'!$F:$F,'01_異動主檔'!$B:$B,101,'01_異動主檔'!$D:$D,A574,'01_異動主檔'!$E:$E,"移出")</f>
        <v/>
      </c>
      <c r="F574" s="4">
        <f>SUMIFS('01_異動主檔'!$F:$F,'01_異動主檔'!$B:$B,101,'01_異動主檔'!$D:$D,A574,'01_異動主檔'!$E:$E,"新增")</f>
        <v/>
      </c>
      <c r="G574" s="4">
        <f>-SUMIFS('01_異動主檔'!$F:$F,'01_異動主檔'!$B:$B,101,'01_異動主檔'!$D:$D,A574,'01_異動主檔'!$E:$E,"減列")</f>
        <v/>
      </c>
      <c r="H574" s="4">
        <f>-SUMIFS('01_異動主檔'!$F:$F,'01_異動主檔'!$B:$B,101,'01_異動主檔'!$D:$D,A574,'01_異動主檔'!$E:$E,"精簡")</f>
        <v/>
      </c>
      <c r="I574" s="8">
        <f>C574+D574+E574+F574+G574+H574</f>
        <v/>
      </c>
    </row>
    <row r="575" ht="18" customHeight="1">
      <c r="A575" s="3" t="inlineStr">
        <is>
          <t>高雄分局</t>
        </is>
      </c>
      <c r="B575" s="4" t="n">
        <v>102</v>
      </c>
      <c r="C575" s="8">
        <f>I574</f>
        <v/>
      </c>
      <c r="D575" s="4">
        <f>SUMIFS('01_異動主檔'!$F:$F,'01_異動主檔'!$B:$B,102,'01_異動主檔'!$D:$D,A575,'01_異動主檔'!$E:$E,"移入")</f>
        <v/>
      </c>
      <c r="E575" s="4">
        <f>-SUMIFS('01_異動主檔'!$F:$F,'01_異動主檔'!$B:$B,102,'01_異動主檔'!$D:$D,A575,'01_異動主檔'!$E:$E,"移出")</f>
        <v/>
      </c>
      <c r="F575" s="4">
        <f>SUMIFS('01_異動主檔'!$F:$F,'01_異動主檔'!$B:$B,102,'01_異動主檔'!$D:$D,A575,'01_異動主檔'!$E:$E,"新增")</f>
        <v/>
      </c>
      <c r="G575" s="4">
        <f>-SUMIFS('01_異動主檔'!$F:$F,'01_異動主檔'!$B:$B,102,'01_異動主檔'!$D:$D,A575,'01_異動主檔'!$E:$E,"減列")</f>
        <v/>
      </c>
      <c r="H575" s="4">
        <f>-SUMIFS('01_異動主檔'!$F:$F,'01_異動主檔'!$B:$B,102,'01_異動主檔'!$D:$D,A575,'01_異動主檔'!$E:$E,"精簡")</f>
        <v/>
      </c>
      <c r="I575" s="8">
        <f>C575+D575+E575+F575+G575+H575</f>
        <v/>
      </c>
    </row>
    <row r="576" ht="18" customHeight="1">
      <c r="A576" s="5" t="inlineStr">
        <is>
          <t>高雄分局</t>
        </is>
      </c>
      <c r="B576" s="6" t="n">
        <v>103</v>
      </c>
      <c r="C576" s="8">
        <f>I575</f>
        <v/>
      </c>
      <c r="D576" s="4">
        <f>SUMIFS('01_異動主檔'!$F:$F,'01_異動主檔'!$B:$B,103,'01_異動主檔'!$D:$D,A576,'01_異動主檔'!$E:$E,"移入")</f>
        <v/>
      </c>
      <c r="E576" s="4">
        <f>-SUMIFS('01_異動主檔'!$F:$F,'01_異動主檔'!$B:$B,103,'01_異動主檔'!$D:$D,A576,'01_異動主檔'!$E:$E,"移出")</f>
        <v/>
      </c>
      <c r="F576" s="4">
        <f>SUMIFS('01_異動主檔'!$F:$F,'01_異動主檔'!$B:$B,103,'01_異動主檔'!$D:$D,A576,'01_異動主檔'!$E:$E,"新增")</f>
        <v/>
      </c>
      <c r="G576" s="4">
        <f>-SUMIFS('01_異動主檔'!$F:$F,'01_異動主檔'!$B:$B,103,'01_異動主檔'!$D:$D,A576,'01_異動主檔'!$E:$E,"減列")</f>
        <v/>
      </c>
      <c r="H576" s="4">
        <f>-SUMIFS('01_異動主檔'!$F:$F,'01_異動主檔'!$B:$B,103,'01_異動主檔'!$D:$D,A576,'01_異動主檔'!$E:$E,"精簡")</f>
        <v/>
      </c>
      <c r="I576" s="8">
        <f>C576+D576+E576+F576+G576+H576</f>
        <v/>
      </c>
    </row>
    <row r="577" ht="18" customHeight="1">
      <c r="A577" s="3" t="inlineStr">
        <is>
          <t>高雄分局</t>
        </is>
      </c>
      <c r="B577" s="4" t="n">
        <v>104</v>
      </c>
      <c r="C577" s="8">
        <f>I576</f>
        <v/>
      </c>
      <c r="D577" s="4">
        <f>SUMIFS('01_異動主檔'!$F:$F,'01_異動主檔'!$B:$B,104,'01_異動主檔'!$D:$D,A577,'01_異動主檔'!$E:$E,"移入")</f>
        <v/>
      </c>
      <c r="E577" s="4">
        <f>-SUMIFS('01_異動主檔'!$F:$F,'01_異動主檔'!$B:$B,104,'01_異動主檔'!$D:$D,A577,'01_異動主檔'!$E:$E,"移出")</f>
        <v/>
      </c>
      <c r="F577" s="4">
        <f>SUMIFS('01_異動主檔'!$F:$F,'01_異動主檔'!$B:$B,104,'01_異動主檔'!$D:$D,A577,'01_異動主檔'!$E:$E,"新增")</f>
        <v/>
      </c>
      <c r="G577" s="4">
        <f>-SUMIFS('01_異動主檔'!$F:$F,'01_異動主檔'!$B:$B,104,'01_異動主檔'!$D:$D,A577,'01_異動主檔'!$E:$E,"減列")</f>
        <v/>
      </c>
      <c r="H577" s="4">
        <f>-SUMIFS('01_異動主檔'!$F:$F,'01_異動主檔'!$B:$B,104,'01_異動主檔'!$D:$D,A577,'01_異動主檔'!$E:$E,"精簡")</f>
        <v/>
      </c>
      <c r="I577" s="8">
        <f>C577+D577+E577+F577+G577+H577</f>
        <v/>
      </c>
    </row>
    <row r="578" ht="18" customHeight="1">
      <c r="A578" s="5" t="inlineStr">
        <is>
          <t>高雄分局</t>
        </is>
      </c>
      <c r="B578" s="6" t="n">
        <v>105</v>
      </c>
      <c r="C578" s="8">
        <f>I577</f>
        <v/>
      </c>
      <c r="D578" s="4">
        <f>SUMIFS('01_異動主檔'!$F:$F,'01_異動主檔'!$B:$B,105,'01_異動主檔'!$D:$D,A578,'01_異動主檔'!$E:$E,"移入")</f>
        <v/>
      </c>
      <c r="E578" s="4">
        <f>-SUMIFS('01_異動主檔'!$F:$F,'01_異動主檔'!$B:$B,105,'01_異動主檔'!$D:$D,A578,'01_異動主檔'!$E:$E,"移出")</f>
        <v/>
      </c>
      <c r="F578" s="4">
        <f>SUMIFS('01_異動主檔'!$F:$F,'01_異動主檔'!$B:$B,105,'01_異動主檔'!$D:$D,A578,'01_異動主檔'!$E:$E,"新增")</f>
        <v/>
      </c>
      <c r="G578" s="4">
        <f>-SUMIFS('01_異動主檔'!$F:$F,'01_異動主檔'!$B:$B,105,'01_異動主檔'!$D:$D,A578,'01_異動主檔'!$E:$E,"減列")</f>
        <v/>
      </c>
      <c r="H578" s="4">
        <f>-SUMIFS('01_異動主檔'!$F:$F,'01_異動主檔'!$B:$B,105,'01_異動主檔'!$D:$D,A578,'01_異動主檔'!$E:$E,"精簡")</f>
        <v/>
      </c>
      <c r="I578" s="8">
        <f>C578+D578+E578+F578+G578+H578</f>
        <v/>
      </c>
    </row>
    <row r="579" ht="18" customHeight="1">
      <c r="A579" s="3" t="inlineStr">
        <is>
          <t>高雄分局</t>
        </is>
      </c>
      <c r="B579" s="4" t="n">
        <v>106</v>
      </c>
      <c r="C579" s="8">
        <f>I578</f>
        <v/>
      </c>
      <c r="D579" s="4">
        <f>SUMIFS('01_異動主檔'!$F:$F,'01_異動主檔'!$B:$B,106,'01_異動主檔'!$D:$D,A579,'01_異動主檔'!$E:$E,"移入")</f>
        <v/>
      </c>
      <c r="E579" s="4">
        <f>-SUMIFS('01_異動主檔'!$F:$F,'01_異動主檔'!$B:$B,106,'01_異動主檔'!$D:$D,A579,'01_異動主檔'!$E:$E,"移出")</f>
        <v/>
      </c>
      <c r="F579" s="4">
        <f>SUMIFS('01_異動主檔'!$F:$F,'01_異動主檔'!$B:$B,106,'01_異動主檔'!$D:$D,A579,'01_異動主檔'!$E:$E,"新增")</f>
        <v/>
      </c>
      <c r="G579" s="4">
        <f>-SUMIFS('01_異動主檔'!$F:$F,'01_異動主檔'!$B:$B,106,'01_異動主檔'!$D:$D,A579,'01_異動主檔'!$E:$E,"減列")</f>
        <v/>
      </c>
      <c r="H579" s="4">
        <f>-SUMIFS('01_異動主檔'!$F:$F,'01_異動主檔'!$B:$B,106,'01_異動主檔'!$D:$D,A579,'01_異動主檔'!$E:$E,"精簡")</f>
        <v/>
      </c>
      <c r="I579" s="8">
        <f>C579+D579+E579+F579+G579+H579</f>
        <v/>
      </c>
    </row>
    <row r="580" ht="18" customHeight="1">
      <c r="A580" s="5" t="inlineStr">
        <is>
          <t>高雄分局</t>
        </is>
      </c>
      <c r="B580" s="6" t="n">
        <v>107</v>
      </c>
      <c r="C580" s="8">
        <f>I579</f>
        <v/>
      </c>
      <c r="D580" s="4">
        <f>SUMIFS('01_異動主檔'!$F:$F,'01_異動主檔'!$B:$B,107,'01_異動主檔'!$D:$D,A580,'01_異動主檔'!$E:$E,"移入")</f>
        <v/>
      </c>
      <c r="E580" s="4">
        <f>-SUMIFS('01_異動主檔'!$F:$F,'01_異動主檔'!$B:$B,107,'01_異動主檔'!$D:$D,A580,'01_異動主檔'!$E:$E,"移出")</f>
        <v/>
      </c>
      <c r="F580" s="4">
        <f>SUMIFS('01_異動主檔'!$F:$F,'01_異動主檔'!$B:$B,107,'01_異動主檔'!$D:$D,A580,'01_異動主檔'!$E:$E,"新增")</f>
        <v/>
      </c>
      <c r="G580" s="4">
        <f>-SUMIFS('01_異動主檔'!$F:$F,'01_異動主檔'!$B:$B,107,'01_異動主檔'!$D:$D,A580,'01_異動主檔'!$E:$E,"減列")</f>
        <v/>
      </c>
      <c r="H580" s="4">
        <f>-SUMIFS('01_異動主檔'!$F:$F,'01_異動主檔'!$B:$B,107,'01_異動主檔'!$D:$D,A580,'01_異動主檔'!$E:$E,"精簡")</f>
        <v/>
      </c>
      <c r="I580" s="8">
        <f>C580+D580+E580+F580+G580+H580</f>
        <v/>
      </c>
    </row>
    <row r="581" ht="18" customHeight="1">
      <c r="A581" s="3" t="inlineStr">
        <is>
          <t>高雄分局</t>
        </is>
      </c>
      <c r="B581" s="4" t="n">
        <v>108</v>
      </c>
      <c r="C581" s="8">
        <f>I580</f>
        <v/>
      </c>
      <c r="D581" s="4">
        <f>SUMIFS('01_異動主檔'!$F:$F,'01_異動主檔'!$B:$B,108,'01_異動主檔'!$D:$D,A581,'01_異動主檔'!$E:$E,"移入")</f>
        <v/>
      </c>
      <c r="E581" s="4">
        <f>-SUMIFS('01_異動主檔'!$F:$F,'01_異動主檔'!$B:$B,108,'01_異動主檔'!$D:$D,A581,'01_異動主檔'!$E:$E,"移出")</f>
        <v/>
      </c>
      <c r="F581" s="4">
        <f>SUMIFS('01_異動主檔'!$F:$F,'01_異動主檔'!$B:$B,108,'01_異動主檔'!$D:$D,A581,'01_異動主檔'!$E:$E,"新增")</f>
        <v/>
      </c>
      <c r="G581" s="4">
        <f>-SUMIFS('01_異動主檔'!$F:$F,'01_異動主檔'!$B:$B,108,'01_異動主檔'!$D:$D,A581,'01_異動主檔'!$E:$E,"減列")</f>
        <v/>
      </c>
      <c r="H581" s="4">
        <f>-SUMIFS('01_異動主檔'!$F:$F,'01_異動主檔'!$B:$B,108,'01_異動主檔'!$D:$D,A581,'01_異動主檔'!$E:$E,"精簡")</f>
        <v/>
      </c>
      <c r="I581" s="8">
        <f>C581+D581+E581+F581+G581+H581</f>
        <v/>
      </c>
    </row>
    <row r="582" ht="18" customHeight="1">
      <c r="A582" s="5" t="inlineStr">
        <is>
          <t>高雄分局</t>
        </is>
      </c>
      <c r="B582" s="6" t="n">
        <v>109</v>
      </c>
      <c r="C582" s="8">
        <f>I581</f>
        <v/>
      </c>
      <c r="D582" s="4">
        <f>SUMIFS('01_異動主檔'!$F:$F,'01_異動主檔'!$B:$B,109,'01_異動主檔'!$D:$D,A582,'01_異動主檔'!$E:$E,"移入")</f>
        <v/>
      </c>
      <c r="E582" s="4">
        <f>-SUMIFS('01_異動主檔'!$F:$F,'01_異動主檔'!$B:$B,109,'01_異動主檔'!$D:$D,A582,'01_異動主檔'!$E:$E,"移出")</f>
        <v/>
      </c>
      <c r="F582" s="4">
        <f>SUMIFS('01_異動主檔'!$F:$F,'01_異動主檔'!$B:$B,109,'01_異動主檔'!$D:$D,A582,'01_異動主檔'!$E:$E,"新增")</f>
        <v/>
      </c>
      <c r="G582" s="4">
        <f>-SUMIFS('01_異動主檔'!$F:$F,'01_異動主檔'!$B:$B,109,'01_異動主檔'!$D:$D,A582,'01_異動主檔'!$E:$E,"減列")</f>
        <v/>
      </c>
      <c r="H582" s="4">
        <f>-SUMIFS('01_異動主檔'!$F:$F,'01_異動主檔'!$B:$B,109,'01_異動主檔'!$D:$D,A582,'01_異動主檔'!$E:$E,"精簡")</f>
        <v/>
      </c>
      <c r="I582" s="8">
        <f>C582+D582+E582+F582+G582+H582</f>
        <v/>
      </c>
    </row>
    <row r="583" ht="18" customHeight="1">
      <c r="A583" s="3" t="inlineStr">
        <is>
          <t>高雄分局</t>
        </is>
      </c>
      <c r="B583" s="4" t="n">
        <v>110</v>
      </c>
      <c r="C583" s="8">
        <f>I582</f>
        <v/>
      </c>
      <c r="D583" s="4">
        <f>SUMIFS('01_異動主檔'!$F:$F,'01_異動主檔'!$B:$B,110,'01_異動主檔'!$D:$D,A583,'01_異動主檔'!$E:$E,"移入")</f>
        <v/>
      </c>
      <c r="E583" s="4">
        <f>-SUMIFS('01_異動主檔'!$F:$F,'01_異動主檔'!$B:$B,110,'01_異動主檔'!$D:$D,A583,'01_異動主檔'!$E:$E,"移出")</f>
        <v/>
      </c>
      <c r="F583" s="4">
        <f>SUMIFS('01_異動主檔'!$F:$F,'01_異動主檔'!$B:$B,110,'01_異動主檔'!$D:$D,A583,'01_異動主檔'!$E:$E,"新增")</f>
        <v/>
      </c>
      <c r="G583" s="4">
        <f>-SUMIFS('01_異動主檔'!$F:$F,'01_異動主檔'!$B:$B,110,'01_異動主檔'!$D:$D,A583,'01_異動主檔'!$E:$E,"減列")</f>
        <v/>
      </c>
      <c r="H583" s="4">
        <f>-SUMIFS('01_異動主檔'!$F:$F,'01_異動主檔'!$B:$B,110,'01_異動主檔'!$D:$D,A583,'01_異動主檔'!$E:$E,"精簡")</f>
        <v/>
      </c>
      <c r="I583" s="8">
        <f>C583+D583+E583+F583+G583+H583</f>
        <v/>
      </c>
    </row>
    <row r="584" ht="18" customHeight="1">
      <c r="A584" s="5" t="inlineStr">
        <is>
          <t>高雄分局</t>
        </is>
      </c>
      <c r="B584" s="6" t="n">
        <v>111</v>
      </c>
      <c r="C584" s="8">
        <f>I583</f>
        <v/>
      </c>
      <c r="D584" s="4">
        <f>SUMIFS('01_異動主檔'!$F:$F,'01_異動主檔'!$B:$B,111,'01_異動主檔'!$D:$D,A584,'01_異動主檔'!$E:$E,"移入")</f>
        <v/>
      </c>
      <c r="E584" s="4">
        <f>-SUMIFS('01_異動主檔'!$F:$F,'01_異動主檔'!$B:$B,111,'01_異動主檔'!$D:$D,A584,'01_異動主檔'!$E:$E,"移出")</f>
        <v/>
      </c>
      <c r="F584" s="4">
        <f>SUMIFS('01_異動主檔'!$F:$F,'01_異動主檔'!$B:$B,111,'01_異動主檔'!$D:$D,A584,'01_異動主檔'!$E:$E,"新增")</f>
        <v/>
      </c>
      <c r="G584" s="4">
        <f>-SUMIFS('01_異動主檔'!$F:$F,'01_異動主檔'!$B:$B,111,'01_異動主檔'!$D:$D,A584,'01_異動主檔'!$E:$E,"減列")</f>
        <v/>
      </c>
      <c r="H584" s="4">
        <f>-SUMIFS('01_異動主檔'!$F:$F,'01_異動主檔'!$B:$B,111,'01_異動主檔'!$D:$D,A584,'01_異動主檔'!$E:$E,"精簡")</f>
        <v/>
      </c>
      <c r="I584" s="8">
        <f>C584+D584+E584+F584+G584+H584</f>
        <v/>
      </c>
    </row>
    <row r="585" ht="18" customHeight="1">
      <c r="A585" s="3" t="inlineStr">
        <is>
          <t>高雄分局</t>
        </is>
      </c>
      <c r="B585" s="4" t="n">
        <v>112</v>
      </c>
      <c r="C585" s="8">
        <f>I584</f>
        <v/>
      </c>
      <c r="D585" s="4">
        <f>SUMIFS('01_異動主檔'!$F:$F,'01_異動主檔'!$B:$B,112,'01_異動主檔'!$D:$D,A585,'01_異動主檔'!$E:$E,"移入")</f>
        <v/>
      </c>
      <c r="E585" s="4">
        <f>-SUMIFS('01_異動主檔'!$F:$F,'01_異動主檔'!$B:$B,112,'01_異動主檔'!$D:$D,A585,'01_異動主檔'!$E:$E,"移出")</f>
        <v/>
      </c>
      <c r="F585" s="4">
        <f>SUMIFS('01_異動主檔'!$F:$F,'01_異動主檔'!$B:$B,112,'01_異動主檔'!$D:$D,A585,'01_異動主檔'!$E:$E,"新增")</f>
        <v/>
      </c>
      <c r="G585" s="4">
        <f>-SUMIFS('01_異動主檔'!$F:$F,'01_異動主檔'!$B:$B,112,'01_異動主檔'!$D:$D,A585,'01_異動主檔'!$E:$E,"減列")</f>
        <v/>
      </c>
      <c r="H585" s="4">
        <f>-SUMIFS('01_異動主檔'!$F:$F,'01_異動主檔'!$B:$B,112,'01_異動主檔'!$D:$D,A585,'01_異動主檔'!$E:$E,"精簡")</f>
        <v/>
      </c>
      <c r="I585" s="8">
        <f>C585+D585+E585+F585+G585+H585</f>
        <v/>
      </c>
    </row>
    <row r="586" ht="18" customHeight="1">
      <c r="A586" s="5" t="inlineStr">
        <is>
          <t>高雄分局</t>
        </is>
      </c>
      <c r="B586" s="6" t="n">
        <v>113</v>
      </c>
      <c r="C586" s="8">
        <f>I585</f>
        <v/>
      </c>
      <c r="D586" s="4">
        <f>SUMIFS('01_異動主檔'!$F:$F,'01_異動主檔'!$B:$B,113,'01_異動主檔'!$D:$D,A586,'01_異動主檔'!$E:$E,"移入")</f>
        <v/>
      </c>
      <c r="E586" s="4">
        <f>-SUMIFS('01_異動主檔'!$F:$F,'01_異動主檔'!$B:$B,113,'01_異動主檔'!$D:$D,A586,'01_異動主檔'!$E:$E,"移出")</f>
        <v/>
      </c>
      <c r="F586" s="4">
        <f>SUMIFS('01_異動主檔'!$F:$F,'01_異動主檔'!$B:$B,113,'01_異動主檔'!$D:$D,A586,'01_異動主檔'!$E:$E,"新增")</f>
        <v/>
      </c>
      <c r="G586" s="4">
        <f>-SUMIFS('01_異動主檔'!$F:$F,'01_異動主檔'!$B:$B,113,'01_異動主檔'!$D:$D,A586,'01_異動主檔'!$E:$E,"減列")</f>
        <v/>
      </c>
      <c r="H586" s="4">
        <f>-SUMIFS('01_異動主檔'!$F:$F,'01_異動主檔'!$B:$B,113,'01_異動主檔'!$D:$D,A586,'01_異動主檔'!$E:$E,"精簡")</f>
        <v/>
      </c>
      <c r="I586" s="8">
        <f>C586+D586+E586+F586+G586+H586</f>
        <v/>
      </c>
    </row>
    <row r="587" ht="18" customHeight="1">
      <c r="A587" s="3" t="inlineStr">
        <is>
          <t>高雄分局</t>
        </is>
      </c>
      <c r="B587" s="4" t="n">
        <v>114</v>
      </c>
      <c r="C587" s="8">
        <f>I586</f>
        <v/>
      </c>
      <c r="D587" s="4">
        <f>SUMIFS('01_異動主檔'!$F:$F,'01_異動主檔'!$B:$B,114,'01_異動主檔'!$D:$D,A587,'01_異動主檔'!$E:$E,"移入")</f>
        <v/>
      </c>
      <c r="E587" s="4">
        <f>-SUMIFS('01_異動主檔'!$F:$F,'01_異動主檔'!$B:$B,114,'01_異動主檔'!$D:$D,A587,'01_異動主檔'!$E:$E,"移出")</f>
        <v/>
      </c>
      <c r="F587" s="4">
        <f>SUMIFS('01_異動主檔'!$F:$F,'01_異動主檔'!$B:$B,114,'01_異動主檔'!$D:$D,A587,'01_異動主檔'!$E:$E,"新增")</f>
        <v/>
      </c>
      <c r="G587" s="4">
        <f>-SUMIFS('01_異動主檔'!$F:$F,'01_異動主檔'!$B:$B,114,'01_異動主檔'!$D:$D,A587,'01_異動主檔'!$E:$E,"減列")</f>
        <v/>
      </c>
      <c r="H587" s="4">
        <f>-SUMIFS('01_異動主檔'!$F:$F,'01_異動主檔'!$B:$B,114,'01_異動主檔'!$D:$D,A587,'01_異動主檔'!$E:$E,"精簡")</f>
        <v/>
      </c>
      <c r="I587" s="8">
        <f>C587+D587+E587+F587+G587+H587</f>
        <v/>
      </c>
    </row>
    <row r="588" ht="18" customHeight="1">
      <c r="A588" s="5" t="inlineStr">
        <is>
          <t>高雄分局</t>
        </is>
      </c>
      <c r="B588" s="6" t="n">
        <v>115</v>
      </c>
      <c r="C588" s="8">
        <f>I587</f>
        <v/>
      </c>
      <c r="D588" s="4">
        <f>SUMIFS('01_異動主檔'!$F:$F,'01_異動主檔'!$B:$B,115,'01_異動主檔'!$D:$D,A588,'01_異動主檔'!$E:$E,"移入")</f>
        <v/>
      </c>
      <c r="E588" s="4">
        <f>-SUMIFS('01_異動主檔'!$F:$F,'01_異動主檔'!$B:$B,115,'01_異動主檔'!$D:$D,A588,'01_異動主檔'!$E:$E,"移出")</f>
        <v/>
      </c>
      <c r="F588" s="4">
        <f>SUMIFS('01_異動主檔'!$F:$F,'01_異動主檔'!$B:$B,115,'01_異動主檔'!$D:$D,A588,'01_異動主檔'!$E:$E,"新增")</f>
        <v/>
      </c>
      <c r="G588" s="4">
        <f>-SUMIFS('01_異動主檔'!$F:$F,'01_異動主檔'!$B:$B,115,'01_異動主檔'!$D:$D,A588,'01_異動主檔'!$E:$E,"減列")</f>
        <v/>
      </c>
      <c r="H588" s="4">
        <f>-SUMIFS('01_異動主檔'!$F:$F,'01_異動主檔'!$B:$B,115,'01_異動主檔'!$D:$D,A588,'01_異動主檔'!$E:$E,"精簡")</f>
        <v/>
      </c>
      <c r="I588" s="8">
        <f>C588+D588+E588+F588+G588+H588</f>
        <v/>
      </c>
    </row>
    <row r="589" ht="18" customHeight="1">
      <c r="A589" s="3" t="inlineStr">
        <is>
          <t>高雄分局</t>
        </is>
      </c>
      <c r="B589" s="4" t="n">
        <v>116</v>
      </c>
      <c r="C589" s="8">
        <f>I588</f>
        <v/>
      </c>
      <c r="D589" s="4">
        <f>SUMIFS('01_異動主檔'!$F:$F,'01_異動主檔'!$B:$B,116,'01_異動主檔'!$D:$D,A589,'01_異動主檔'!$E:$E,"移入")</f>
        <v/>
      </c>
      <c r="E589" s="4">
        <f>-SUMIFS('01_異動主檔'!$F:$F,'01_異動主檔'!$B:$B,116,'01_異動主檔'!$D:$D,A589,'01_異動主檔'!$E:$E,"移出")</f>
        <v/>
      </c>
      <c r="F589" s="4">
        <f>SUMIFS('01_異動主檔'!$F:$F,'01_異動主檔'!$B:$B,116,'01_異動主檔'!$D:$D,A589,'01_異動主檔'!$E:$E,"新增")</f>
        <v/>
      </c>
      <c r="G589" s="4">
        <f>-SUMIFS('01_異動主檔'!$F:$F,'01_異動主檔'!$B:$B,116,'01_異動主檔'!$D:$D,A589,'01_異動主檔'!$E:$E,"減列")</f>
        <v/>
      </c>
      <c r="H589" s="4">
        <f>-SUMIFS('01_異動主檔'!$F:$F,'01_異動主檔'!$B:$B,116,'01_異動主檔'!$D:$D,A589,'01_異動主檔'!$E:$E,"精簡")</f>
        <v/>
      </c>
      <c r="I589" s="8">
        <f>C589+D589+E589+F589+G589+H589</f>
        <v/>
      </c>
    </row>
    <row r="590" ht="18" customHeight="1">
      <c r="A590" s="5" t="inlineStr">
        <is>
          <t>高雄分局</t>
        </is>
      </c>
      <c r="B590" s="6" t="n">
        <v>117</v>
      </c>
      <c r="C590" s="8">
        <f>I589</f>
        <v/>
      </c>
      <c r="D590" s="4">
        <f>SUMIFS('01_異動主檔'!$F:$F,'01_異動主檔'!$B:$B,117,'01_異動主檔'!$D:$D,A590,'01_異動主檔'!$E:$E,"移入")</f>
        <v/>
      </c>
      <c r="E590" s="4">
        <f>-SUMIFS('01_異動主檔'!$F:$F,'01_異動主檔'!$B:$B,117,'01_異動主檔'!$D:$D,A590,'01_異動主檔'!$E:$E,"移出")</f>
        <v/>
      </c>
      <c r="F590" s="4">
        <f>SUMIFS('01_異動主檔'!$F:$F,'01_異動主檔'!$B:$B,117,'01_異動主檔'!$D:$D,A590,'01_異動主檔'!$E:$E,"新增")</f>
        <v/>
      </c>
      <c r="G590" s="4">
        <f>-SUMIFS('01_異動主檔'!$F:$F,'01_異動主檔'!$B:$B,117,'01_異動主檔'!$D:$D,A590,'01_異動主檔'!$E:$E,"減列")</f>
        <v/>
      </c>
      <c r="H590" s="4">
        <f>-SUMIFS('01_異動主檔'!$F:$F,'01_異動主檔'!$B:$B,117,'01_異動主檔'!$D:$D,A590,'01_異動主檔'!$E:$E,"精簡")</f>
        <v/>
      </c>
      <c r="I590" s="8">
        <f>C590+D590+E590+F590+G590+H590</f>
        <v/>
      </c>
    </row>
    <row r="591" ht="18" customHeight="1">
      <c r="A591" s="3" t="inlineStr">
        <is>
          <t>高雄分局</t>
        </is>
      </c>
      <c r="B591" s="4" t="n">
        <v>118</v>
      </c>
      <c r="C591" s="8">
        <f>I590</f>
        <v/>
      </c>
      <c r="D591" s="4">
        <f>SUMIFS('01_異動主檔'!$F:$F,'01_異動主檔'!$B:$B,118,'01_異動主檔'!$D:$D,A591,'01_異動主檔'!$E:$E,"移入")</f>
        <v/>
      </c>
      <c r="E591" s="4">
        <f>-SUMIFS('01_異動主檔'!$F:$F,'01_異動主檔'!$B:$B,118,'01_異動主檔'!$D:$D,A591,'01_異動主檔'!$E:$E,"移出")</f>
        <v/>
      </c>
      <c r="F591" s="4">
        <f>SUMIFS('01_異動主檔'!$F:$F,'01_異動主檔'!$B:$B,118,'01_異動主檔'!$D:$D,A591,'01_異動主檔'!$E:$E,"新增")</f>
        <v/>
      </c>
      <c r="G591" s="4">
        <f>-SUMIFS('01_異動主檔'!$F:$F,'01_異動主檔'!$B:$B,118,'01_異動主檔'!$D:$D,A591,'01_異動主檔'!$E:$E,"減列")</f>
        <v/>
      </c>
      <c r="H591" s="4">
        <f>-SUMIFS('01_異動主檔'!$F:$F,'01_異動主檔'!$B:$B,118,'01_異動主檔'!$D:$D,A591,'01_異動主檔'!$E:$E,"精簡")</f>
        <v/>
      </c>
      <c r="I591" s="8">
        <f>C591+D591+E591+F591+G591+H591</f>
        <v/>
      </c>
    </row>
    <row r="592" ht="18" customHeight="1">
      <c r="A592" s="5" t="inlineStr">
        <is>
          <t>高雄分局</t>
        </is>
      </c>
      <c r="B592" s="6" t="n">
        <v>119</v>
      </c>
      <c r="C592" s="8">
        <f>I591</f>
        <v/>
      </c>
      <c r="D592" s="4">
        <f>SUMIFS('01_異動主檔'!$F:$F,'01_異動主檔'!$B:$B,119,'01_異動主檔'!$D:$D,A592,'01_異動主檔'!$E:$E,"移入")</f>
        <v/>
      </c>
      <c r="E592" s="4">
        <f>-SUMIFS('01_異動主檔'!$F:$F,'01_異動主檔'!$B:$B,119,'01_異動主檔'!$D:$D,A592,'01_異動主檔'!$E:$E,"移出")</f>
        <v/>
      </c>
      <c r="F592" s="4">
        <f>SUMIFS('01_異動主檔'!$F:$F,'01_異動主檔'!$B:$B,119,'01_異動主檔'!$D:$D,A592,'01_異動主檔'!$E:$E,"新增")</f>
        <v/>
      </c>
      <c r="G592" s="4">
        <f>-SUMIFS('01_異動主檔'!$F:$F,'01_異動主檔'!$B:$B,119,'01_異動主檔'!$D:$D,A592,'01_異動主檔'!$E:$E,"減列")</f>
        <v/>
      </c>
      <c r="H592" s="4">
        <f>-SUMIFS('01_異動主檔'!$F:$F,'01_異動主檔'!$B:$B,119,'01_異動主檔'!$D:$D,A592,'01_異動主檔'!$E:$E,"精簡")</f>
        <v/>
      </c>
      <c r="I592" s="8">
        <f>C592+D592+E592+F592+G592+H592</f>
        <v/>
      </c>
    </row>
    <row r="593" ht="18" customHeight="1">
      <c r="A593" s="3" t="inlineStr">
        <is>
          <t>高雄分局</t>
        </is>
      </c>
      <c r="B593" s="4" t="n">
        <v>120</v>
      </c>
      <c r="C593" s="8">
        <f>I592</f>
        <v/>
      </c>
      <c r="D593" s="4">
        <f>SUMIFS('01_異動主檔'!$F:$F,'01_異動主檔'!$B:$B,120,'01_異動主檔'!$D:$D,A593,'01_異動主檔'!$E:$E,"移入")</f>
        <v/>
      </c>
      <c r="E593" s="4">
        <f>-SUMIFS('01_異動主檔'!$F:$F,'01_異動主檔'!$B:$B,120,'01_異動主檔'!$D:$D,A593,'01_異動主檔'!$E:$E,"移出")</f>
        <v/>
      </c>
      <c r="F593" s="4">
        <f>SUMIFS('01_異動主檔'!$F:$F,'01_異動主檔'!$B:$B,120,'01_異動主檔'!$D:$D,A593,'01_異動主檔'!$E:$E,"新增")</f>
        <v/>
      </c>
      <c r="G593" s="4">
        <f>-SUMIFS('01_異動主檔'!$F:$F,'01_異動主檔'!$B:$B,120,'01_異動主檔'!$D:$D,A593,'01_異動主檔'!$E:$E,"減列")</f>
        <v/>
      </c>
      <c r="H593" s="4">
        <f>-SUMIFS('01_異動主檔'!$F:$F,'01_異動主檔'!$B:$B,120,'01_異動主檔'!$D:$D,A593,'01_異動主檔'!$E:$E,"精簡")</f>
        <v/>
      </c>
      <c r="I593" s="8">
        <f>C593+D593+E593+F593+G593+H593</f>
        <v/>
      </c>
    </row>
    <row r="594" ht="18" customHeight="1">
      <c r="A594" s="5" t="inlineStr">
        <is>
          <t>高雄分局</t>
        </is>
      </c>
      <c r="B594" s="6" t="n">
        <v>121</v>
      </c>
      <c r="C594" s="8">
        <f>I593</f>
        <v/>
      </c>
      <c r="D594" s="4">
        <f>SUMIFS('01_異動主檔'!$F:$F,'01_異動主檔'!$B:$B,121,'01_異動主檔'!$D:$D,A594,'01_異動主檔'!$E:$E,"移入")</f>
        <v/>
      </c>
      <c r="E594" s="4">
        <f>-SUMIFS('01_異動主檔'!$F:$F,'01_異動主檔'!$B:$B,121,'01_異動主檔'!$D:$D,A594,'01_異動主檔'!$E:$E,"移出")</f>
        <v/>
      </c>
      <c r="F594" s="4">
        <f>SUMIFS('01_異動主檔'!$F:$F,'01_異動主檔'!$B:$B,121,'01_異動主檔'!$D:$D,A594,'01_異動主檔'!$E:$E,"新增")</f>
        <v/>
      </c>
      <c r="G594" s="4">
        <f>-SUMIFS('01_異動主檔'!$F:$F,'01_異動主檔'!$B:$B,121,'01_異動主檔'!$D:$D,A594,'01_異動主檔'!$E:$E,"減列")</f>
        <v/>
      </c>
      <c r="H594" s="4">
        <f>-SUMIFS('01_異動主檔'!$F:$F,'01_異動主檔'!$B:$B,121,'01_異動主檔'!$D:$D,A594,'01_異動主檔'!$E:$E,"精簡")</f>
        <v/>
      </c>
      <c r="I594" s="8">
        <f>C594+D594+E594+F594+G594+H594</f>
        <v/>
      </c>
    </row>
    <row r="595" ht="18" customHeight="1">
      <c r="A595" s="3" t="inlineStr">
        <is>
          <t>高雄分局</t>
        </is>
      </c>
      <c r="B595" s="4" t="n">
        <v>122</v>
      </c>
      <c r="C595" s="8">
        <f>I594</f>
        <v/>
      </c>
      <c r="D595" s="4">
        <f>SUMIFS('01_異動主檔'!$F:$F,'01_異動主檔'!$B:$B,122,'01_異動主檔'!$D:$D,A595,'01_異動主檔'!$E:$E,"移入")</f>
        <v/>
      </c>
      <c r="E595" s="4">
        <f>-SUMIFS('01_異動主檔'!$F:$F,'01_異動主檔'!$B:$B,122,'01_異動主檔'!$D:$D,A595,'01_異動主檔'!$E:$E,"移出")</f>
        <v/>
      </c>
      <c r="F595" s="4">
        <f>SUMIFS('01_異動主檔'!$F:$F,'01_異動主檔'!$B:$B,122,'01_異動主檔'!$D:$D,A595,'01_異動主檔'!$E:$E,"新增")</f>
        <v/>
      </c>
      <c r="G595" s="4">
        <f>-SUMIFS('01_異動主檔'!$F:$F,'01_異動主檔'!$B:$B,122,'01_異動主檔'!$D:$D,A595,'01_異動主檔'!$E:$E,"減列")</f>
        <v/>
      </c>
      <c r="H595" s="4">
        <f>-SUMIFS('01_異動主檔'!$F:$F,'01_異動主檔'!$B:$B,122,'01_異動主檔'!$D:$D,A595,'01_異動主檔'!$E:$E,"精簡")</f>
        <v/>
      </c>
      <c r="I595" s="8">
        <f>C595+D595+E595+F595+G595+H595</f>
        <v/>
      </c>
    </row>
    <row r="596" ht="18" customHeight="1">
      <c r="A596" s="5" t="inlineStr">
        <is>
          <t>高雄分局</t>
        </is>
      </c>
      <c r="B596" s="6" t="n">
        <v>123</v>
      </c>
      <c r="C596" s="8">
        <f>I595</f>
        <v/>
      </c>
      <c r="D596" s="4">
        <f>SUMIFS('01_異動主檔'!$F:$F,'01_異動主檔'!$B:$B,123,'01_異動主檔'!$D:$D,A596,'01_異動主檔'!$E:$E,"移入")</f>
        <v/>
      </c>
      <c r="E596" s="4">
        <f>-SUMIFS('01_異動主檔'!$F:$F,'01_異動主檔'!$B:$B,123,'01_異動主檔'!$D:$D,A596,'01_異動主檔'!$E:$E,"移出")</f>
        <v/>
      </c>
      <c r="F596" s="4">
        <f>SUMIFS('01_異動主檔'!$F:$F,'01_異動主檔'!$B:$B,123,'01_異動主檔'!$D:$D,A596,'01_異動主檔'!$E:$E,"新增")</f>
        <v/>
      </c>
      <c r="G596" s="4">
        <f>-SUMIFS('01_異動主檔'!$F:$F,'01_異動主檔'!$B:$B,123,'01_異動主檔'!$D:$D,A596,'01_異動主檔'!$E:$E,"減列")</f>
        <v/>
      </c>
      <c r="H596" s="4">
        <f>-SUMIFS('01_異動主檔'!$F:$F,'01_異動主檔'!$B:$B,123,'01_異動主檔'!$D:$D,A596,'01_異動主檔'!$E:$E,"精簡")</f>
        <v/>
      </c>
      <c r="I596" s="8">
        <f>C596+D596+E596+F596+G596+H596</f>
        <v/>
      </c>
    </row>
    <row r="597" ht="18" customHeight="1">
      <c r="A597" s="3" t="inlineStr">
        <is>
          <t>高雄分局</t>
        </is>
      </c>
      <c r="B597" s="4" t="n">
        <v>124</v>
      </c>
      <c r="C597" s="8">
        <f>I596</f>
        <v/>
      </c>
      <c r="D597" s="4">
        <f>SUMIFS('01_異動主檔'!$F:$F,'01_異動主檔'!$B:$B,124,'01_異動主檔'!$D:$D,A597,'01_異動主檔'!$E:$E,"移入")</f>
        <v/>
      </c>
      <c r="E597" s="4">
        <f>-SUMIFS('01_異動主檔'!$F:$F,'01_異動主檔'!$B:$B,124,'01_異動主檔'!$D:$D,A597,'01_異動主檔'!$E:$E,"移出")</f>
        <v/>
      </c>
      <c r="F597" s="4">
        <f>SUMIFS('01_異動主檔'!$F:$F,'01_異動主檔'!$B:$B,124,'01_異動主檔'!$D:$D,A597,'01_異動主檔'!$E:$E,"新增")</f>
        <v/>
      </c>
      <c r="G597" s="4">
        <f>-SUMIFS('01_異動主檔'!$F:$F,'01_異動主檔'!$B:$B,124,'01_異動主檔'!$D:$D,A597,'01_異動主檔'!$E:$E,"減列")</f>
        <v/>
      </c>
      <c r="H597" s="4">
        <f>-SUMIFS('01_異動主檔'!$F:$F,'01_異動主檔'!$B:$B,124,'01_異動主檔'!$D:$D,A597,'01_異動主檔'!$E:$E,"精簡")</f>
        <v/>
      </c>
      <c r="I597" s="8">
        <f>C597+D597+E597+F597+G597+H597</f>
        <v/>
      </c>
    </row>
    <row r="598" ht="18" customHeight="1">
      <c r="A598" s="5" t="inlineStr">
        <is>
          <t>高雄分局</t>
        </is>
      </c>
      <c r="B598" s="6" t="n">
        <v>125</v>
      </c>
      <c r="C598" s="8">
        <f>I597</f>
        <v/>
      </c>
      <c r="D598" s="4">
        <f>SUMIFS('01_異動主檔'!$F:$F,'01_異動主檔'!$B:$B,125,'01_異動主檔'!$D:$D,A598,'01_異動主檔'!$E:$E,"移入")</f>
        <v/>
      </c>
      <c r="E598" s="4">
        <f>-SUMIFS('01_異動主檔'!$F:$F,'01_異動主檔'!$B:$B,125,'01_異動主檔'!$D:$D,A598,'01_異動主檔'!$E:$E,"移出")</f>
        <v/>
      </c>
      <c r="F598" s="4">
        <f>SUMIFS('01_異動主檔'!$F:$F,'01_異動主檔'!$B:$B,125,'01_異動主檔'!$D:$D,A598,'01_異動主檔'!$E:$E,"新增")</f>
        <v/>
      </c>
      <c r="G598" s="4">
        <f>-SUMIFS('01_異動主檔'!$F:$F,'01_異動主檔'!$B:$B,125,'01_異動主檔'!$D:$D,A598,'01_異動主檔'!$E:$E,"減列")</f>
        <v/>
      </c>
      <c r="H598" s="4">
        <f>-SUMIFS('01_異動主檔'!$F:$F,'01_異動主檔'!$B:$B,125,'01_異動主檔'!$D:$D,A598,'01_異動主檔'!$E:$E,"精簡")</f>
        <v/>
      </c>
      <c r="I598" s="8">
        <f>C598+D598+E598+F598+G598+H598</f>
        <v/>
      </c>
    </row>
    <row r="599" ht="18" customHeight="1">
      <c r="A599" s="3" t="inlineStr">
        <is>
          <t>基隆分局</t>
        </is>
      </c>
      <c r="B599" s="4" t="n">
        <v>99</v>
      </c>
      <c r="C599" s="8">
        <f>'02_年初員額設定'!B27</f>
        <v/>
      </c>
      <c r="D599" s="4">
        <f>SUMIFS('01_異動主檔'!$F:$F,'01_異動主檔'!$B:$B,99,'01_異動主檔'!$D:$D,A599,'01_異動主檔'!$E:$E,"移入")</f>
        <v/>
      </c>
      <c r="E599" s="4">
        <f>-SUMIFS('01_異動主檔'!$F:$F,'01_異動主檔'!$B:$B,99,'01_異動主檔'!$D:$D,A599,'01_異動主檔'!$E:$E,"移出")</f>
        <v/>
      </c>
      <c r="F599" s="4">
        <f>SUMIFS('01_異動主檔'!$F:$F,'01_異動主檔'!$B:$B,99,'01_異動主檔'!$D:$D,A599,'01_異動主檔'!$E:$E,"新增")</f>
        <v/>
      </c>
      <c r="G599" s="4">
        <f>-SUMIFS('01_異動主檔'!$F:$F,'01_異動主檔'!$B:$B,99,'01_異動主檔'!$D:$D,A599,'01_異動主檔'!$E:$E,"減列")</f>
        <v/>
      </c>
      <c r="H599" s="4">
        <f>-SUMIFS('01_異動主檔'!$F:$F,'01_異動主檔'!$B:$B,99,'01_異動主檔'!$D:$D,A599,'01_異動主檔'!$E:$E,"精簡")</f>
        <v/>
      </c>
      <c r="I599" s="8">
        <f>C599+D599+E599+F599+G599+H599</f>
        <v/>
      </c>
    </row>
    <row r="600" ht="18" customHeight="1">
      <c r="A600" s="5" t="inlineStr">
        <is>
          <t>基隆分局</t>
        </is>
      </c>
      <c r="B600" s="6" t="n">
        <v>100</v>
      </c>
      <c r="C600" s="8">
        <f>I599</f>
        <v/>
      </c>
      <c r="D600" s="4">
        <f>SUMIFS('01_異動主檔'!$F:$F,'01_異動主檔'!$B:$B,100,'01_異動主檔'!$D:$D,A600,'01_異動主檔'!$E:$E,"移入")</f>
        <v/>
      </c>
      <c r="E600" s="4">
        <f>-SUMIFS('01_異動主檔'!$F:$F,'01_異動主檔'!$B:$B,100,'01_異動主檔'!$D:$D,A600,'01_異動主檔'!$E:$E,"移出")</f>
        <v/>
      </c>
      <c r="F600" s="4">
        <f>SUMIFS('01_異動主檔'!$F:$F,'01_異動主檔'!$B:$B,100,'01_異動主檔'!$D:$D,A600,'01_異動主檔'!$E:$E,"新增")</f>
        <v/>
      </c>
      <c r="G600" s="4">
        <f>-SUMIFS('01_異動主檔'!$F:$F,'01_異動主檔'!$B:$B,100,'01_異動主檔'!$D:$D,A600,'01_異動主檔'!$E:$E,"減列")</f>
        <v/>
      </c>
      <c r="H600" s="4">
        <f>-SUMIFS('01_異動主檔'!$F:$F,'01_異動主檔'!$B:$B,100,'01_異動主檔'!$D:$D,A600,'01_異動主檔'!$E:$E,"精簡")</f>
        <v/>
      </c>
      <c r="I600" s="8">
        <f>C600+D600+E600+F600+G600+H600</f>
        <v/>
      </c>
    </row>
    <row r="601" ht="18" customHeight="1">
      <c r="A601" s="3" t="inlineStr">
        <is>
          <t>基隆分局</t>
        </is>
      </c>
      <c r="B601" s="4" t="n">
        <v>101</v>
      </c>
      <c r="C601" s="8">
        <f>I600</f>
        <v/>
      </c>
      <c r="D601" s="4">
        <f>SUMIFS('01_異動主檔'!$F:$F,'01_異動主檔'!$B:$B,101,'01_異動主檔'!$D:$D,A601,'01_異動主檔'!$E:$E,"移入")</f>
        <v/>
      </c>
      <c r="E601" s="4">
        <f>-SUMIFS('01_異動主檔'!$F:$F,'01_異動主檔'!$B:$B,101,'01_異動主檔'!$D:$D,A601,'01_異動主檔'!$E:$E,"移出")</f>
        <v/>
      </c>
      <c r="F601" s="4">
        <f>SUMIFS('01_異動主檔'!$F:$F,'01_異動主檔'!$B:$B,101,'01_異動主檔'!$D:$D,A601,'01_異動主檔'!$E:$E,"新增")</f>
        <v/>
      </c>
      <c r="G601" s="4">
        <f>-SUMIFS('01_異動主檔'!$F:$F,'01_異動主檔'!$B:$B,101,'01_異動主檔'!$D:$D,A601,'01_異動主檔'!$E:$E,"減列")</f>
        <v/>
      </c>
      <c r="H601" s="4">
        <f>-SUMIFS('01_異動主檔'!$F:$F,'01_異動主檔'!$B:$B,101,'01_異動主檔'!$D:$D,A601,'01_異動主檔'!$E:$E,"精簡")</f>
        <v/>
      </c>
      <c r="I601" s="8">
        <f>C601+D601+E601+F601+G601+H601</f>
        <v/>
      </c>
    </row>
    <row r="602" ht="18" customHeight="1">
      <c r="A602" s="5" t="inlineStr">
        <is>
          <t>基隆分局</t>
        </is>
      </c>
      <c r="B602" s="6" t="n">
        <v>102</v>
      </c>
      <c r="C602" s="8">
        <f>I601</f>
        <v/>
      </c>
      <c r="D602" s="4">
        <f>SUMIFS('01_異動主檔'!$F:$F,'01_異動主檔'!$B:$B,102,'01_異動主檔'!$D:$D,A602,'01_異動主檔'!$E:$E,"移入")</f>
        <v/>
      </c>
      <c r="E602" s="4">
        <f>-SUMIFS('01_異動主檔'!$F:$F,'01_異動主檔'!$B:$B,102,'01_異動主檔'!$D:$D,A602,'01_異動主檔'!$E:$E,"移出")</f>
        <v/>
      </c>
      <c r="F602" s="4">
        <f>SUMIFS('01_異動主檔'!$F:$F,'01_異動主檔'!$B:$B,102,'01_異動主檔'!$D:$D,A602,'01_異動主檔'!$E:$E,"新增")</f>
        <v/>
      </c>
      <c r="G602" s="4">
        <f>-SUMIFS('01_異動主檔'!$F:$F,'01_異動主檔'!$B:$B,102,'01_異動主檔'!$D:$D,A602,'01_異動主檔'!$E:$E,"減列")</f>
        <v/>
      </c>
      <c r="H602" s="4">
        <f>-SUMIFS('01_異動主檔'!$F:$F,'01_異動主檔'!$B:$B,102,'01_異動主檔'!$D:$D,A602,'01_異動主檔'!$E:$E,"精簡")</f>
        <v/>
      </c>
      <c r="I602" s="8">
        <f>C602+D602+E602+F602+G602+H602</f>
        <v/>
      </c>
    </row>
    <row r="603" ht="18" customHeight="1">
      <c r="A603" s="3" t="inlineStr">
        <is>
          <t>基隆分局</t>
        </is>
      </c>
      <c r="B603" s="4" t="n">
        <v>103</v>
      </c>
      <c r="C603" s="8">
        <f>I602</f>
        <v/>
      </c>
      <c r="D603" s="4">
        <f>SUMIFS('01_異動主檔'!$F:$F,'01_異動主檔'!$B:$B,103,'01_異動主檔'!$D:$D,A603,'01_異動主檔'!$E:$E,"移入")</f>
        <v/>
      </c>
      <c r="E603" s="4">
        <f>-SUMIFS('01_異動主檔'!$F:$F,'01_異動主檔'!$B:$B,103,'01_異動主檔'!$D:$D,A603,'01_異動主檔'!$E:$E,"移出")</f>
        <v/>
      </c>
      <c r="F603" s="4">
        <f>SUMIFS('01_異動主檔'!$F:$F,'01_異動主檔'!$B:$B,103,'01_異動主檔'!$D:$D,A603,'01_異動主檔'!$E:$E,"新增")</f>
        <v/>
      </c>
      <c r="G603" s="4">
        <f>-SUMIFS('01_異動主檔'!$F:$F,'01_異動主檔'!$B:$B,103,'01_異動主檔'!$D:$D,A603,'01_異動主檔'!$E:$E,"減列")</f>
        <v/>
      </c>
      <c r="H603" s="4">
        <f>-SUMIFS('01_異動主檔'!$F:$F,'01_異動主檔'!$B:$B,103,'01_異動主檔'!$D:$D,A603,'01_異動主檔'!$E:$E,"精簡")</f>
        <v/>
      </c>
      <c r="I603" s="8">
        <f>C603+D603+E603+F603+G603+H603</f>
        <v/>
      </c>
    </row>
    <row r="604" ht="18" customHeight="1">
      <c r="A604" s="5" t="inlineStr">
        <is>
          <t>基隆分局</t>
        </is>
      </c>
      <c r="B604" s="6" t="n">
        <v>104</v>
      </c>
      <c r="C604" s="8">
        <f>I603</f>
        <v/>
      </c>
      <c r="D604" s="4">
        <f>SUMIFS('01_異動主檔'!$F:$F,'01_異動主檔'!$B:$B,104,'01_異動主檔'!$D:$D,A604,'01_異動主檔'!$E:$E,"移入")</f>
        <v/>
      </c>
      <c r="E604" s="4">
        <f>-SUMIFS('01_異動主檔'!$F:$F,'01_異動主檔'!$B:$B,104,'01_異動主檔'!$D:$D,A604,'01_異動主檔'!$E:$E,"移出")</f>
        <v/>
      </c>
      <c r="F604" s="4">
        <f>SUMIFS('01_異動主檔'!$F:$F,'01_異動主檔'!$B:$B,104,'01_異動主檔'!$D:$D,A604,'01_異動主檔'!$E:$E,"新增")</f>
        <v/>
      </c>
      <c r="G604" s="4">
        <f>-SUMIFS('01_異動主檔'!$F:$F,'01_異動主檔'!$B:$B,104,'01_異動主檔'!$D:$D,A604,'01_異動主檔'!$E:$E,"減列")</f>
        <v/>
      </c>
      <c r="H604" s="4">
        <f>-SUMIFS('01_異動主檔'!$F:$F,'01_異動主檔'!$B:$B,104,'01_異動主檔'!$D:$D,A604,'01_異動主檔'!$E:$E,"精簡")</f>
        <v/>
      </c>
      <c r="I604" s="8">
        <f>C604+D604+E604+F604+G604+H604</f>
        <v/>
      </c>
    </row>
    <row r="605" ht="18" customHeight="1">
      <c r="A605" s="3" t="inlineStr">
        <is>
          <t>基隆分局</t>
        </is>
      </c>
      <c r="B605" s="4" t="n">
        <v>105</v>
      </c>
      <c r="C605" s="8">
        <f>I604</f>
        <v/>
      </c>
      <c r="D605" s="4">
        <f>SUMIFS('01_異動主檔'!$F:$F,'01_異動主檔'!$B:$B,105,'01_異動主檔'!$D:$D,A605,'01_異動主檔'!$E:$E,"移入")</f>
        <v/>
      </c>
      <c r="E605" s="4">
        <f>-SUMIFS('01_異動主檔'!$F:$F,'01_異動主檔'!$B:$B,105,'01_異動主檔'!$D:$D,A605,'01_異動主檔'!$E:$E,"移出")</f>
        <v/>
      </c>
      <c r="F605" s="4">
        <f>SUMIFS('01_異動主檔'!$F:$F,'01_異動主檔'!$B:$B,105,'01_異動主檔'!$D:$D,A605,'01_異動主檔'!$E:$E,"新增")</f>
        <v/>
      </c>
      <c r="G605" s="4">
        <f>-SUMIFS('01_異動主檔'!$F:$F,'01_異動主檔'!$B:$B,105,'01_異動主檔'!$D:$D,A605,'01_異動主檔'!$E:$E,"減列")</f>
        <v/>
      </c>
      <c r="H605" s="4">
        <f>-SUMIFS('01_異動主檔'!$F:$F,'01_異動主檔'!$B:$B,105,'01_異動主檔'!$D:$D,A605,'01_異動主檔'!$E:$E,"精簡")</f>
        <v/>
      </c>
      <c r="I605" s="8">
        <f>C605+D605+E605+F605+G605+H605</f>
        <v/>
      </c>
    </row>
    <row r="606" ht="18" customHeight="1">
      <c r="A606" s="5" t="inlineStr">
        <is>
          <t>基隆分局</t>
        </is>
      </c>
      <c r="B606" s="6" t="n">
        <v>106</v>
      </c>
      <c r="C606" s="8">
        <f>I605</f>
        <v/>
      </c>
      <c r="D606" s="4">
        <f>SUMIFS('01_異動主檔'!$F:$F,'01_異動主檔'!$B:$B,106,'01_異動主檔'!$D:$D,A606,'01_異動主檔'!$E:$E,"移入")</f>
        <v/>
      </c>
      <c r="E606" s="4">
        <f>-SUMIFS('01_異動主檔'!$F:$F,'01_異動主檔'!$B:$B,106,'01_異動主檔'!$D:$D,A606,'01_異動主檔'!$E:$E,"移出")</f>
        <v/>
      </c>
      <c r="F606" s="4">
        <f>SUMIFS('01_異動主檔'!$F:$F,'01_異動主檔'!$B:$B,106,'01_異動主檔'!$D:$D,A606,'01_異動主檔'!$E:$E,"新增")</f>
        <v/>
      </c>
      <c r="G606" s="4">
        <f>-SUMIFS('01_異動主檔'!$F:$F,'01_異動主檔'!$B:$B,106,'01_異動主檔'!$D:$D,A606,'01_異動主檔'!$E:$E,"減列")</f>
        <v/>
      </c>
      <c r="H606" s="4">
        <f>-SUMIFS('01_異動主檔'!$F:$F,'01_異動主檔'!$B:$B,106,'01_異動主檔'!$D:$D,A606,'01_異動主檔'!$E:$E,"精簡")</f>
        <v/>
      </c>
      <c r="I606" s="8">
        <f>C606+D606+E606+F606+G606+H606</f>
        <v/>
      </c>
    </row>
    <row r="607" ht="18" customHeight="1">
      <c r="A607" s="3" t="inlineStr">
        <is>
          <t>基隆分局</t>
        </is>
      </c>
      <c r="B607" s="4" t="n">
        <v>107</v>
      </c>
      <c r="C607" s="8">
        <f>I606</f>
        <v/>
      </c>
      <c r="D607" s="4">
        <f>SUMIFS('01_異動主檔'!$F:$F,'01_異動主檔'!$B:$B,107,'01_異動主檔'!$D:$D,A607,'01_異動主檔'!$E:$E,"移入")</f>
        <v/>
      </c>
      <c r="E607" s="4">
        <f>-SUMIFS('01_異動主檔'!$F:$F,'01_異動主檔'!$B:$B,107,'01_異動主檔'!$D:$D,A607,'01_異動主檔'!$E:$E,"移出")</f>
        <v/>
      </c>
      <c r="F607" s="4">
        <f>SUMIFS('01_異動主檔'!$F:$F,'01_異動主檔'!$B:$B,107,'01_異動主檔'!$D:$D,A607,'01_異動主檔'!$E:$E,"新增")</f>
        <v/>
      </c>
      <c r="G607" s="4">
        <f>-SUMIFS('01_異動主檔'!$F:$F,'01_異動主檔'!$B:$B,107,'01_異動主檔'!$D:$D,A607,'01_異動主檔'!$E:$E,"減列")</f>
        <v/>
      </c>
      <c r="H607" s="4">
        <f>-SUMIFS('01_異動主檔'!$F:$F,'01_異動主檔'!$B:$B,107,'01_異動主檔'!$D:$D,A607,'01_異動主檔'!$E:$E,"精簡")</f>
        <v/>
      </c>
      <c r="I607" s="8">
        <f>C607+D607+E607+F607+G607+H607</f>
        <v/>
      </c>
    </row>
    <row r="608" ht="18" customHeight="1">
      <c r="A608" s="5" t="inlineStr">
        <is>
          <t>基隆分局</t>
        </is>
      </c>
      <c r="B608" s="6" t="n">
        <v>108</v>
      </c>
      <c r="C608" s="8">
        <f>I607</f>
        <v/>
      </c>
      <c r="D608" s="4">
        <f>SUMIFS('01_異動主檔'!$F:$F,'01_異動主檔'!$B:$B,108,'01_異動主檔'!$D:$D,A608,'01_異動主檔'!$E:$E,"移入")</f>
        <v/>
      </c>
      <c r="E608" s="4">
        <f>-SUMIFS('01_異動主檔'!$F:$F,'01_異動主檔'!$B:$B,108,'01_異動主檔'!$D:$D,A608,'01_異動主檔'!$E:$E,"移出")</f>
        <v/>
      </c>
      <c r="F608" s="4">
        <f>SUMIFS('01_異動主檔'!$F:$F,'01_異動主檔'!$B:$B,108,'01_異動主檔'!$D:$D,A608,'01_異動主檔'!$E:$E,"新增")</f>
        <v/>
      </c>
      <c r="G608" s="4">
        <f>-SUMIFS('01_異動主檔'!$F:$F,'01_異動主檔'!$B:$B,108,'01_異動主檔'!$D:$D,A608,'01_異動主檔'!$E:$E,"減列")</f>
        <v/>
      </c>
      <c r="H608" s="4">
        <f>-SUMIFS('01_異動主檔'!$F:$F,'01_異動主檔'!$B:$B,108,'01_異動主檔'!$D:$D,A608,'01_異動主檔'!$E:$E,"精簡")</f>
        <v/>
      </c>
      <c r="I608" s="8">
        <f>C608+D608+E608+F608+G608+H608</f>
        <v/>
      </c>
    </row>
    <row r="609" ht="18" customHeight="1">
      <c r="A609" s="3" t="inlineStr">
        <is>
          <t>基隆分局</t>
        </is>
      </c>
      <c r="B609" s="4" t="n">
        <v>109</v>
      </c>
      <c r="C609" s="8">
        <f>I608</f>
        <v/>
      </c>
      <c r="D609" s="4">
        <f>SUMIFS('01_異動主檔'!$F:$F,'01_異動主檔'!$B:$B,109,'01_異動主檔'!$D:$D,A609,'01_異動主檔'!$E:$E,"移入")</f>
        <v/>
      </c>
      <c r="E609" s="4">
        <f>-SUMIFS('01_異動主檔'!$F:$F,'01_異動主檔'!$B:$B,109,'01_異動主檔'!$D:$D,A609,'01_異動主檔'!$E:$E,"移出")</f>
        <v/>
      </c>
      <c r="F609" s="4">
        <f>SUMIFS('01_異動主檔'!$F:$F,'01_異動主檔'!$B:$B,109,'01_異動主檔'!$D:$D,A609,'01_異動主檔'!$E:$E,"新增")</f>
        <v/>
      </c>
      <c r="G609" s="4">
        <f>-SUMIFS('01_異動主檔'!$F:$F,'01_異動主檔'!$B:$B,109,'01_異動主檔'!$D:$D,A609,'01_異動主檔'!$E:$E,"減列")</f>
        <v/>
      </c>
      <c r="H609" s="4">
        <f>-SUMIFS('01_異動主檔'!$F:$F,'01_異動主檔'!$B:$B,109,'01_異動主檔'!$D:$D,A609,'01_異動主檔'!$E:$E,"精簡")</f>
        <v/>
      </c>
      <c r="I609" s="8">
        <f>C609+D609+E609+F609+G609+H609</f>
        <v/>
      </c>
    </row>
    <row r="610" ht="18" customHeight="1">
      <c r="A610" s="5" t="inlineStr">
        <is>
          <t>基隆分局</t>
        </is>
      </c>
      <c r="B610" s="6" t="n">
        <v>110</v>
      </c>
      <c r="C610" s="8">
        <f>I609</f>
        <v/>
      </c>
      <c r="D610" s="4">
        <f>SUMIFS('01_異動主檔'!$F:$F,'01_異動主檔'!$B:$B,110,'01_異動主檔'!$D:$D,A610,'01_異動主檔'!$E:$E,"移入")</f>
        <v/>
      </c>
      <c r="E610" s="4">
        <f>-SUMIFS('01_異動主檔'!$F:$F,'01_異動主檔'!$B:$B,110,'01_異動主檔'!$D:$D,A610,'01_異動主檔'!$E:$E,"移出")</f>
        <v/>
      </c>
      <c r="F610" s="4">
        <f>SUMIFS('01_異動主檔'!$F:$F,'01_異動主檔'!$B:$B,110,'01_異動主檔'!$D:$D,A610,'01_異動主檔'!$E:$E,"新增")</f>
        <v/>
      </c>
      <c r="G610" s="4">
        <f>-SUMIFS('01_異動主檔'!$F:$F,'01_異動主檔'!$B:$B,110,'01_異動主檔'!$D:$D,A610,'01_異動主檔'!$E:$E,"減列")</f>
        <v/>
      </c>
      <c r="H610" s="4">
        <f>-SUMIFS('01_異動主檔'!$F:$F,'01_異動主檔'!$B:$B,110,'01_異動主檔'!$D:$D,A610,'01_異動主檔'!$E:$E,"精簡")</f>
        <v/>
      </c>
      <c r="I610" s="8">
        <f>C610+D610+E610+F610+G610+H610</f>
        <v/>
      </c>
    </row>
    <row r="611" ht="18" customHeight="1">
      <c r="A611" s="3" t="inlineStr">
        <is>
          <t>基隆分局</t>
        </is>
      </c>
      <c r="B611" s="4" t="n">
        <v>111</v>
      </c>
      <c r="C611" s="8">
        <f>I610</f>
        <v/>
      </c>
      <c r="D611" s="4">
        <f>SUMIFS('01_異動主檔'!$F:$F,'01_異動主檔'!$B:$B,111,'01_異動主檔'!$D:$D,A611,'01_異動主檔'!$E:$E,"移入")</f>
        <v/>
      </c>
      <c r="E611" s="4">
        <f>-SUMIFS('01_異動主檔'!$F:$F,'01_異動主檔'!$B:$B,111,'01_異動主檔'!$D:$D,A611,'01_異動主檔'!$E:$E,"移出")</f>
        <v/>
      </c>
      <c r="F611" s="4">
        <f>SUMIFS('01_異動主檔'!$F:$F,'01_異動主檔'!$B:$B,111,'01_異動主檔'!$D:$D,A611,'01_異動主檔'!$E:$E,"新增")</f>
        <v/>
      </c>
      <c r="G611" s="4">
        <f>-SUMIFS('01_異動主檔'!$F:$F,'01_異動主檔'!$B:$B,111,'01_異動主檔'!$D:$D,A611,'01_異動主檔'!$E:$E,"減列")</f>
        <v/>
      </c>
      <c r="H611" s="4">
        <f>-SUMIFS('01_異動主檔'!$F:$F,'01_異動主檔'!$B:$B,111,'01_異動主檔'!$D:$D,A611,'01_異動主檔'!$E:$E,"精簡")</f>
        <v/>
      </c>
      <c r="I611" s="8">
        <f>C611+D611+E611+F611+G611+H611</f>
        <v/>
      </c>
    </row>
    <row r="612" ht="18" customHeight="1">
      <c r="A612" s="5" t="inlineStr">
        <is>
          <t>基隆分局</t>
        </is>
      </c>
      <c r="B612" s="6" t="n">
        <v>112</v>
      </c>
      <c r="C612" s="8">
        <f>I611</f>
        <v/>
      </c>
      <c r="D612" s="4">
        <f>SUMIFS('01_異動主檔'!$F:$F,'01_異動主檔'!$B:$B,112,'01_異動主檔'!$D:$D,A612,'01_異動主檔'!$E:$E,"移入")</f>
        <v/>
      </c>
      <c r="E612" s="4">
        <f>-SUMIFS('01_異動主檔'!$F:$F,'01_異動主檔'!$B:$B,112,'01_異動主檔'!$D:$D,A612,'01_異動主檔'!$E:$E,"移出")</f>
        <v/>
      </c>
      <c r="F612" s="4">
        <f>SUMIFS('01_異動主檔'!$F:$F,'01_異動主檔'!$B:$B,112,'01_異動主檔'!$D:$D,A612,'01_異動主檔'!$E:$E,"新增")</f>
        <v/>
      </c>
      <c r="G612" s="4">
        <f>-SUMIFS('01_異動主檔'!$F:$F,'01_異動主檔'!$B:$B,112,'01_異動主檔'!$D:$D,A612,'01_異動主檔'!$E:$E,"減列")</f>
        <v/>
      </c>
      <c r="H612" s="4">
        <f>-SUMIFS('01_異動主檔'!$F:$F,'01_異動主檔'!$B:$B,112,'01_異動主檔'!$D:$D,A612,'01_異動主檔'!$E:$E,"精簡")</f>
        <v/>
      </c>
      <c r="I612" s="8">
        <f>C612+D612+E612+F612+G612+H612</f>
        <v/>
      </c>
    </row>
    <row r="613" ht="18" customHeight="1">
      <c r="A613" s="3" t="inlineStr">
        <is>
          <t>基隆分局</t>
        </is>
      </c>
      <c r="B613" s="4" t="n">
        <v>113</v>
      </c>
      <c r="C613" s="8">
        <f>I612</f>
        <v/>
      </c>
      <c r="D613" s="4">
        <f>SUMIFS('01_異動主檔'!$F:$F,'01_異動主檔'!$B:$B,113,'01_異動主檔'!$D:$D,A613,'01_異動主檔'!$E:$E,"移入")</f>
        <v/>
      </c>
      <c r="E613" s="4">
        <f>-SUMIFS('01_異動主檔'!$F:$F,'01_異動主檔'!$B:$B,113,'01_異動主檔'!$D:$D,A613,'01_異動主檔'!$E:$E,"移出")</f>
        <v/>
      </c>
      <c r="F613" s="4">
        <f>SUMIFS('01_異動主檔'!$F:$F,'01_異動主檔'!$B:$B,113,'01_異動主檔'!$D:$D,A613,'01_異動主檔'!$E:$E,"新增")</f>
        <v/>
      </c>
      <c r="G613" s="4">
        <f>-SUMIFS('01_異動主檔'!$F:$F,'01_異動主檔'!$B:$B,113,'01_異動主檔'!$D:$D,A613,'01_異動主檔'!$E:$E,"減列")</f>
        <v/>
      </c>
      <c r="H613" s="4">
        <f>-SUMIFS('01_異動主檔'!$F:$F,'01_異動主檔'!$B:$B,113,'01_異動主檔'!$D:$D,A613,'01_異動主檔'!$E:$E,"精簡")</f>
        <v/>
      </c>
      <c r="I613" s="8">
        <f>C613+D613+E613+F613+G613+H613</f>
        <v/>
      </c>
    </row>
    <row r="614" ht="18" customHeight="1">
      <c r="A614" s="5" t="inlineStr">
        <is>
          <t>基隆分局</t>
        </is>
      </c>
      <c r="B614" s="6" t="n">
        <v>114</v>
      </c>
      <c r="C614" s="8">
        <f>I613</f>
        <v/>
      </c>
      <c r="D614" s="4">
        <f>SUMIFS('01_異動主檔'!$F:$F,'01_異動主檔'!$B:$B,114,'01_異動主檔'!$D:$D,A614,'01_異動主檔'!$E:$E,"移入")</f>
        <v/>
      </c>
      <c r="E614" s="4">
        <f>-SUMIFS('01_異動主檔'!$F:$F,'01_異動主檔'!$B:$B,114,'01_異動主檔'!$D:$D,A614,'01_異動主檔'!$E:$E,"移出")</f>
        <v/>
      </c>
      <c r="F614" s="4">
        <f>SUMIFS('01_異動主檔'!$F:$F,'01_異動主檔'!$B:$B,114,'01_異動主檔'!$D:$D,A614,'01_異動主檔'!$E:$E,"新增")</f>
        <v/>
      </c>
      <c r="G614" s="4">
        <f>-SUMIFS('01_異動主檔'!$F:$F,'01_異動主檔'!$B:$B,114,'01_異動主檔'!$D:$D,A614,'01_異動主檔'!$E:$E,"減列")</f>
        <v/>
      </c>
      <c r="H614" s="4">
        <f>-SUMIFS('01_異動主檔'!$F:$F,'01_異動主檔'!$B:$B,114,'01_異動主檔'!$D:$D,A614,'01_異動主檔'!$E:$E,"精簡")</f>
        <v/>
      </c>
      <c r="I614" s="8">
        <f>C614+D614+E614+F614+G614+H614</f>
        <v/>
      </c>
    </row>
    <row r="615" ht="18" customHeight="1">
      <c r="A615" s="3" t="inlineStr">
        <is>
          <t>基隆分局</t>
        </is>
      </c>
      <c r="B615" s="4" t="n">
        <v>115</v>
      </c>
      <c r="C615" s="8">
        <f>I614</f>
        <v/>
      </c>
      <c r="D615" s="4">
        <f>SUMIFS('01_異動主檔'!$F:$F,'01_異動主檔'!$B:$B,115,'01_異動主檔'!$D:$D,A615,'01_異動主檔'!$E:$E,"移入")</f>
        <v/>
      </c>
      <c r="E615" s="4">
        <f>-SUMIFS('01_異動主檔'!$F:$F,'01_異動主檔'!$B:$B,115,'01_異動主檔'!$D:$D,A615,'01_異動主檔'!$E:$E,"移出")</f>
        <v/>
      </c>
      <c r="F615" s="4">
        <f>SUMIFS('01_異動主檔'!$F:$F,'01_異動主檔'!$B:$B,115,'01_異動主檔'!$D:$D,A615,'01_異動主檔'!$E:$E,"新增")</f>
        <v/>
      </c>
      <c r="G615" s="4">
        <f>-SUMIFS('01_異動主檔'!$F:$F,'01_異動主檔'!$B:$B,115,'01_異動主檔'!$D:$D,A615,'01_異動主檔'!$E:$E,"減列")</f>
        <v/>
      </c>
      <c r="H615" s="4">
        <f>-SUMIFS('01_異動主檔'!$F:$F,'01_異動主檔'!$B:$B,115,'01_異動主檔'!$D:$D,A615,'01_異動主檔'!$E:$E,"精簡")</f>
        <v/>
      </c>
      <c r="I615" s="8">
        <f>C615+D615+E615+F615+G615+H615</f>
        <v/>
      </c>
    </row>
    <row r="616" ht="18" customHeight="1">
      <c r="A616" s="5" t="inlineStr">
        <is>
          <t>基隆分局</t>
        </is>
      </c>
      <c r="B616" s="6" t="n">
        <v>116</v>
      </c>
      <c r="C616" s="8">
        <f>I615</f>
        <v/>
      </c>
      <c r="D616" s="4">
        <f>SUMIFS('01_異動主檔'!$F:$F,'01_異動主檔'!$B:$B,116,'01_異動主檔'!$D:$D,A616,'01_異動主檔'!$E:$E,"移入")</f>
        <v/>
      </c>
      <c r="E616" s="4">
        <f>-SUMIFS('01_異動主檔'!$F:$F,'01_異動主檔'!$B:$B,116,'01_異動主檔'!$D:$D,A616,'01_異動主檔'!$E:$E,"移出")</f>
        <v/>
      </c>
      <c r="F616" s="4">
        <f>SUMIFS('01_異動主檔'!$F:$F,'01_異動主檔'!$B:$B,116,'01_異動主檔'!$D:$D,A616,'01_異動主檔'!$E:$E,"新增")</f>
        <v/>
      </c>
      <c r="G616" s="4">
        <f>-SUMIFS('01_異動主檔'!$F:$F,'01_異動主檔'!$B:$B,116,'01_異動主檔'!$D:$D,A616,'01_異動主檔'!$E:$E,"減列")</f>
        <v/>
      </c>
      <c r="H616" s="4">
        <f>-SUMIFS('01_異動主檔'!$F:$F,'01_異動主檔'!$B:$B,116,'01_異動主檔'!$D:$D,A616,'01_異動主檔'!$E:$E,"精簡")</f>
        <v/>
      </c>
      <c r="I616" s="8">
        <f>C616+D616+E616+F616+G616+H616</f>
        <v/>
      </c>
    </row>
    <row r="617" ht="18" customHeight="1">
      <c r="A617" s="3" t="inlineStr">
        <is>
          <t>基隆分局</t>
        </is>
      </c>
      <c r="B617" s="4" t="n">
        <v>117</v>
      </c>
      <c r="C617" s="8">
        <f>I616</f>
        <v/>
      </c>
      <c r="D617" s="4">
        <f>SUMIFS('01_異動主檔'!$F:$F,'01_異動主檔'!$B:$B,117,'01_異動主檔'!$D:$D,A617,'01_異動主檔'!$E:$E,"移入")</f>
        <v/>
      </c>
      <c r="E617" s="4">
        <f>-SUMIFS('01_異動主檔'!$F:$F,'01_異動主檔'!$B:$B,117,'01_異動主檔'!$D:$D,A617,'01_異動主檔'!$E:$E,"移出")</f>
        <v/>
      </c>
      <c r="F617" s="4">
        <f>SUMIFS('01_異動主檔'!$F:$F,'01_異動主檔'!$B:$B,117,'01_異動主檔'!$D:$D,A617,'01_異動主檔'!$E:$E,"新增")</f>
        <v/>
      </c>
      <c r="G617" s="4">
        <f>-SUMIFS('01_異動主檔'!$F:$F,'01_異動主檔'!$B:$B,117,'01_異動主檔'!$D:$D,A617,'01_異動主檔'!$E:$E,"減列")</f>
        <v/>
      </c>
      <c r="H617" s="4">
        <f>-SUMIFS('01_異動主檔'!$F:$F,'01_異動主檔'!$B:$B,117,'01_異動主檔'!$D:$D,A617,'01_異動主檔'!$E:$E,"精簡")</f>
        <v/>
      </c>
      <c r="I617" s="8">
        <f>C617+D617+E617+F617+G617+H617</f>
        <v/>
      </c>
    </row>
    <row r="618" ht="18" customHeight="1">
      <c r="A618" s="5" t="inlineStr">
        <is>
          <t>基隆分局</t>
        </is>
      </c>
      <c r="B618" s="6" t="n">
        <v>118</v>
      </c>
      <c r="C618" s="8">
        <f>I617</f>
        <v/>
      </c>
      <c r="D618" s="4">
        <f>SUMIFS('01_異動主檔'!$F:$F,'01_異動主檔'!$B:$B,118,'01_異動主檔'!$D:$D,A618,'01_異動主檔'!$E:$E,"移入")</f>
        <v/>
      </c>
      <c r="E618" s="4">
        <f>-SUMIFS('01_異動主檔'!$F:$F,'01_異動主檔'!$B:$B,118,'01_異動主檔'!$D:$D,A618,'01_異動主檔'!$E:$E,"移出")</f>
        <v/>
      </c>
      <c r="F618" s="4">
        <f>SUMIFS('01_異動主檔'!$F:$F,'01_異動主檔'!$B:$B,118,'01_異動主檔'!$D:$D,A618,'01_異動主檔'!$E:$E,"新增")</f>
        <v/>
      </c>
      <c r="G618" s="4">
        <f>-SUMIFS('01_異動主檔'!$F:$F,'01_異動主檔'!$B:$B,118,'01_異動主檔'!$D:$D,A618,'01_異動主檔'!$E:$E,"減列")</f>
        <v/>
      </c>
      <c r="H618" s="4">
        <f>-SUMIFS('01_異動主檔'!$F:$F,'01_異動主檔'!$B:$B,118,'01_異動主檔'!$D:$D,A618,'01_異動主檔'!$E:$E,"精簡")</f>
        <v/>
      </c>
      <c r="I618" s="8">
        <f>C618+D618+E618+F618+G618+H618</f>
        <v/>
      </c>
    </row>
    <row r="619" ht="18" customHeight="1">
      <c r="A619" s="3" t="inlineStr">
        <is>
          <t>基隆分局</t>
        </is>
      </c>
      <c r="B619" s="4" t="n">
        <v>119</v>
      </c>
      <c r="C619" s="8">
        <f>I618</f>
        <v/>
      </c>
      <c r="D619" s="4">
        <f>SUMIFS('01_異動主檔'!$F:$F,'01_異動主檔'!$B:$B,119,'01_異動主檔'!$D:$D,A619,'01_異動主檔'!$E:$E,"移入")</f>
        <v/>
      </c>
      <c r="E619" s="4">
        <f>-SUMIFS('01_異動主檔'!$F:$F,'01_異動主檔'!$B:$B,119,'01_異動主檔'!$D:$D,A619,'01_異動主檔'!$E:$E,"移出")</f>
        <v/>
      </c>
      <c r="F619" s="4">
        <f>SUMIFS('01_異動主檔'!$F:$F,'01_異動主檔'!$B:$B,119,'01_異動主檔'!$D:$D,A619,'01_異動主檔'!$E:$E,"新增")</f>
        <v/>
      </c>
      <c r="G619" s="4">
        <f>-SUMIFS('01_異動主檔'!$F:$F,'01_異動主檔'!$B:$B,119,'01_異動主檔'!$D:$D,A619,'01_異動主檔'!$E:$E,"減列")</f>
        <v/>
      </c>
      <c r="H619" s="4">
        <f>-SUMIFS('01_異動主檔'!$F:$F,'01_異動主檔'!$B:$B,119,'01_異動主檔'!$D:$D,A619,'01_異動主檔'!$E:$E,"精簡")</f>
        <v/>
      </c>
      <c r="I619" s="8">
        <f>C619+D619+E619+F619+G619+H619</f>
        <v/>
      </c>
    </row>
    <row r="620" ht="18" customHeight="1">
      <c r="A620" s="5" t="inlineStr">
        <is>
          <t>基隆分局</t>
        </is>
      </c>
      <c r="B620" s="6" t="n">
        <v>120</v>
      </c>
      <c r="C620" s="8">
        <f>I619</f>
        <v/>
      </c>
      <c r="D620" s="4">
        <f>SUMIFS('01_異動主檔'!$F:$F,'01_異動主檔'!$B:$B,120,'01_異動主檔'!$D:$D,A620,'01_異動主檔'!$E:$E,"移入")</f>
        <v/>
      </c>
      <c r="E620" s="4">
        <f>-SUMIFS('01_異動主檔'!$F:$F,'01_異動主檔'!$B:$B,120,'01_異動主檔'!$D:$D,A620,'01_異動主檔'!$E:$E,"移出")</f>
        <v/>
      </c>
      <c r="F620" s="4">
        <f>SUMIFS('01_異動主檔'!$F:$F,'01_異動主檔'!$B:$B,120,'01_異動主檔'!$D:$D,A620,'01_異動主檔'!$E:$E,"新增")</f>
        <v/>
      </c>
      <c r="G620" s="4">
        <f>-SUMIFS('01_異動主檔'!$F:$F,'01_異動主檔'!$B:$B,120,'01_異動主檔'!$D:$D,A620,'01_異動主檔'!$E:$E,"減列")</f>
        <v/>
      </c>
      <c r="H620" s="4">
        <f>-SUMIFS('01_異動主檔'!$F:$F,'01_異動主檔'!$B:$B,120,'01_異動主檔'!$D:$D,A620,'01_異動主檔'!$E:$E,"精簡")</f>
        <v/>
      </c>
      <c r="I620" s="8">
        <f>C620+D620+E620+F620+G620+H620</f>
        <v/>
      </c>
    </row>
    <row r="621" ht="18" customHeight="1">
      <c r="A621" s="3" t="inlineStr">
        <is>
          <t>基隆分局</t>
        </is>
      </c>
      <c r="B621" s="4" t="n">
        <v>121</v>
      </c>
      <c r="C621" s="8">
        <f>I620</f>
        <v/>
      </c>
      <c r="D621" s="4">
        <f>SUMIFS('01_異動主檔'!$F:$F,'01_異動主檔'!$B:$B,121,'01_異動主檔'!$D:$D,A621,'01_異動主檔'!$E:$E,"移入")</f>
        <v/>
      </c>
      <c r="E621" s="4">
        <f>-SUMIFS('01_異動主檔'!$F:$F,'01_異動主檔'!$B:$B,121,'01_異動主檔'!$D:$D,A621,'01_異動主檔'!$E:$E,"移出")</f>
        <v/>
      </c>
      <c r="F621" s="4">
        <f>SUMIFS('01_異動主檔'!$F:$F,'01_異動主檔'!$B:$B,121,'01_異動主檔'!$D:$D,A621,'01_異動主檔'!$E:$E,"新增")</f>
        <v/>
      </c>
      <c r="G621" s="4">
        <f>-SUMIFS('01_異動主檔'!$F:$F,'01_異動主檔'!$B:$B,121,'01_異動主檔'!$D:$D,A621,'01_異動主檔'!$E:$E,"減列")</f>
        <v/>
      </c>
      <c r="H621" s="4">
        <f>-SUMIFS('01_異動主檔'!$F:$F,'01_異動主檔'!$B:$B,121,'01_異動主檔'!$D:$D,A621,'01_異動主檔'!$E:$E,"精簡")</f>
        <v/>
      </c>
      <c r="I621" s="8">
        <f>C621+D621+E621+F621+G621+H621</f>
        <v/>
      </c>
    </row>
    <row r="622" ht="18" customHeight="1">
      <c r="A622" s="5" t="inlineStr">
        <is>
          <t>基隆分局</t>
        </is>
      </c>
      <c r="B622" s="6" t="n">
        <v>122</v>
      </c>
      <c r="C622" s="8">
        <f>I621</f>
        <v/>
      </c>
      <c r="D622" s="4">
        <f>SUMIFS('01_異動主檔'!$F:$F,'01_異動主檔'!$B:$B,122,'01_異動主檔'!$D:$D,A622,'01_異動主檔'!$E:$E,"移入")</f>
        <v/>
      </c>
      <c r="E622" s="4">
        <f>-SUMIFS('01_異動主檔'!$F:$F,'01_異動主檔'!$B:$B,122,'01_異動主檔'!$D:$D,A622,'01_異動主檔'!$E:$E,"移出")</f>
        <v/>
      </c>
      <c r="F622" s="4">
        <f>SUMIFS('01_異動主檔'!$F:$F,'01_異動主檔'!$B:$B,122,'01_異動主檔'!$D:$D,A622,'01_異動主檔'!$E:$E,"新增")</f>
        <v/>
      </c>
      <c r="G622" s="4">
        <f>-SUMIFS('01_異動主檔'!$F:$F,'01_異動主檔'!$B:$B,122,'01_異動主檔'!$D:$D,A622,'01_異動主檔'!$E:$E,"減列")</f>
        <v/>
      </c>
      <c r="H622" s="4">
        <f>-SUMIFS('01_異動主檔'!$F:$F,'01_異動主檔'!$B:$B,122,'01_異動主檔'!$D:$D,A622,'01_異動主檔'!$E:$E,"精簡")</f>
        <v/>
      </c>
      <c r="I622" s="8">
        <f>C622+D622+E622+F622+G622+H622</f>
        <v/>
      </c>
    </row>
    <row r="623" ht="18" customHeight="1">
      <c r="A623" s="3" t="inlineStr">
        <is>
          <t>基隆分局</t>
        </is>
      </c>
      <c r="B623" s="4" t="n">
        <v>123</v>
      </c>
      <c r="C623" s="8">
        <f>I622</f>
        <v/>
      </c>
      <c r="D623" s="4">
        <f>SUMIFS('01_異動主檔'!$F:$F,'01_異動主檔'!$B:$B,123,'01_異動主檔'!$D:$D,A623,'01_異動主檔'!$E:$E,"移入")</f>
        <v/>
      </c>
      <c r="E623" s="4">
        <f>-SUMIFS('01_異動主檔'!$F:$F,'01_異動主檔'!$B:$B,123,'01_異動主檔'!$D:$D,A623,'01_異動主檔'!$E:$E,"移出")</f>
        <v/>
      </c>
      <c r="F623" s="4">
        <f>SUMIFS('01_異動主檔'!$F:$F,'01_異動主檔'!$B:$B,123,'01_異動主檔'!$D:$D,A623,'01_異動主檔'!$E:$E,"新增")</f>
        <v/>
      </c>
      <c r="G623" s="4">
        <f>-SUMIFS('01_異動主檔'!$F:$F,'01_異動主檔'!$B:$B,123,'01_異動主檔'!$D:$D,A623,'01_異動主檔'!$E:$E,"減列")</f>
        <v/>
      </c>
      <c r="H623" s="4">
        <f>-SUMIFS('01_異動主檔'!$F:$F,'01_異動主檔'!$B:$B,123,'01_異動主檔'!$D:$D,A623,'01_異動主檔'!$E:$E,"精簡")</f>
        <v/>
      </c>
      <c r="I623" s="8">
        <f>C623+D623+E623+F623+G623+H623</f>
        <v/>
      </c>
    </row>
    <row r="624" ht="18" customHeight="1">
      <c r="A624" s="5" t="inlineStr">
        <is>
          <t>基隆分局</t>
        </is>
      </c>
      <c r="B624" s="6" t="n">
        <v>124</v>
      </c>
      <c r="C624" s="8">
        <f>I623</f>
        <v/>
      </c>
      <c r="D624" s="4">
        <f>SUMIFS('01_異動主檔'!$F:$F,'01_異動主檔'!$B:$B,124,'01_異動主檔'!$D:$D,A624,'01_異動主檔'!$E:$E,"移入")</f>
        <v/>
      </c>
      <c r="E624" s="4">
        <f>-SUMIFS('01_異動主檔'!$F:$F,'01_異動主檔'!$B:$B,124,'01_異動主檔'!$D:$D,A624,'01_異動主檔'!$E:$E,"移出")</f>
        <v/>
      </c>
      <c r="F624" s="4">
        <f>SUMIFS('01_異動主檔'!$F:$F,'01_異動主檔'!$B:$B,124,'01_異動主檔'!$D:$D,A624,'01_異動主檔'!$E:$E,"新增")</f>
        <v/>
      </c>
      <c r="G624" s="4">
        <f>-SUMIFS('01_異動主檔'!$F:$F,'01_異動主檔'!$B:$B,124,'01_異動主檔'!$D:$D,A624,'01_異動主檔'!$E:$E,"減列")</f>
        <v/>
      </c>
      <c r="H624" s="4">
        <f>-SUMIFS('01_異動主檔'!$F:$F,'01_異動主檔'!$B:$B,124,'01_異動主檔'!$D:$D,A624,'01_異動主檔'!$E:$E,"精簡")</f>
        <v/>
      </c>
      <c r="I624" s="8">
        <f>C624+D624+E624+F624+G624+H624</f>
        <v/>
      </c>
    </row>
    <row r="625" ht="18" customHeight="1">
      <c r="A625" s="3" t="inlineStr">
        <is>
          <t>基隆分局</t>
        </is>
      </c>
      <c r="B625" s="4" t="n">
        <v>125</v>
      </c>
      <c r="C625" s="8">
        <f>I624</f>
        <v/>
      </c>
      <c r="D625" s="4">
        <f>SUMIFS('01_異動主檔'!$F:$F,'01_異動主檔'!$B:$B,125,'01_異動主檔'!$D:$D,A625,'01_異動主檔'!$E:$E,"移入")</f>
        <v/>
      </c>
      <c r="E625" s="4">
        <f>-SUMIFS('01_異動主檔'!$F:$F,'01_異動主檔'!$B:$B,125,'01_異動主檔'!$D:$D,A625,'01_異動主檔'!$E:$E,"移出")</f>
        <v/>
      </c>
      <c r="F625" s="4">
        <f>SUMIFS('01_異動主檔'!$F:$F,'01_異動主檔'!$B:$B,125,'01_異動主檔'!$D:$D,A625,'01_異動主檔'!$E:$E,"新增")</f>
        <v/>
      </c>
      <c r="G625" s="4">
        <f>-SUMIFS('01_異動主檔'!$F:$F,'01_異動主檔'!$B:$B,125,'01_異動主檔'!$D:$D,A625,'01_異動主檔'!$E:$E,"減列")</f>
        <v/>
      </c>
      <c r="H625" s="4">
        <f>-SUMIFS('01_異動主檔'!$F:$F,'01_異動主檔'!$B:$B,125,'01_異動主檔'!$D:$D,A625,'01_異動主檔'!$E:$E,"精簡")</f>
        <v/>
      </c>
      <c r="I625" s="8">
        <f>C625+D625+E625+F625+G625+H625</f>
        <v/>
      </c>
    </row>
    <row r="626" ht="18" customHeight="1">
      <c r="A626" s="5" t="inlineStr">
        <is>
          <t>花蓮分局</t>
        </is>
      </c>
      <c r="B626" s="6" t="n">
        <v>99</v>
      </c>
      <c r="C626" s="8">
        <f>'02_年初員額設定'!B28</f>
        <v/>
      </c>
      <c r="D626" s="4">
        <f>SUMIFS('01_異動主檔'!$F:$F,'01_異動主檔'!$B:$B,99,'01_異動主檔'!$D:$D,A626,'01_異動主檔'!$E:$E,"移入")</f>
        <v/>
      </c>
      <c r="E626" s="4">
        <f>-SUMIFS('01_異動主檔'!$F:$F,'01_異動主檔'!$B:$B,99,'01_異動主檔'!$D:$D,A626,'01_異動主檔'!$E:$E,"移出")</f>
        <v/>
      </c>
      <c r="F626" s="4">
        <f>SUMIFS('01_異動主檔'!$F:$F,'01_異動主檔'!$B:$B,99,'01_異動主檔'!$D:$D,A626,'01_異動主檔'!$E:$E,"新增")</f>
        <v/>
      </c>
      <c r="G626" s="4">
        <f>-SUMIFS('01_異動主檔'!$F:$F,'01_異動主檔'!$B:$B,99,'01_異動主檔'!$D:$D,A626,'01_異動主檔'!$E:$E,"減列")</f>
        <v/>
      </c>
      <c r="H626" s="4">
        <f>-SUMIFS('01_異動主檔'!$F:$F,'01_異動主檔'!$B:$B,99,'01_異動主檔'!$D:$D,A626,'01_異動主檔'!$E:$E,"精簡")</f>
        <v/>
      </c>
      <c r="I626" s="8">
        <f>C626+D626+E626+F626+G626+H626</f>
        <v/>
      </c>
    </row>
    <row r="627" ht="18" customHeight="1">
      <c r="A627" s="3" t="inlineStr">
        <is>
          <t>花蓮分局</t>
        </is>
      </c>
      <c r="B627" s="4" t="n">
        <v>100</v>
      </c>
      <c r="C627" s="8">
        <f>I626</f>
        <v/>
      </c>
      <c r="D627" s="4">
        <f>SUMIFS('01_異動主檔'!$F:$F,'01_異動主檔'!$B:$B,100,'01_異動主檔'!$D:$D,A627,'01_異動主檔'!$E:$E,"移入")</f>
        <v/>
      </c>
      <c r="E627" s="4">
        <f>-SUMIFS('01_異動主檔'!$F:$F,'01_異動主檔'!$B:$B,100,'01_異動主檔'!$D:$D,A627,'01_異動主檔'!$E:$E,"移出")</f>
        <v/>
      </c>
      <c r="F627" s="4">
        <f>SUMIFS('01_異動主檔'!$F:$F,'01_異動主檔'!$B:$B,100,'01_異動主檔'!$D:$D,A627,'01_異動主檔'!$E:$E,"新增")</f>
        <v/>
      </c>
      <c r="G627" s="4">
        <f>-SUMIFS('01_異動主檔'!$F:$F,'01_異動主檔'!$B:$B,100,'01_異動主檔'!$D:$D,A627,'01_異動主檔'!$E:$E,"減列")</f>
        <v/>
      </c>
      <c r="H627" s="4">
        <f>-SUMIFS('01_異動主檔'!$F:$F,'01_異動主檔'!$B:$B,100,'01_異動主檔'!$D:$D,A627,'01_異動主檔'!$E:$E,"精簡")</f>
        <v/>
      </c>
      <c r="I627" s="8">
        <f>C627+D627+E627+F627+G627+H627</f>
        <v/>
      </c>
    </row>
    <row r="628" ht="18" customHeight="1">
      <c r="A628" s="5" t="inlineStr">
        <is>
          <t>花蓮分局</t>
        </is>
      </c>
      <c r="B628" s="6" t="n">
        <v>101</v>
      </c>
      <c r="C628" s="8">
        <f>I627</f>
        <v/>
      </c>
      <c r="D628" s="4">
        <f>SUMIFS('01_異動主檔'!$F:$F,'01_異動主檔'!$B:$B,101,'01_異動主檔'!$D:$D,A628,'01_異動主檔'!$E:$E,"移入")</f>
        <v/>
      </c>
      <c r="E628" s="4">
        <f>-SUMIFS('01_異動主檔'!$F:$F,'01_異動主檔'!$B:$B,101,'01_異動主檔'!$D:$D,A628,'01_異動主檔'!$E:$E,"移出")</f>
        <v/>
      </c>
      <c r="F628" s="4">
        <f>SUMIFS('01_異動主檔'!$F:$F,'01_異動主檔'!$B:$B,101,'01_異動主檔'!$D:$D,A628,'01_異動主檔'!$E:$E,"新增")</f>
        <v/>
      </c>
      <c r="G628" s="4">
        <f>-SUMIFS('01_異動主檔'!$F:$F,'01_異動主檔'!$B:$B,101,'01_異動主檔'!$D:$D,A628,'01_異動主檔'!$E:$E,"減列")</f>
        <v/>
      </c>
      <c r="H628" s="4">
        <f>-SUMIFS('01_異動主檔'!$F:$F,'01_異動主檔'!$B:$B,101,'01_異動主檔'!$D:$D,A628,'01_異動主檔'!$E:$E,"精簡")</f>
        <v/>
      </c>
      <c r="I628" s="8">
        <f>C628+D628+E628+F628+G628+H628</f>
        <v/>
      </c>
    </row>
    <row r="629" ht="18" customHeight="1">
      <c r="A629" s="3" t="inlineStr">
        <is>
          <t>花蓮分局</t>
        </is>
      </c>
      <c r="B629" s="4" t="n">
        <v>102</v>
      </c>
      <c r="C629" s="8">
        <f>I628</f>
        <v/>
      </c>
      <c r="D629" s="4">
        <f>SUMIFS('01_異動主檔'!$F:$F,'01_異動主檔'!$B:$B,102,'01_異動主檔'!$D:$D,A629,'01_異動主檔'!$E:$E,"移入")</f>
        <v/>
      </c>
      <c r="E629" s="4">
        <f>-SUMIFS('01_異動主檔'!$F:$F,'01_異動主檔'!$B:$B,102,'01_異動主檔'!$D:$D,A629,'01_異動主檔'!$E:$E,"移出")</f>
        <v/>
      </c>
      <c r="F629" s="4">
        <f>SUMIFS('01_異動主檔'!$F:$F,'01_異動主檔'!$B:$B,102,'01_異動主檔'!$D:$D,A629,'01_異動主檔'!$E:$E,"新增")</f>
        <v/>
      </c>
      <c r="G629" s="4">
        <f>-SUMIFS('01_異動主檔'!$F:$F,'01_異動主檔'!$B:$B,102,'01_異動主檔'!$D:$D,A629,'01_異動主檔'!$E:$E,"減列")</f>
        <v/>
      </c>
      <c r="H629" s="4">
        <f>-SUMIFS('01_異動主檔'!$F:$F,'01_異動主檔'!$B:$B,102,'01_異動主檔'!$D:$D,A629,'01_異動主檔'!$E:$E,"精簡")</f>
        <v/>
      </c>
      <c r="I629" s="8">
        <f>C629+D629+E629+F629+G629+H629</f>
        <v/>
      </c>
    </row>
    <row r="630" ht="18" customHeight="1">
      <c r="A630" s="5" t="inlineStr">
        <is>
          <t>花蓮分局</t>
        </is>
      </c>
      <c r="B630" s="6" t="n">
        <v>103</v>
      </c>
      <c r="C630" s="8">
        <f>I629</f>
        <v/>
      </c>
      <c r="D630" s="4">
        <f>SUMIFS('01_異動主檔'!$F:$F,'01_異動主檔'!$B:$B,103,'01_異動主檔'!$D:$D,A630,'01_異動主檔'!$E:$E,"移入")</f>
        <v/>
      </c>
      <c r="E630" s="4">
        <f>-SUMIFS('01_異動主檔'!$F:$F,'01_異動主檔'!$B:$B,103,'01_異動主檔'!$D:$D,A630,'01_異動主檔'!$E:$E,"移出")</f>
        <v/>
      </c>
      <c r="F630" s="4">
        <f>SUMIFS('01_異動主檔'!$F:$F,'01_異動主檔'!$B:$B,103,'01_異動主檔'!$D:$D,A630,'01_異動主檔'!$E:$E,"新增")</f>
        <v/>
      </c>
      <c r="G630" s="4">
        <f>-SUMIFS('01_異動主檔'!$F:$F,'01_異動主檔'!$B:$B,103,'01_異動主檔'!$D:$D,A630,'01_異動主檔'!$E:$E,"減列")</f>
        <v/>
      </c>
      <c r="H630" s="4">
        <f>-SUMIFS('01_異動主檔'!$F:$F,'01_異動主檔'!$B:$B,103,'01_異動主檔'!$D:$D,A630,'01_異動主檔'!$E:$E,"精簡")</f>
        <v/>
      </c>
      <c r="I630" s="8">
        <f>C630+D630+E630+F630+G630+H630</f>
        <v/>
      </c>
    </row>
    <row r="631" ht="18" customHeight="1">
      <c r="A631" s="3" t="inlineStr">
        <is>
          <t>花蓮分局</t>
        </is>
      </c>
      <c r="B631" s="4" t="n">
        <v>104</v>
      </c>
      <c r="C631" s="8">
        <f>I630</f>
        <v/>
      </c>
      <c r="D631" s="4">
        <f>SUMIFS('01_異動主檔'!$F:$F,'01_異動主檔'!$B:$B,104,'01_異動主檔'!$D:$D,A631,'01_異動主檔'!$E:$E,"移入")</f>
        <v/>
      </c>
      <c r="E631" s="4">
        <f>-SUMIFS('01_異動主檔'!$F:$F,'01_異動主檔'!$B:$B,104,'01_異動主檔'!$D:$D,A631,'01_異動主檔'!$E:$E,"移出")</f>
        <v/>
      </c>
      <c r="F631" s="4">
        <f>SUMIFS('01_異動主檔'!$F:$F,'01_異動主檔'!$B:$B,104,'01_異動主檔'!$D:$D,A631,'01_異動主檔'!$E:$E,"新增")</f>
        <v/>
      </c>
      <c r="G631" s="4">
        <f>-SUMIFS('01_異動主檔'!$F:$F,'01_異動主檔'!$B:$B,104,'01_異動主檔'!$D:$D,A631,'01_異動主檔'!$E:$E,"減列")</f>
        <v/>
      </c>
      <c r="H631" s="4">
        <f>-SUMIFS('01_異動主檔'!$F:$F,'01_異動主檔'!$B:$B,104,'01_異動主檔'!$D:$D,A631,'01_異動主檔'!$E:$E,"精簡")</f>
        <v/>
      </c>
      <c r="I631" s="8">
        <f>C631+D631+E631+F631+G631+H631</f>
        <v/>
      </c>
    </row>
    <row r="632" ht="18" customHeight="1">
      <c r="A632" s="5" t="inlineStr">
        <is>
          <t>花蓮分局</t>
        </is>
      </c>
      <c r="B632" s="6" t="n">
        <v>105</v>
      </c>
      <c r="C632" s="8">
        <f>I631</f>
        <v/>
      </c>
      <c r="D632" s="4">
        <f>SUMIFS('01_異動主檔'!$F:$F,'01_異動主檔'!$B:$B,105,'01_異動主檔'!$D:$D,A632,'01_異動主檔'!$E:$E,"移入")</f>
        <v/>
      </c>
      <c r="E632" s="4">
        <f>-SUMIFS('01_異動主檔'!$F:$F,'01_異動主檔'!$B:$B,105,'01_異動主檔'!$D:$D,A632,'01_異動主檔'!$E:$E,"移出")</f>
        <v/>
      </c>
      <c r="F632" s="4">
        <f>SUMIFS('01_異動主檔'!$F:$F,'01_異動主檔'!$B:$B,105,'01_異動主檔'!$D:$D,A632,'01_異動主檔'!$E:$E,"新增")</f>
        <v/>
      </c>
      <c r="G632" s="4">
        <f>-SUMIFS('01_異動主檔'!$F:$F,'01_異動主檔'!$B:$B,105,'01_異動主檔'!$D:$D,A632,'01_異動主檔'!$E:$E,"減列")</f>
        <v/>
      </c>
      <c r="H632" s="4">
        <f>-SUMIFS('01_異動主檔'!$F:$F,'01_異動主檔'!$B:$B,105,'01_異動主檔'!$D:$D,A632,'01_異動主檔'!$E:$E,"精簡")</f>
        <v/>
      </c>
      <c r="I632" s="8">
        <f>C632+D632+E632+F632+G632+H632</f>
        <v/>
      </c>
    </row>
    <row r="633" ht="18" customHeight="1">
      <c r="A633" s="3" t="inlineStr">
        <is>
          <t>花蓮分局</t>
        </is>
      </c>
      <c r="B633" s="4" t="n">
        <v>106</v>
      </c>
      <c r="C633" s="8">
        <f>I632</f>
        <v/>
      </c>
      <c r="D633" s="4">
        <f>SUMIFS('01_異動主檔'!$F:$F,'01_異動主檔'!$B:$B,106,'01_異動主檔'!$D:$D,A633,'01_異動主檔'!$E:$E,"移入")</f>
        <v/>
      </c>
      <c r="E633" s="4">
        <f>-SUMIFS('01_異動主檔'!$F:$F,'01_異動主檔'!$B:$B,106,'01_異動主檔'!$D:$D,A633,'01_異動主檔'!$E:$E,"移出")</f>
        <v/>
      </c>
      <c r="F633" s="4">
        <f>SUMIFS('01_異動主檔'!$F:$F,'01_異動主檔'!$B:$B,106,'01_異動主檔'!$D:$D,A633,'01_異動主檔'!$E:$E,"新增")</f>
        <v/>
      </c>
      <c r="G633" s="4">
        <f>-SUMIFS('01_異動主檔'!$F:$F,'01_異動主檔'!$B:$B,106,'01_異動主檔'!$D:$D,A633,'01_異動主檔'!$E:$E,"減列")</f>
        <v/>
      </c>
      <c r="H633" s="4">
        <f>-SUMIFS('01_異動主檔'!$F:$F,'01_異動主檔'!$B:$B,106,'01_異動主檔'!$D:$D,A633,'01_異動主檔'!$E:$E,"精簡")</f>
        <v/>
      </c>
      <c r="I633" s="8">
        <f>C633+D633+E633+F633+G633+H633</f>
        <v/>
      </c>
    </row>
    <row r="634" ht="18" customHeight="1">
      <c r="A634" s="5" t="inlineStr">
        <is>
          <t>花蓮分局</t>
        </is>
      </c>
      <c r="B634" s="6" t="n">
        <v>107</v>
      </c>
      <c r="C634" s="8">
        <f>I633</f>
        <v/>
      </c>
      <c r="D634" s="4">
        <f>SUMIFS('01_異動主檔'!$F:$F,'01_異動主檔'!$B:$B,107,'01_異動主檔'!$D:$D,A634,'01_異動主檔'!$E:$E,"移入")</f>
        <v/>
      </c>
      <c r="E634" s="4">
        <f>-SUMIFS('01_異動主檔'!$F:$F,'01_異動主檔'!$B:$B,107,'01_異動主檔'!$D:$D,A634,'01_異動主檔'!$E:$E,"移出")</f>
        <v/>
      </c>
      <c r="F634" s="4">
        <f>SUMIFS('01_異動主檔'!$F:$F,'01_異動主檔'!$B:$B,107,'01_異動主檔'!$D:$D,A634,'01_異動主檔'!$E:$E,"新增")</f>
        <v/>
      </c>
      <c r="G634" s="4">
        <f>-SUMIFS('01_異動主檔'!$F:$F,'01_異動主檔'!$B:$B,107,'01_異動主檔'!$D:$D,A634,'01_異動主檔'!$E:$E,"減列")</f>
        <v/>
      </c>
      <c r="H634" s="4">
        <f>-SUMIFS('01_異動主檔'!$F:$F,'01_異動主檔'!$B:$B,107,'01_異動主檔'!$D:$D,A634,'01_異動主檔'!$E:$E,"精簡")</f>
        <v/>
      </c>
      <c r="I634" s="8">
        <f>C634+D634+E634+F634+G634+H634</f>
        <v/>
      </c>
    </row>
    <row r="635" ht="18" customHeight="1">
      <c r="A635" s="3" t="inlineStr">
        <is>
          <t>花蓮分局</t>
        </is>
      </c>
      <c r="B635" s="4" t="n">
        <v>108</v>
      </c>
      <c r="C635" s="8">
        <f>I634</f>
        <v/>
      </c>
      <c r="D635" s="4">
        <f>SUMIFS('01_異動主檔'!$F:$F,'01_異動主檔'!$B:$B,108,'01_異動主檔'!$D:$D,A635,'01_異動主檔'!$E:$E,"移入")</f>
        <v/>
      </c>
      <c r="E635" s="4">
        <f>-SUMIFS('01_異動主檔'!$F:$F,'01_異動主檔'!$B:$B,108,'01_異動主檔'!$D:$D,A635,'01_異動主檔'!$E:$E,"移出")</f>
        <v/>
      </c>
      <c r="F635" s="4">
        <f>SUMIFS('01_異動主檔'!$F:$F,'01_異動主檔'!$B:$B,108,'01_異動主檔'!$D:$D,A635,'01_異動主檔'!$E:$E,"新增")</f>
        <v/>
      </c>
      <c r="G635" s="4">
        <f>-SUMIFS('01_異動主檔'!$F:$F,'01_異動主檔'!$B:$B,108,'01_異動主檔'!$D:$D,A635,'01_異動主檔'!$E:$E,"減列")</f>
        <v/>
      </c>
      <c r="H635" s="4">
        <f>-SUMIFS('01_異動主檔'!$F:$F,'01_異動主檔'!$B:$B,108,'01_異動主檔'!$D:$D,A635,'01_異動主檔'!$E:$E,"精簡")</f>
        <v/>
      </c>
      <c r="I635" s="8">
        <f>C635+D635+E635+F635+G635+H635</f>
        <v/>
      </c>
    </row>
    <row r="636" ht="18" customHeight="1">
      <c r="A636" s="5" t="inlineStr">
        <is>
          <t>花蓮分局</t>
        </is>
      </c>
      <c r="B636" s="6" t="n">
        <v>109</v>
      </c>
      <c r="C636" s="8">
        <f>I635</f>
        <v/>
      </c>
      <c r="D636" s="4">
        <f>SUMIFS('01_異動主檔'!$F:$F,'01_異動主檔'!$B:$B,109,'01_異動主檔'!$D:$D,A636,'01_異動主檔'!$E:$E,"移入")</f>
        <v/>
      </c>
      <c r="E636" s="4">
        <f>-SUMIFS('01_異動主檔'!$F:$F,'01_異動主檔'!$B:$B,109,'01_異動主檔'!$D:$D,A636,'01_異動主檔'!$E:$E,"移出")</f>
        <v/>
      </c>
      <c r="F636" s="4">
        <f>SUMIFS('01_異動主檔'!$F:$F,'01_異動主檔'!$B:$B,109,'01_異動主檔'!$D:$D,A636,'01_異動主檔'!$E:$E,"新增")</f>
        <v/>
      </c>
      <c r="G636" s="4">
        <f>-SUMIFS('01_異動主檔'!$F:$F,'01_異動主檔'!$B:$B,109,'01_異動主檔'!$D:$D,A636,'01_異動主檔'!$E:$E,"減列")</f>
        <v/>
      </c>
      <c r="H636" s="4">
        <f>-SUMIFS('01_異動主檔'!$F:$F,'01_異動主檔'!$B:$B,109,'01_異動主檔'!$D:$D,A636,'01_異動主檔'!$E:$E,"精簡")</f>
        <v/>
      </c>
      <c r="I636" s="8">
        <f>C636+D636+E636+F636+G636+H636</f>
        <v/>
      </c>
    </row>
    <row r="637" ht="18" customHeight="1">
      <c r="A637" s="3" t="inlineStr">
        <is>
          <t>花蓮分局</t>
        </is>
      </c>
      <c r="B637" s="4" t="n">
        <v>110</v>
      </c>
      <c r="C637" s="8">
        <f>I636</f>
        <v/>
      </c>
      <c r="D637" s="4">
        <f>SUMIFS('01_異動主檔'!$F:$F,'01_異動主檔'!$B:$B,110,'01_異動主檔'!$D:$D,A637,'01_異動主檔'!$E:$E,"移入")</f>
        <v/>
      </c>
      <c r="E637" s="4">
        <f>-SUMIFS('01_異動主檔'!$F:$F,'01_異動主檔'!$B:$B,110,'01_異動主檔'!$D:$D,A637,'01_異動主檔'!$E:$E,"移出")</f>
        <v/>
      </c>
      <c r="F637" s="4">
        <f>SUMIFS('01_異動主檔'!$F:$F,'01_異動主檔'!$B:$B,110,'01_異動主檔'!$D:$D,A637,'01_異動主檔'!$E:$E,"新增")</f>
        <v/>
      </c>
      <c r="G637" s="4">
        <f>-SUMIFS('01_異動主檔'!$F:$F,'01_異動主檔'!$B:$B,110,'01_異動主檔'!$D:$D,A637,'01_異動主檔'!$E:$E,"減列")</f>
        <v/>
      </c>
      <c r="H637" s="4">
        <f>-SUMIFS('01_異動主檔'!$F:$F,'01_異動主檔'!$B:$B,110,'01_異動主檔'!$D:$D,A637,'01_異動主檔'!$E:$E,"精簡")</f>
        <v/>
      </c>
      <c r="I637" s="8">
        <f>C637+D637+E637+F637+G637+H637</f>
        <v/>
      </c>
    </row>
    <row r="638" ht="18" customHeight="1">
      <c r="A638" s="5" t="inlineStr">
        <is>
          <t>花蓮分局</t>
        </is>
      </c>
      <c r="B638" s="6" t="n">
        <v>111</v>
      </c>
      <c r="C638" s="8">
        <f>I637</f>
        <v/>
      </c>
      <c r="D638" s="4">
        <f>SUMIFS('01_異動主檔'!$F:$F,'01_異動主檔'!$B:$B,111,'01_異動主檔'!$D:$D,A638,'01_異動主檔'!$E:$E,"移入")</f>
        <v/>
      </c>
      <c r="E638" s="4">
        <f>-SUMIFS('01_異動主檔'!$F:$F,'01_異動主檔'!$B:$B,111,'01_異動主檔'!$D:$D,A638,'01_異動主檔'!$E:$E,"移出")</f>
        <v/>
      </c>
      <c r="F638" s="4">
        <f>SUMIFS('01_異動主檔'!$F:$F,'01_異動主檔'!$B:$B,111,'01_異動主檔'!$D:$D,A638,'01_異動主檔'!$E:$E,"新增")</f>
        <v/>
      </c>
      <c r="G638" s="4">
        <f>-SUMIFS('01_異動主檔'!$F:$F,'01_異動主檔'!$B:$B,111,'01_異動主檔'!$D:$D,A638,'01_異動主檔'!$E:$E,"減列")</f>
        <v/>
      </c>
      <c r="H638" s="4">
        <f>-SUMIFS('01_異動主檔'!$F:$F,'01_異動主檔'!$B:$B,111,'01_異動主檔'!$D:$D,A638,'01_異動主檔'!$E:$E,"精簡")</f>
        <v/>
      </c>
      <c r="I638" s="8">
        <f>C638+D638+E638+F638+G638+H638</f>
        <v/>
      </c>
    </row>
    <row r="639" ht="18" customHeight="1">
      <c r="A639" s="3" t="inlineStr">
        <is>
          <t>花蓮分局</t>
        </is>
      </c>
      <c r="B639" s="4" t="n">
        <v>112</v>
      </c>
      <c r="C639" s="8">
        <f>I638</f>
        <v/>
      </c>
      <c r="D639" s="4">
        <f>SUMIFS('01_異動主檔'!$F:$F,'01_異動主檔'!$B:$B,112,'01_異動主檔'!$D:$D,A639,'01_異動主檔'!$E:$E,"移入")</f>
        <v/>
      </c>
      <c r="E639" s="4">
        <f>-SUMIFS('01_異動主檔'!$F:$F,'01_異動主檔'!$B:$B,112,'01_異動主檔'!$D:$D,A639,'01_異動主檔'!$E:$E,"移出")</f>
        <v/>
      </c>
      <c r="F639" s="4">
        <f>SUMIFS('01_異動主檔'!$F:$F,'01_異動主檔'!$B:$B,112,'01_異動主檔'!$D:$D,A639,'01_異動主檔'!$E:$E,"新增")</f>
        <v/>
      </c>
      <c r="G639" s="4">
        <f>-SUMIFS('01_異動主檔'!$F:$F,'01_異動主檔'!$B:$B,112,'01_異動主檔'!$D:$D,A639,'01_異動主檔'!$E:$E,"減列")</f>
        <v/>
      </c>
      <c r="H639" s="4">
        <f>-SUMIFS('01_異動主檔'!$F:$F,'01_異動主檔'!$B:$B,112,'01_異動主檔'!$D:$D,A639,'01_異動主檔'!$E:$E,"精簡")</f>
        <v/>
      </c>
      <c r="I639" s="8">
        <f>C639+D639+E639+F639+G639+H639</f>
        <v/>
      </c>
    </row>
    <row r="640" ht="18" customHeight="1">
      <c r="A640" s="5" t="inlineStr">
        <is>
          <t>花蓮分局</t>
        </is>
      </c>
      <c r="B640" s="6" t="n">
        <v>113</v>
      </c>
      <c r="C640" s="8">
        <f>I639</f>
        <v/>
      </c>
      <c r="D640" s="4">
        <f>SUMIFS('01_異動主檔'!$F:$F,'01_異動主檔'!$B:$B,113,'01_異動主檔'!$D:$D,A640,'01_異動主檔'!$E:$E,"移入")</f>
        <v/>
      </c>
      <c r="E640" s="4">
        <f>-SUMIFS('01_異動主檔'!$F:$F,'01_異動主檔'!$B:$B,113,'01_異動主檔'!$D:$D,A640,'01_異動主檔'!$E:$E,"移出")</f>
        <v/>
      </c>
      <c r="F640" s="4">
        <f>SUMIFS('01_異動主檔'!$F:$F,'01_異動主檔'!$B:$B,113,'01_異動主檔'!$D:$D,A640,'01_異動主檔'!$E:$E,"新增")</f>
        <v/>
      </c>
      <c r="G640" s="4">
        <f>-SUMIFS('01_異動主檔'!$F:$F,'01_異動主檔'!$B:$B,113,'01_異動主檔'!$D:$D,A640,'01_異動主檔'!$E:$E,"減列")</f>
        <v/>
      </c>
      <c r="H640" s="4">
        <f>-SUMIFS('01_異動主檔'!$F:$F,'01_異動主檔'!$B:$B,113,'01_異動主檔'!$D:$D,A640,'01_異動主檔'!$E:$E,"精簡")</f>
        <v/>
      </c>
      <c r="I640" s="8">
        <f>C640+D640+E640+F640+G640+H640</f>
        <v/>
      </c>
    </row>
    <row r="641" ht="18" customHeight="1">
      <c r="A641" s="3" t="inlineStr">
        <is>
          <t>花蓮分局</t>
        </is>
      </c>
      <c r="B641" s="4" t="n">
        <v>114</v>
      </c>
      <c r="C641" s="8">
        <f>I640</f>
        <v/>
      </c>
      <c r="D641" s="4">
        <f>SUMIFS('01_異動主檔'!$F:$F,'01_異動主檔'!$B:$B,114,'01_異動主檔'!$D:$D,A641,'01_異動主檔'!$E:$E,"移入")</f>
        <v/>
      </c>
      <c r="E641" s="4">
        <f>-SUMIFS('01_異動主檔'!$F:$F,'01_異動主檔'!$B:$B,114,'01_異動主檔'!$D:$D,A641,'01_異動主檔'!$E:$E,"移出")</f>
        <v/>
      </c>
      <c r="F641" s="4">
        <f>SUMIFS('01_異動主檔'!$F:$F,'01_異動主檔'!$B:$B,114,'01_異動主檔'!$D:$D,A641,'01_異動主檔'!$E:$E,"新增")</f>
        <v/>
      </c>
      <c r="G641" s="4">
        <f>-SUMIFS('01_異動主檔'!$F:$F,'01_異動主檔'!$B:$B,114,'01_異動主檔'!$D:$D,A641,'01_異動主檔'!$E:$E,"減列")</f>
        <v/>
      </c>
      <c r="H641" s="4">
        <f>-SUMIFS('01_異動主檔'!$F:$F,'01_異動主檔'!$B:$B,114,'01_異動主檔'!$D:$D,A641,'01_異動主檔'!$E:$E,"精簡")</f>
        <v/>
      </c>
      <c r="I641" s="8">
        <f>C641+D641+E641+F641+G641+H641</f>
        <v/>
      </c>
    </row>
    <row r="642" ht="18" customHeight="1">
      <c r="A642" s="5" t="inlineStr">
        <is>
          <t>花蓮分局</t>
        </is>
      </c>
      <c r="B642" s="6" t="n">
        <v>115</v>
      </c>
      <c r="C642" s="8">
        <f>I641</f>
        <v/>
      </c>
      <c r="D642" s="4">
        <f>SUMIFS('01_異動主檔'!$F:$F,'01_異動主檔'!$B:$B,115,'01_異動主檔'!$D:$D,A642,'01_異動主檔'!$E:$E,"移入")</f>
        <v/>
      </c>
      <c r="E642" s="4">
        <f>-SUMIFS('01_異動主檔'!$F:$F,'01_異動主檔'!$B:$B,115,'01_異動主檔'!$D:$D,A642,'01_異動主檔'!$E:$E,"移出")</f>
        <v/>
      </c>
      <c r="F642" s="4">
        <f>SUMIFS('01_異動主檔'!$F:$F,'01_異動主檔'!$B:$B,115,'01_異動主檔'!$D:$D,A642,'01_異動主檔'!$E:$E,"新增")</f>
        <v/>
      </c>
      <c r="G642" s="4">
        <f>-SUMIFS('01_異動主檔'!$F:$F,'01_異動主檔'!$B:$B,115,'01_異動主檔'!$D:$D,A642,'01_異動主檔'!$E:$E,"減列")</f>
        <v/>
      </c>
      <c r="H642" s="4">
        <f>-SUMIFS('01_異動主檔'!$F:$F,'01_異動主檔'!$B:$B,115,'01_異動主檔'!$D:$D,A642,'01_異動主檔'!$E:$E,"精簡")</f>
        <v/>
      </c>
      <c r="I642" s="8">
        <f>C642+D642+E642+F642+G642+H642</f>
        <v/>
      </c>
    </row>
    <row r="643" ht="18" customHeight="1">
      <c r="A643" s="3" t="inlineStr">
        <is>
          <t>花蓮分局</t>
        </is>
      </c>
      <c r="B643" s="4" t="n">
        <v>116</v>
      </c>
      <c r="C643" s="8">
        <f>I642</f>
        <v/>
      </c>
      <c r="D643" s="4">
        <f>SUMIFS('01_異動主檔'!$F:$F,'01_異動主檔'!$B:$B,116,'01_異動主檔'!$D:$D,A643,'01_異動主檔'!$E:$E,"移入")</f>
        <v/>
      </c>
      <c r="E643" s="4">
        <f>-SUMIFS('01_異動主檔'!$F:$F,'01_異動主檔'!$B:$B,116,'01_異動主檔'!$D:$D,A643,'01_異動主檔'!$E:$E,"移出")</f>
        <v/>
      </c>
      <c r="F643" s="4">
        <f>SUMIFS('01_異動主檔'!$F:$F,'01_異動主檔'!$B:$B,116,'01_異動主檔'!$D:$D,A643,'01_異動主檔'!$E:$E,"新增")</f>
        <v/>
      </c>
      <c r="G643" s="4">
        <f>-SUMIFS('01_異動主檔'!$F:$F,'01_異動主檔'!$B:$B,116,'01_異動主檔'!$D:$D,A643,'01_異動主檔'!$E:$E,"減列")</f>
        <v/>
      </c>
      <c r="H643" s="4">
        <f>-SUMIFS('01_異動主檔'!$F:$F,'01_異動主檔'!$B:$B,116,'01_異動主檔'!$D:$D,A643,'01_異動主檔'!$E:$E,"精簡")</f>
        <v/>
      </c>
      <c r="I643" s="8">
        <f>C643+D643+E643+F643+G643+H643</f>
        <v/>
      </c>
    </row>
    <row r="644" ht="18" customHeight="1">
      <c r="A644" s="5" t="inlineStr">
        <is>
          <t>花蓮分局</t>
        </is>
      </c>
      <c r="B644" s="6" t="n">
        <v>117</v>
      </c>
      <c r="C644" s="8">
        <f>I643</f>
        <v/>
      </c>
      <c r="D644" s="4">
        <f>SUMIFS('01_異動主檔'!$F:$F,'01_異動主檔'!$B:$B,117,'01_異動主檔'!$D:$D,A644,'01_異動主檔'!$E:$E,"移入")</f>
        <v/>
      </c>
      <c r="E644" s="4">
        <f>-SUMIFS('01_異動主檔'!$F:$F,'01_異動主檔'!$B:$B,117,'01_異動主檔'!$D:$D,A644,'01_異動主檔'!$E:$E,"移出")</f>
        <v/>
      </c>
      <c r="F644" s="4">
        <f>SUMIFS('01_異動主檔'!$F:$F,'01_異動主檔'!$B:$B,117,'01_異動主檔'!$D:$D,A644,'01_異動主檔'!$E:$E,"新增")</f>
        <v/>
      </c>
      <c r="G644" s="4">
        <f>-SUMIFS('01_異動主檔'!$F:$F,'01_異動主檔'!$B:$B,117,'01_異動主檔'!$D:$D,A644,'01_異動主檔'!$E:$E,"減列")</f>
        <v/>
      </c>
      <c r="H644" s="4">
        <f>-SUMIFS('01_異動主檔'!$F:$F,'01_異動主檔'!$B:$B,117,'01_異動主檔'!$D:$D,A644,'01_異動主檔'!$E:$E,"精簡")</f>
        <v/>
      </c>
      <c r="I644" s="8">
        <f>C644+D644+E644+F644+G644+H644</f>
        <v/>
      </c>
    </row>
    <row r="645" ht="18" customHeight="1">
      <c r="A645" s="3" t="inlineStr">
        <is>
          <t>花蓮分局</t>
        </is>
      </c>
      <c r="B645" s="4" t="n">
        <v>118</v>
      </c>
      <c r="C645" s="8">
        <f>I644</f>
        <v/>
      </c>
      <c r="D645" s="4">
        <f>SUMIFS('01_異動主檔'!$F:$F,'01_異動主檔'!$B:$B,118,'01_異動主檔'!$D:$D,A645,'01_異動主檔'!$E:$E,"移入")</f>
        <v/>
      </c>
      <c r="E645" s="4">
        <f>-SUMIFS('01_異動主檔'!$F:$F,'01_異動主檔'!$B:$B,118,'01_異動主檔'!$D:$D,A645,'01_異動主檔'!$E:$E,"移出")</f>
        <v/>
      </c>
      <c r="F645" s="4">
        <f>SUMIFS('01_異動主檔'!$F:$F,'01_異動主檔'!$B:$B,118,'01_異動主檔'!$D:$D,A645,'01_異動主檔'!$E:$E,"新增")</f>
        <v/>
      </c>
      <c r="G645" s="4">
        <f>-SUMIFS('01_異動主檔'!$F:$F,'01_異動主檔'!$B:$B,118,'01_異動主檔'!$D:$D,A645,'01_異動主檔'!$E:$E,"減列")</f>
        <v/>
      </c>
      <c r="H645" s="4">
        <f>-SUMIFS('01_異動主檔'!$F:$F,'01_異動主檔'!$B:$B,118,'01_異動主檔'!$D:$D,A645,'01_異動主檔'!$E:$E,"精簡")</f>
        <v/>
      </c>
      <c r="I645" s="8">
        <f>C645+D645+E645+F645+G645+H645</f>
        <v/>
      </c>
    </row>
    <row r="646" ht="18" customHeight="1">
      <c r="A646" s="5" t="inlineStr">
        <is>
          <t>花蓮分局</t>
        </is>
      </c>
      <c r="B646" s="6" t="n">
        <v>119</v>
      </c>
      <c r="C646" s="8">
        <f>I645</f>
        <v/>
      </c>
      <c r="D646" s="4">
        <f>SUMIFS('01_異動主檔'!$F:$F,'01_異動主檔'!$B:$B,119,'01_異動主檔'!$D:$D,A646,'01_異動主檔'!$E:$E,"移入")</f>
        <v/>
      </c>
      <c r="E646" s="4">
        <f>-SUMIFS('01_異動主檔'!$F:$F,'01_異動主檔'!$B:$B,119,'01_異動主檔'!$D:$D,A646,'01_異動主檔'!$E:$E,"移出")</f>
        <v/>
      </c>
      <c r="F646" s="4">
        <f>SUMIFS('01_異動主檔'!$F:$F,'01_異動主檔'!$B:$B,119,'01_異動主檔'!$D:$D,A646,'01_異動主檔'!$E:$E,"新增")</f>
        <v/>
      </c>
      <c r="G646" s="4">
        <f>-SUMIFS('01_異動主檔'!$F:$F,'01_異動主檔'!$B:$B,119,'01_異動主檔'!$D:$D,A646,'01_異動主檔'!$E:$E,"減列")</f>
        <v/>
      </c>
      <c r="H646" s="4">
        <f>-SUMIFS('01_異動主檔'!$F:$F,'01_異動主檔'!$B:$B,119,'01_異動主檔'!$D:$D,A646,'01_異動主檔'!$E:$E,"精簡")</f>
        <v/>
      </c>
      <c r="I646" s="8">
        <f>C646+D646+E646+F646+G646+H646</f>
        <v/>
      </c>
    </row>
    <row r="647" ht="18" customHeight="1">
      <c r="A647" s="3" t="inlineStr">
        <is>
          <t>花蓮分局</t>
        </is>
      </c>
      <c r="B647" s="4" t="n">
        <v>120</v>
      </c>
      <c r="C647" s="8">
        <f>I646</f>
        <v/>
      </c>
      <c r="D647" s="4">
        <f>SUMIFS('01_異動主檔'!$F:$F,'01_異動主檔'!$B:$B,120,'01_異動主檔'!$D:$D,A647,'01_異動主檔'!$E:$E,"移入")</f>
        <v/>
      </c>
      <c r="E647" s="4">
        <f>-SUMIFS('01_異動主檔'!$F:$F,'01_異動主檔'!$B:$B,120,'01_異動主檔'!$D:$D,A647,'01_異動主檔'!$E:$E,"移出")</f>
        <v/>
      </c>
      <c r="F647" s="4">
        <f>SUMIFS('01_異動主檔'!$F:$F,'01_異動主檔'!$B:$B,120,'01_異動主檔'!$D:$D,A647,'01_異動主檔'!$E:$E,"新增")</f>
        <v/>
      </c>
      <c r="G647" s="4">
        <f>-SUMIFS('01_異動主檔'!$F:$F,'01_異動主檔'!$B:$B,120,'01_異動主檔'!$D:$D,A647,'01_異動主檔'!$E:$E,"減列")</f>
        <v/>
      </c>
      <c r="H647" s="4">
        <f>-SUMIFS('01_異動主檔'!$F:$F,'01_異動主檔'!$B:$B,120,'01_異動主檔'!$D:$D,A647,'01_異動主檔'!$E:$E,"精簡")</f>
        <v/>
      </c>
      <c r="I647" s="8">
        <f>C647+D647+E647+F647+G647+H647</f>
        <v/>
      </c>
    </row>
    <row r="648" ht="18" customHeight="1">
      <c r="A648" s="5" t="inlineStr">
        <is>
          <t>花蓮分局</t>
        </is>
      </c>
      <c r="B648" s="6" t="n">
        <v>121</v>
      </c>
      <c r="C648" s="8">
        <f>I647</f>
        <v/>
      </c>
      <c r="D648" s="4">
        <f>SUMIFS('01_異動主檔'!$F:$F,'01_異動主檔'!$B:$B,121,'01_異動主檔'!$D:$D,A648,'01_異動主檔'!$E:$E,"移入")</f>
        <v/>
      </c>
      <c r="E648" s="4">
        <f>-SUMIFS('01_異動主檔'!$F:$F,'01_異動主檔'!$B:$B,121,'01_異動主檔'!$D:$D,A648,'01_異動主檔'!$E:$E,"移出")</f>
        <v/>
      </c>
      <c r="F648" s="4">
        <f>SUMIFS('01_異動主檔'!$F:$F,'01_異動主檔'!$B:$B,121,'01_異動主檔'!$D:$D,A648,'01_異動主檔'!$E:$E,"新增")</f>
        <v/>
      </c>
      <c r="G648" s="4">
        <f>-SUMIFS('01_異動主檔'!$F:$F,'01_異動主檔'!$B:$B,121,'01_異動主檔'!$D:$D,A648,'01_異動主檔'!$E:$E,"減列")</f>
        <v/>
      </c>
      <c r="H648" s="4">
        <f>-SUMIFS('01_異動主檔'!$F:$F,'01_異動主檔'!$B:$B,121,'01_異動主檔'!$D:$D,A648,'01_異動主檔'!$E:$E,"精簡")</f>
        <v/>
      </c>
      <c r="I648" s="8">
        <f>C648+D648+E648+F648+G648+H648</f>
        <v/>
      </c>
    </row>
    <row r="649" ht="18" customHeight="1">
      <c r="A649" s="3" t="inlineStr">
        <is>
          <t>花蓮分局</t>
        </is>
      </c>
      <c r="B649" s="4" t="n">
        <v>122</v>
      </c>
      <c r="C649" s="8">
        <f>I648</f>
        <v/>
      </c>
      <c r="D649" s="4">
        <f>SUMIFS('01_異動主檔'!$F:$F,'01_異動主檔'!$B:$B,122,'01_異動主檔'!$D:$D,A649,'01_異動主檔'!$E:$E,"移入")</f>
        <v/>
      </c>
      <c r="E649" s="4">
        <f>-SUMIFS('01_異動主檔'!$F:$F,'01_異動主檔'!$B:$B,122,'01_異動主檔'!$D:$D,A649,'01_異動主檔'!$E:$E,"移出")</f>
        <v/>
      </c>
      <c r="F649" s="4">
        <f>SUMIFS('01_異動主檔'!$F:$F,'01_異動主檔'!$B:$B,122,'01_異動主檔'!$D:$D,A649,'01_異動主檔'!$E:$E,"新增")</f>
        <v/>
      </c>
      <c r="G649" s="4">
        <f>-SUMIFS('01_異動主檔'!$F:$F,'01_異動主檔'!$B:$B,122,'01_異動主檔'!$D:$D,A649,'01_異動主檔'!$E:$E,"減列")</f>
        <v/>
      </c>
      <c r="H649" s="4">
        <f>-SUMIFS('01_異動主檔'!$F:$F,'01_異動主檔'!$B:$B,122,'01_異動主檔'!$D:$D,A649,'01_異動主檔'!$E:$E,"精簡")</f>
        <v/>
      </c>
      <c r="I649" s="8">
        <f>C649+D649+E649+F649+G649+H649</f>
        <v/>
      </c>
    </row>
    <row r="650" ht="18" customHeight="1">
      <c r="A650" s="5" t="inlineStr">
        <is>
          <t>花蓮分局</t>
        </is>
      </c>
      <c r="B650" s="6" t="n">
        <v>123</v>
      </c>
      <c r="C650" s="8">
        <f>I649</f>
        <v/>
      </c>
      <c r="D650" s="4">
        <f>SUMIFS('01_異動主檔'!$F:$F,'01_異動主檔'!$B:$B,123,'01_異動主檔'!$D:$D,A650,'01_異動主檔'!$E:$E,"移入")</f>
        <v/>
      </c>
      <c r="E650" s="4">
        <f>-SUMIFS('01_異動主檔'!$F:$F,'01_異動主檔'!$B:$B,123,'01_異動主檔'!$D:$D,A650,'01_異動主檔'!$E:$E,"移出")</f>
        <v/>
      </c>
      <c r="F650" s="4">
        <f>SUMIFS('01_異動主檔'!$F:$F,'01_異動主檔'!$B:$B,123,'01_異動主檔'!$D:$D,A650,'01_異動主檔'!$E:$E,"新增")</f>
        <v/>
      </c>
      <c r="G650" s="4">
        <f>-SUMIFS('01_異動主檔'!$F:$F,'01_異動主檔'!$B:$B,123,'01_異動主檔'!$D:$D,A650,'01_異動主檔'!$E:$E,"減列")</f>
        <v/>
      </c>
      <c r="H650" s="4">
        <f>-SUMIFS('01_異動主檔'!$F:$F,'01_異動主檔'!$B:$B,123,'01_異動主檔'!$D:$D,A650,'01_異動主檔'!$E:$E,"精簡")</f>
        <v/>
      </c>
      <c r="I650" s="8">
        <f>C650+D650+E650+F650+G650+H650</f>
        <v/>
      </c>
    </row>
    <row r="651" ht="18" customHeight="1">
      <c r="A651" s="3" t="inlineStr">
        <is>
          <t>花蓮分局</t>
        </is>
      </c>
      <c r="B651" s="4" t="n">
        <v>124</v>
      </c>
      <c r="C651" s="8">
        <f>I650</f>
        <v/>
      </c>
      <c r="D651" s="4">
        <f>SUMIFS('01_異動主檔'!$F:$F,'01_異動主檔'!$B:$B,124,'01_異動主檔'!$D:$D,A651,'01_異動主檔'!$E:$E,"移入")</f>
        <v/>
      </c>
      <c r="E651" s="4">
        <f>-SUMIFS('01_異動主檔'!$F:$F,'01_異動主檔'!$B:$B,124,'01_異動主檔'!$D:$D,A651,'01_異動主檔'!$E:$E,"移出")</f>
        <v/>
      </c>
      <c r="F651" s="4">
        <f>SUMIFS('01_異動主檔'!$F:$F,'01_異動主檔'!$B:$B,124,'01_異動主檔'!$D:$D,A651,'01_異動主檔'!$E:$E,"新增")</f>
        <v/>
      </c>
      <c r="G651" s="4">
        <f>-SUMIFS('01_異動主檔'!$F:$F,'01_異動主檔'!$B:$B,124,'01_異動主檔'!$D:$D,A651,'01_異動主檔'!$E:$E,"減列")</f>
        <v/>
      </c>
      <c r="H651" s="4">
        <f>-SUMIFS('01_異動主檔'!$F:$F,'01_異動主檔'!$B:$B,124,'01_異動主檔'!$D:$D,A651,'01_異動主檔'!$E:$E,"精簡")</f>
        <v/>
      </c>
      <c r="I651" s="8">
        <f>C651+D651+E651+F651+G651+H651</f>
        <v/>
      </c>
    </row>
    <row r="652" ht="18" customHeight="1">
      <c r="A652" s="5" t="inlineStr">
        <is>
          <t>花蓮分局</t>
        </is>
      </c>
      <c r="B652" s="6" t="n">
        <v>125</v>
      </c>
      <c r="C652" s="8">
        <f>I651</f>
        <v/>
      </c>
      <c r="D652" s="4">
        <f>SUMIFS('01_異動主檔'!$F:$F,'01_異動主檔'!$B:$B,125,'01_異動主檔'!$D:$D,A652,'01_異動主檔'!$E:$E,"移入")</f>
        <v/>
      </c>
      <c r="E652" s="4">
        <f>-SUMIFS('01_異動主檔'!$F:$F,'01_異動主檔'!$B:$B,125,'01_異動主檔'!$D:$D,A652,'01_異動主檔'!$E:$E,"移出")</f>
        <v/>
      </c>
      <c r="F652" s="4">
        <f>SUMIFS('01_異動主檔'!$F:$F,'01_異動主檔'!$B:$B,125,'01_異動主檔'!$D:$D,A652,'01_異動主檔'!$E:$E,"新增")</f>
        <v/>
      </c>
      <c r="G652" s="4">
        <f>-SUMIFS('01_異動主檔'!$F:$F,'01_異動主檔'!$B:$B,125,'01_異動主檔'!$D:$D,A652,'01_異動主檔'!$E:$E,"減列")</f>
        <v/>
      </c>
      <c r="H652" s="4">
        <f>-SUMIFS('01_異動主檔'!$F:$F,'01_異動主檔'!$B:$B,125,'01_異動主檔'!$D:$D,A652,'01_異動主檔'!$E:$E,"精簡")</f>
        <v/>
      </c>
      <c r="I652" s="8">
        <f>C652+D652+E652+F652+G652+H652</f>
        <v/>
      </c>
    </row>
    <row r="653" ht="18" customHeight="1">
      <c r="A653" s="3" t="inlineStr">
        <is>
          <t>綜合規劃科</t>
        </is>
      </c>
      <c r="B653" s="4" t="n">
        <v>99</v>
      </c>
      <c r="C653" s="8">
        <f>'02_年初員額設定'!B29</f>
        <v/>
      </c>
      <c r="D653" s="4">
        <f>SUMIFS('01_異動主檔'!$F:$F,'01_異動主檔'!$B:$B,99,'01_異動主檔'!$D:$D,A653,'01_異動主檔'!$E:$E,"移入")</f>
        <v/>
      </c>
      <c r="E653" s="4">
        <f>-SUMIFS('01_異動主檔'!$F:$F,'01_異動主檔'!$B:$B,99,'01_異動主檔'!$D:$D,A653,'01_異動主檔'!$E:$E,"移出")</f>
        <v/>
      </c>
      <c r="F653" s="4">
        <f>SUMIFS('01_異動主檔'!$F:$F,'01_異動主檔'!$B:$B,99,'01_異動主檔'!$D:$D,A653,'01_異動主檔'!$E:$E,"新增")</f>
        <v/>
      </c>
      <c r="G653" s="4">
        <f>-SUMIFS('01_異動主檔'!$F:$F,'01_異動主檔'!$B:$B,99,'01_異動主檔'!$D:$D,A653,'01_異動主檔'!$E:$E,"減列")</f>
        <v/>
      </c>
      <c r="H653" s="4">
        <f>-SUMIFS('01_異動主檔'!$F:$F,'01_異動主檔'!$B:$B,99,'01_異動主檔'!$D:$D,A653,'01_異動主檔'!$E:$E,"精簡")</f>
        <v/>
      </c>
      <c r="I653" s="8">
        <f>C653+D653+E653+F653+G653+H653</f>
        <v/>
      </c>
    </row>
    <row r="654" ht="18" customHeight="1">
      <c r="A654" s="5" t="inlineStr">
        <is>
          <t>綜合規劃科</t>
        </is>
      </c>
      <c r="B654" s="6" t="n">
        <v>100</v>
      </c>
      <c r="C654" s="8">
        <f>I653</f>
        <v/>
      </c>
      <c r="D654" s="4">
        <f>SUMIFS('01_異動主檔'!$F:$F,'01_異動主檔'!$B:$B,100,'01_異動主檔'!$D:$D,A654,'01_異動主檔'!$E:$E,"移入")</f>
        <v/>
      </c>
      <c r="E654" s="4">
        <f>-SUMIFS('01_異動主檔'!$F:$F,'01_異動主檔'!$B:$B,100,'01_異動主檔'!$D:$D,A654,'01_異動主檔'!$E:$E,"移出")</f>
        <v/>
      </c>
      <c r="F654" s="4">
        <f>SUMIFS('01_異動主檔'!$F:$F,'01_異動主檔'!$B:$B,100,'01_異動主檔'!$D:$D,A654,'01_異動主檔'!$E:$E,"新增")</f>
        <v/>
      </c>
      <c r="G654" s="4">
        <f>-SUMIFS('01_異動主檔'!$F:$F,'01_異動主檔'!$B:$B,100,'01_異動主檔'!$D:$D,A654,'01_異動主檔'!$E:$E,"減列")</f>
        <v/>
      </c>
      <c r="H654" s="4">
        <f>-SUMIFS('01_異動主檔'!$F:$F,'01_異動主檔'!$B:$B,100,'01_異動主檔'!$D:$D,A654,'01_異動主檔'!$E:$E,"精簡")</f>
        <v/>
      </c>
      <c r="I654" s="8">
        <f>C654+D654+E654+F654+G654+H654</f>
        <v/>
      </c>
    </row>
    <row r="655" ht="18" customHeight="1">
      <c r="A655" s="3" t="inlineStr">
        <is>
          <t>綜合規劃科</t>
        </is>
      </c>
      <c r="B655" s="4" t="n">
        <v>101</v>
      </c>
      <c r="C655" s="8">
        <f>I654</f>
        <v/>
      </c>
      <c r="D655" s="4">
        <f>SUMIFS('01_異動主檔'!$F:$F,'01_異動主檔'!$B:$B,101,'01_異動主檔'!$D:$D,A655,'01_異動主檔'!$E:$E,"移入")</f>
        <v/>
      </c>
      <c r="E655" s="4">
        <f>-SUMIFS('01_異動主檔'!$F:$F,'01_異動主檔'!$B:$B,101,'01_異動主檔'!$D:$D,A655,'01_異動主檔'!$E:$E,"移出")</f>
        <v/>
      </c>
      <c r="F655" s="4">
        <f>SUMIFS('01_異動主檔'!$F:$F,'01_異動主檔'!$B:$B,101,'01_異動主檔'!$D:$D,A655,'01_異動主檔'!$E:$E,"新增")</f>
        <v/>
      </c>
      <c r="G655" s="4">
        <f>-SUMIFS('01_異動主檔'!$F:$F,'01_異動主檔'!$B:$B,101,'01_異動主檔'!$D:$D,A655,'01_異動主檔'!$E:$E,"減列")</f>
        <v/>
      </c>
      <c r="H655" s="4">
        <f>-SUMIFS('01_異動主檔'!$F:$F,'01_異動主檔'!$B:$B,101,'01_異動主檔'!$D:$D,A655,'01_異動主檔'!$E:$E,"精簡")</f>
        <v/>
      </c>
      <c r="I655" s="8">
        <f>C655+D655+E655+F655+G655+H655</f>
        <v/>
      </c>
    </row>
    <row r="656" ht="18" customHeight="1">
      <c r="A656" s="5" t="inlineStr">
        <is>
          <t>綜合規劃科</t>
        </is>
      </c>
      <c r="B656" s="6" t="n">
        <v>102</v>
      </c>
      <c r="C656" s="8">
        <f>I655</f>
        <v/>
      </c>
      <c r="D656" s="4">
        <f>SUMIFS('01_異動主檔'!$F:$F,'01_異動主檔'!$B:$B,102,'01_異動主檔'!$D:$D,A656,'01_異動主檔'!$E:$E,"移入")</f>
        <v/>
      </c>
      <c r="E656" s="4">
        <f>-SUMIFS('01_異動主檔'!$F:$F,'01_異動主檔'!$B:$B,102,'01_異動主檔'!$D:$D,A656,'01_異動主檔'!$E:$E,"移出")</f>
        <v/>
      </c>
      <c r="F656" s="4">
        <f>SUMIFS('01_異動主檔'!$F:$F,'01_異動主檔'!$B:$B,102,'01_異動主檔'!$D:$D,A656,'01_異動主檔'!$E:$E,"新增")</f>
        <v/>
      </c>
      <c r="G656" s="4">
        <f>-SUMIFS('01_異動主檔'!$F:$F,'01_異動主檔'!$B:$B,102,'01_異動主檔'!$D:$D,A656,'01_異動主檔'!$E:$E,"減列")</f>
        <v/>
      </c>
      <c r="H656" s="4">
        <f>-SUMIFS('01_異動主檔'!$F:$F,'01_異動主檔'!$B:$B,102,'01_異動主檔'!$D:$D,A656,'01_異動主檔'!$E:$E,"精簡")</f>
        <v/>
      </c>
      <c r="I656" s="8">
        <f>C656+D656+E656+F656+G656+H656</f>
        <v/>
      </c>
    </row>
    <row r="657" ht="18" customHeight="1">
      <c r="A657" s="3" t="inlineStr">
        <is>
          <t>綜合規劃科</t>
        </is>
      </c>
      <c r="B657" s="4" t="n">
        <v>103</v>
      </c>
      <c r="C657" s="8">
        <f>I656</f>
        <v/>
      </c>
      <c r="D657" s="4">
        <f>SUMIFS('01_異動主檔'!$F:$F,'01_異動主檔'!$B:$B,103,'01_異動主檔'!$D:$D,A657,'01_異動主檔'!$E:$E,"移入")</f>
        <v/>
      </c>
      <c r="E657" s="4">
        <f>-SUMIFS('01_異動主檔'!$F:$F,'01_異動主檔'!$B:$B,103,'01_異動主檔'!$D:$D,A657,'01_異動主檔'!$E:$E,"移出")</f>
        <v/>
      </c>
      <c r="F657" s="4">
        <f>SUMIFS('01_異動主檔'!$F:$F,'01_異動主檔'!$B:$B,103,'01_異動主檔'!$D:$D,A657,'01_異動主檔'!$E:$E,"新增")</f>
        <v/>
      </c>
      <c r="G657" s="4">
        <f>-SUMIFS('01_異動主檔'!$F:$F,'01_異動主檔'!$B:$B,103,'01_異動主檔'!$D:$D,A657,'01_異動主檔'!$E:$E,"減列")</f>
        <v/>
      </c>
      <c r="H657" s="4">
        <f>-SUMIFS('01_異動主檔'!$F:$F,'01_異動主檔'!$B:$B,103,'01_異動主檔'!$D:$D,A657,'01_異動主檔'!$E:$E,"精簡")</f>
        <v/>
      </c>
      <c r="I657" s="8">
        <f>C657+D657+E657+F657+G657+H657</f>
        <v/>
      </c>
    </row>
    <row r="658" ht="18" customHeight="1">
      <c r="A658" s="5" t="inlineStr">
        <is>
          <t>綜合規劃科</t>
        </is>
      </c>
      <c r="B658" s="6" t="n">
        <v>104</v>
      </c>
      <c r="C658" s="8">
        <f>I657</f>
        <v/>
      </c>
      <c r="D658" s="4">
        <f>SUMIFS('01_異動主檔'!$F:$F,'01_異動主檔'!$B:$B,104,'01_異動主檔'!$D:$D,A658,'01_異動主檔'!$E:$E,"移入")</f>
        <v/>
      </c>
      <c r="E658" s="4">
        <f>-SUMIFS('01_異動主檔'!$F:$F,'01_異動主檔'!$B:$B,104,'01_異動主檔'!$D:$D,A658,'01_異動主檔'!$E:$E,"移出")</f>
        <v/>
      </c>
      <c r="F658" s="4">
        <f>SUMIFS('01_異動主檔'!$F:$F,'01_異動主檔'!$B:$B,104,'01_異動主檔'!$D:$D,A658,'01_異動主檔'!$E:$E,"新增")</f>
        <v/>
      </c>
      <c r="G658" s="4">
        <f>-SUMIFS('01_異動主檔'!$F:$F,'01_異動主檔'!$B:$B,104,'01_異動主檔'!$D:$D,A658,'01_異動主檔'!$E:$E,"減列")</f>
        <v/>
      </c>
      <c r="H658" s="4">
        <f>-SUMIFS('01_異動主檔'!$F:$F,'01_異動主檔'!$B:$B,104,'01_異動主檔'!$D:$D,A658,'01_異動主檔'!$E:$E,"精簡")</f>
        <v/>
      </c>
      <c r="I658" s="8">
        <f>C658+D658+E658+F658+G658+H658</f>
        <v/>
      </c>
    </row>
    <row r="659" ht="18" customHeight="1">
      <c r="A659" s="3" t="inlineStr">
        <is>
          <t>綜合規劃科</t>
        </is>
      </c>
      <c r="B659" s="4" t="n">
        <v>105</v>
      </c>
      <c r="C659" s="8">
        <f>I658</f>
        <v/>
      </c>
      <c r="D659" s="4">
        <f>SUMIFS('01_異動主檔'!$F:$F,'01_異動主檔'!$B:$B,105,'01_異動主檔'!$D:$D,A659,'01_異動主檔'!$E:$E,"移入")</f>
        <v/>
      </c>
      <c r="E659" s="4">
        <f>-SUMIFS('01_異動主檔'!$F:$F,'01_異動主檔'!$B:$B,105,'01_異動主檔'!$D:$D,A659,'01_異動主檔'!$E:$E,"移出")</f>
        <v/>
      </c>
      <c r="F659" s="4">
        <f>SUMIFS('01_異動主檔'!$F:$F,'01_異動主檔'!$B:$B,105,'01_異動主檔'!$D:$D,A659,'01_異動主檔'!$E:$E,"新增")</f>
        <v/>
      </c>
      <c r="G659" s="4">
        <f>-SUMIFS('01_異動主檔'!$F:$F,'01_異動主檔'!$B:$B,105,'01_異動主檔'!$D:$D,A659,'01_異動主檔'!$E:$E,"減列")</f>
        <v/>
      </c>
      <c r="H659" s="4">
        <f>-SUMIFS('01_異動主檔'!$F:$F,'01_異動主檔'!$B:$B,105,'01_異動主檔'!$D:$D,A659,'01_異動主檔'!$E:$E,"精簡")</f>
        <v/>
      </c>
      <c r="I659" s="8">
        <f>C659+D659+E659+F659+G659+H659</f>
        <v/>
      </c>
    </row>
    <row r="660" ht="18" customHeight="1">
      <c r="A660" s="5" t="inlineStr">
        <is>
          <t>綜合規劃科</t>
        </is>
      </c>
      <c r="B660" s="6" t="n">
        <v>106</v>
      </c>
      <c r="C660" s="8">
        <f>I659</f>
        <v/>
      </c>
      <c r="D660" s="4">
        <f>SUMIFS('01_異動主檔'!$F:$F,'01_異動主檔'!$B:$B,106,'01_異動主檔'!$D:$D,A660,'01_異動主檔'!$E:$E,"移入")</f>
        <v/>
      </c>
      <c r="E660" s="4">
        <f>-SUMIFS('01_異動主檔'!$F:$F,'01_異動主檔'!$B:$B,106,'01_異動主檔'!$D:$D,A660,'01_異動主檔'!$E:$E,"移出")</f>
        <v/>
      </c>
      <c r="F660" s="4">
        <f>SUMIFS('01_異動主檔'!$F:$F,'01_異動主檔'!$B:$B,106,'01_異動主檔'!$D:$D,A660,'01_異動主檔'!$E:$E,"新增")</f>
        <v/>
      </c>
      <c r="G660" s="4">
        <f>-SUMIFS('01_異動主檔'!$F:$F,'01_異動主檔'!$B:$B,106,'01_異動主檔'!$D:$D,A660,'01_異動主檔'!$E:$E,"減列")</f>
        <v/>
      </c>
      <c r="H660" s="4">
        <f>-SUMIFS('01_異動主檔'!$F:$F,'01_異動主檔'!$B:$B,106,'01_異動主檔'!$D:$D,A660,'01_異動主檔'!$E:$E,"精簡")</f>
        <v/>
      </c>
      <c r="I660" s="8">
        <f>C660+D660+E660+F660+G660+H660</f>
        <v/>
      </c>
    </row>
    <row r="661" ht="18" customHeight="1">
      <c r="A661" s="3" t="inlineStr">
        <is>
          <t>綜合規劃科</t>
        </is>
      </c>
      <c r="B661" s="4" t="n">
        <v>107</v>
      </c>
      <c r="C661" s="8">
        <f>I660</f>
        <v/>
      </c>
      <c r="D661" s="4">
        <f>SUMIFS('01_異動主檔'!$F:$F,'01_異動主檔'!$B:$B,107,'01_異動主檔'!$D:$D,A661,'01_異動主檔'!$E:$E,"移入")</f>
        <v/>
      </c>
      <c r="E661" s="4">
        <f>-SUMIFS('01_異動主檔'!$F:$F,'01_異動主檔'!$B:$B,107,'01_異動主檔'!$D:$D,A661,'01_異動主檔'!$E:$E,"移出")</f>
        <v/>
      </c>
      <c r="F661" s="4">
        <f>SUMIFS('01_異動主檔'!$F:$F,'01_異動主檔'!$B:$B,107,'01_異動主檔'!$D:$D,A661,'01_異動主檔'!$E:$E,"新增")</f>
        <v/>
      </c>
      <c r="G661" s="4">
        <f>-SUMIFS('01_異動主檔'!$F:$F,'01_異動主檔'!$B:$B,107,'01_異動主檔'!$D:$D,A661,'01_異動主檔'!$E:$E,"減列")</f>
        <v/>
      </c>
      <c r="H661" s="4">
        <f>-SUMIFS('01_異動主檔'!$F:$F,'01_異動主檔'!$B:$B,107,'01_異動主檔'!$D:$D,A661,'01_異動主檔'!$E:$E,"精簡")</f>
        <v/>
      </c>
      <c r="I661" s="8">
        <f>C661+D661+E661+F661+G661+H661</f>
        <v/>
      </c>
    </row>
    <row r="662" ht="18" customHeight="1">
      <c r="A662" s="5" t="inlineStr">
        <is>
          <t>綜合規劃科</t>
        </is>
      </c>
      <c r="B662" s="6" t="n">
        <v>108</v>
      </c>
      <c r="C662" s="8">
        <f>I661</f>
        <v/>
      </c>
      <c r="D662" s="4">
        <f>SUMIFS('01_異動主檔'!$F:$F,'01_異動主檔'!$B:$B,108,'01_異動主檔'!$D:$D,A662,'01_異動主檔'!$E:$E,"移入")</f>
        <v/>
      </c>
      <c r="E662" s="4">
        <f>-SUMIFS('01_異動主檔'!$F:$F,'01_異動主檔'!$B:$B,108,'01_異動主檔'!$D:$D,A662,'01_異動主檔'!$E:$E,"移出")</f>
        <v/>
      </c>
      <c r="F662" s="4">
        <f>SUMIFS('01_異動主檔'!$F:$F,'01_異動主檔'!$B:$B,108,'01_異動主檔'!$D:$D,A662,'01_異動主檔'!$E:$E,"新增")</f>
        <v/>
      </c>
      <c r="G662" s="4">
        <f>-SUMIFS('01_異動主檔'!$F:$F,'01_異動主檔'!$B:$B,108,'01_異動主檔'!$D:$D,A662,'01_異動主檔'!$E:$E,"減列")</f>
        <v/>
      </c>
      <c r="H662" s="4">
        <f>-SUMIFS('01_異動主檔'!$F:$F,'01_異動主檔'!$B:$B,108,'01_異動主檔'!$D:$D,A662,'01_異動主檔'!$E:$E,"精簡")</f>
        <v/>
      </c>
      <c r="I662" s="8">
        <f>C662+D662+E662+F662+G662+H662</f>
        <v/>
      </c>
    </row>
    <row r="663" ht="18" customHeight="1">
      <c r="A663" s="3" t="inlineStr">
        <is>
          <t>綜合規劃科</t>
        </is>
      </c>
      <c r="B663" s="4" t="n">
        <v>109</v>
      </c>
      <c r="C663" s="8">
        <f>I662</f>
        <v/>
      </c>
      <c r="D663" s="4">
        <f>SUMIFS('01_異動主檔'!$F:$F,'01_異動主檔'!$B:$B,109,'01_異動主檔'!$D:$D,A663,'01_異動主檔'!$E:$E,"移入")</f>
        <v/>
      </c>
      <c r="E663" s="4">
        <f>-SUMIFS('01_異動主檔'!$F:$F,'01_異動主檔'!$B:$B,109,'01_異動主檔'!$D:$D,A663,'01_異動主檔'!$E:$E,"移出")</f>
        <v/>
      </c>
      <c r="F663" s="4">
        <f>SUMIFS('01_異動主檔'!$F:$F,'01_異動主檔'!$B:$B,109,'01_異動主檔'!$D:$D,A663,'01_異動主檔'!$E:$E,"新增")</f>
        <v/>
      </c>
      <c r="G663" s="4">
        <f>-SUMIFS('01_異動主檔'!$F:$F,'01_異動主檔'!$B:$B,109,'01_異動主檔'!$D:$D,A663,'01_異動主檔'!$E:$E,"減列")</f>
        <v/>
      </c>
      <c r="H663" s="4">
        <f>-SUMIFS('01_異動主檔'!$F:$F,'01_異動主檔'!$B:$B,109,'01_異動主檔'!$D:$D,A663,'01_異動主檔'!$E:$E,"精簡")</f>
        <v/>
      </c>
      <c r="I663" s="8">
        <f>C663+D663+E663+F663+G663+H663</f>
        <v/>
      </c>
    </row>
    <row r="664" ht="18" customHeight="1">
      <c r="A664" s="5" t="inlineStr">
        <is>
          <t>綜合規劃科</t>
        </is>
      </c>
      <c r="B664" s="6" t="n">
        <v>110</v>
      </c>
      <c r="C664" s="8">
        <f>I663</f>
        <v/>
      </c>
      <c r="D664" s="4">
        <f>SUMIFS('01_異動主檔'!$F:$F,'01_異動主檔'!$B:$B,110,'01_異動主檔'!$D:$D,A664,'01_異動主檔'!$E:$E,"移入")</f>
        <v/>
      </c>
      <c r="E664" s="4">
        <f>-SUMIFS('01_異動主檔'!$F:$F,'01_異動主檔'!$B:$B,110,'01_異動主檔'!$D:$D,A664,'01_異動主檔'!$E:$E,"移出")</f>
        <v/>
      </c>
      <c r="F664" s="4">
        <f>SUMIFS('01_異動主檔'!$F:$F,'01_異動主檔'!$B:$B,110,'01_異動主檔'!$D:$D,A664,'01_異動主檔'!$E:$E,"新增")</f>
        <v/>
      </c>
      <c r="G664" s="4">
        <f>-SUMIFS('01_異動主檔'!$F:$F,'01_異動主檔'!$B:$B,110,'01_異動主檔'!$D:$D,A664,'01_異動主檔'!$E:$E,"減列")</f>
        <v/>
      </c>
      <c r="H664" s="4">
        <f>-SUMIFS('01_異動主檔'!$F:$F,'01_異動主檔'!$B:$B,110,'01_異動主檔'!$D:$D,A664,'01_異動主檔'!$E:$E,"精簡")</f>
        <v/>
      </c>
      <c r="I664" s="8">
        <f>C664+D664+E664+F664+G664+H664</f>
        <v/>
      </c>
    </row>
    <row r="665" ht="18" customHeight="1">
      <c r="A665" s="3" t="inlineStr">
        <is>
          <t>綜合規劃科</t>
        </is>
      </c>
      <c r="B665" s="4" t="n">
        <v>111</v>
      </c>
      <c r="C665" s="8">
        <f>I664</f>
        <v/>
      </c>
      <c r="D665" s="4">
        <f>SUMIFS('01_異動主檔'!$F:$F,'01_異動主檔'!$B:$B,111,'01_異動主檔'!$D:$D,A665,'01_異動主檔'!$E:$E,"移入")</f>
        <v/>
      </c>
      <c r="E665" s="4">
        <f>-SUMIFS('01_異動主檔'!$F:$F,'01_異動主檔'!$B:$B,111,'01_異動主檔'!$D:$D,A665,'01_異動主檔'!$E:$E,"移出")</f>
        <v/>
      </c>
      <c r="F665" s="4">
        <f>SUMIFS('01_異動主檔'!$F:$F,'01_異動主檔'!$B:$B,111,'01_異動主檔'!$D:$D,A665,'01_異動主檔'!$E:$E,"新增")</f>
        <v/>
      </c>
      <c r="G665" s="4">
        <f>-SUMIFS('01_異動主檔'!$F:$F,'01_異動主檔'!$B:$B,111,'01_異動主檔'!$D:$D,A665,'01_異動主檔'!$E:$E,"減列")</f>
        <v/>
      </c>
      <c r="H665" s="4">
        <f>-SUMIFS('01_異動主檔'!$F:$F,'01_異動主檔'!$B:$B,111,'01_異動主檔'!$D:$D,A665,'01_異動主檔'!$E:$E,"精簡")</f>
        <v/>
      </c>
      <c r="I665" s="8">
        <f>C665+D665+E665+F665+G665+H665</f>
        <v/>
      </c>
    </row>
    <row r="666" ht="18" customHeight="1">
      <c r="A666" s="5" t="inlineStr">
        <is>
          <t>綜合規劃科</t>
        </is>
      </c>
      <c r="B666" s="6" t="n">
        <v>112</v>
      </c>
      <c r="C666" s="8">
        <f>I665</f>
        <v/>
      </c>
      <c r="D666" s="4">
        <f>SUMIFS('01_異動主檔'!$F:$F,'01_異動主檔'!$B:$B,112,'01_異動主檔'!$D:$D,A666,'01_異動主檔'!$E:$E,"移入")</f>
        <v/>
      </c>
      <c r="E666" s="4">
        <f>-SUMIFS('01_異動主檔'!$F:$F,'01_異動主檔'!$B:$B,112,'01_異動主檔'!$D:$D,A666,'01_異動主檔'!$E:$E,"移出")</f>
        <v/>
      </c>
      <c r="F666" s="4">
        <f>SUMIFS('01_異動主檔'!$F:$F,'01_異動主檔'!$B:$B,112,'01_異動主檔'!$D:$D,A666,'01_異動主檔'!$E:$E,"新增")</f>
        <v/>
      </c>
      <c r="G666" s="4">
        <f>-SUMIFS('01_異動主檔'!$F:$F,'01_異動主檔'!$B:$B,112,'01_異動主檔'!$D:$D,A666,'01_異動主檔'!$E:$E,"減列")</f>
        <v/>
      </c>
      <c r="H666" s="4">
        <f>-SUMIFS('01_異動主檔'!$F:$F,'01_異動主檔'!$B:$B,112,'01_異動主檔'!$D:$D,A666,'01_異動主檔'!$E:$E,"精簡")</f>
        <v/>
      </c>
      <c r="I666" s="8">
        <f>C666+D666+E666+F666+G666+H666</f>
        <v/>
      </c>
    </row>
    <row r="667" ht="18" customHeight="1">
      <c r="A667" s="3" t="inlineStr">
        <is>
          <t>綜合規劃科</t>
        </is>
      </c>
      <c r="B667" s="4" t="n">
        <v>113</v>
      </c>
      <c r="C667" s="8">
        <f>I666</f>
        <v/>
      </c>
      <c r="D667" s="4">
        <f>SUMIFS('01_異動主檔'!$F:$F,'01_異動主檔'!$B:$B,113,'01_異動主檔'!$D:$D,A667,'01_異動主檔'!$E:$E,"移入")</f>
        <v/>
      </c>
      <c r="E667" s="4">
        <f>-SUMIFS('01_異動主檔'!$F:$F,'01_異動主檔'!$B:$B,113,'01_異動主檔'!$D:$D,A667,'01_異動主檔'!$E:$E,"移出")</f>
        <v/>
      </c>
      <c r="F667" s="4">
        <f>SUMIFS('01_異動主檔'!$F:$F,'01_異動主檔'!$B:$B,113,'01_異動主檔'!$D:$D,A667,'01_異動主檔'!$E:$E,"新增")</f>
        <v/>
      </c>
      <c r="G667" s="4">
        <f>-SUMIFS('01_異動主檔'!$F:$F,'01_異動主檔'!$B:$B,113,'01_異動主檔'!$D:$D,A667,'01_異動主檔'!$E:$E,"減列")</f>
        <v/>
      </c>
      <c r="H667" s="4">
        <f>-SUMIFS('01_異動主檔'!$F:$F,'01_異動主檔'!$B:$B,113,'01_異動主檔'!$D:$D,A667,'01_異動主檔'!$E:$E,"精簡")</f>
        <v/>
      </c>
      <c r="I667" s="8">
        <f>C667+D667+E667+F667+G667+H667</f>
        <v/>
      </c>
    </row>
    <row r="668" ht="18" customHeight="1">
      <c r="A668" s="5" t="inlineStr">
        <is>
          <t>綜合規劃科</t>
        </is>
      </c>
      <c r="B668" s="6" t="n">
        <v>114</v>
      </c>
      <c r="C668" s="8">
        <f>I667</f>
        <v/>
      </c>
      <c r="D668" s="4">
        <f>SUMIFS('01_異動主檔'!$F:$F,'01_異動主檔'!$B:$B,114,'01_異動主檔'!$D:$D,A668,'01_異動主檔'!$E:$E,"移入")</f>
        <v/>
      </c>
      <c r="E668" s="4">
        <f>-SUMIFS('01_異動主檔'!$F:$F,'01_異動主檔'!$B:$B,114,'01_異動主檔'!$D:$D,A668,'01_異動主檔'!$E:$E,"移出")</f>
        <v/>
      </c>
      <c r="F668" s="4">
        <f>SUMIFS('01_異動主檔'!$F:$F,'01_異動主檔'!$B:$B,114,'01_異動主檔'!$D:$D,A668,'01_異動主檔'!$E:$E,"新增")</f>
        <v/>
      </c>
      <c r="G668" s="4">
        <f>-SUMIFS('01_異動主檔'!$F:$F,'01_異動主檔'!$B:$B,114,'01_異動主檔'!$D:$D,A668,'01_異動主檔'!$E:$E,"減列")</f>
        <v/>
      </c>
      <c r="H668" s="4">
        <f>-SUMIFS('01_異動主檔'!$F:$F,'01_異動主檔'!$B:$B,114,'01_異動主檔'!$D:$D,A668,'01_異動主檔'!$E:$E,"精簡")</f>
        <v/>
      </c>
      <c r="I668" s="8">
        <f>C668+D668+E668+F668+G668+H668</f>
        <v/>
      </c>
    </row>
    <row r="669" ht="18" customHeight="1">
      <c r="A669" s="3" t="inlineStr">
        <is>
          <t>綜合規劃科</t>
        </is>
      </c>
      <c r="B669" s="4" t="n">
        <v>115</v>
      </c>
      <c r="C669" s="8">
        <f>I668</f>
        <v/>
      </c>
      <c r="D669" s="4">
        <f>SUMIFS('01_異動主檔'!$F:$F,'01_異動主檔'!$B:$B,115,'01_異動主檔'!$D:$D,A669,'01_異動主檔'!$E:$E,"移入")</f>
        <v/>
      </c>
      <c r="E669" s="4">
        <f>-SUMIFS('01_異動主檔'!$F:$F,'01_異動主檔'!$B:$B,115,'01_異動主檔'!$D:$D,A669,'01_異動主檔'!$E:$E,"移出")</f>
        <v/>
      </c>
      <c r="F669" s="4">
        <f>SUMIFS('01_異動主檔'!$F:$F,'01_異動主檔'!$B:$B,115,'01_異動主檔'!$D:$D,A669,'01_異動主檔'!$E:$E,"新增")</f>
        <v/>
      </c>
      <c r="G669" s="4">
        <f>-SUMIFS('01_異動主檔'!$F:$F,'01_異動主檔'!$B:$B,115,'01_異動主檔'!$D:$D,A669,'01_異動主檔'!$E:$E,"減列")</f>
        <v/>
      </c>
      <c r="H669" s="4">
        <f>-SUMIFS('01_異動主檔'!$F:$F,'01_異動主檔'!$B:$B,115,'01_異動主檔'!$D:$D,A669,'01_異動主檔'!$E:$E,"精簡")</f>
        <v/>
      </c>
      <c r="I669" s="8">
        <f>C669+D669+E669+F669+G669+H669</f>
        <v/>
      </c>
    </row>
    <row r="670" ht="18" customHeight="1">
      <c r="A670" s="5" t="inlineStr">
        <is>
          <t>綜合規劃科</t>
        </is>
      </c>
      <c r="B670" s="6" t="n">
        <v>116</v>
      </c>
      <c r="C670" s="8">
        <f>I669</f>
        <v/>
      </c>
      <c r="D670" s="4">
        <f>SUMIFS('01_異動主檔'!$F:$F,'01_異動主檔'!$B:$B,116,'01_異動主檔'!$D:$D,A670,'01_異動主檔'!$E:$E,"移入")</f>
        <v/>
      </c>
      <c r="E670" s="4">
        <f>-SUMIFS('01_異動主檔'!$F:$F,'01_異動主檔'!$B:$B,116,'01_異動主檔'!$D:$D,A670,'01_異動主檔'!$E:$E,"移出")</f>
        <v/>
      </c>
      <c r="F670" s="4">
        <f>SUMIFS('01_異動主檔'!$F:$F,'01_異動主檔'!$B:$B,116,'01_異動主檔'!$D:$D,A670,'01_異動主檔'!$E:$E,"新增")</f>
        <v/>
      </c>
      <c r="G670" s="4">
        <f>-SUMIFS('01_異動主檔'!$F:$F,'01_異動主檔'!$B:$B,116,'01_異動主檔'!$D:$D,A670,'01_異動主檔'!$E:$E,"減列")</f>
        <v/>
      </c>
      <c r="H670" s="4">
        <f>-SUMIFS('01_異動主檔'!$F:$F,'01_異動主檔'!$B:$B,116,'01_異動主檔'!$D:$D,A670,'01_異動主檔'!$E:$E,"精簡")</f>
        <v/>
      </c>
      <c r="I670" s="8">
        <f>C670+D670+E670+F670+G670+H670</f>
        <v/>
      </c>
    </row>
    <row r="671" ht="18" customHeight="1">
      <c r="A671" s="3" t="inlineStr">
        <is>
          <t>綜合規劃科</t>
        </is>
      </c>
      <c r="B671" s="4" t="n">
        <v>117</v>
      </c>
      <c r="C671" s="8">
        <f>I670</f>
        <v/>
      </c>
      <c r="D671" s="4">
        <f>SUMIFS('01_異動主檔'!$F:$F,'01_異動主檔'!$B:$B,117,'01_異動主檔'!$D:$D,A671,'01_異動主檔'!$E:$E,"移入")</f>
        <v/>
      </c>
      <c r="E671" s="4">
        <f>-SUMIFS('01_異動主檔'!$F:$F,'01_異動主檔'!$B:$B,117,'01_異動主檔'!$D:$D,A671,'01_異動主檔'!$E:$E,"移出")</f>
        <v/>
      </c>
      <c r="F671" s="4">
        <f>SUMIFS('01_異動主檔'!$F:$F,'01_異動主檔'!$B:$B,117,'01_異動主檔'!$D:$D,A671,'01_異動主檔'!$E:$E,"新增")</f>
        <v/>
      </c>
      <c r="G671" s="4">
        <f>-SUMIFS('01_異動主檔'!$F:$F,'01_異動主檔'!$B:$B,117,'01_異動主檔'!$D:$D,A671,'01_異動主檔'!$E:$E,"減列")</f>
        <v/>
      </c>
      <c r="H671" s="4">
        <f>-SUMIFS('01_異動主檔'!$F:$F,'01_異動主檔'!$B:$B,117,'01_異動主檔'!$D:$D,A671,'01_異動主檔'!$E:$E,"精簡")</f>
        <v/>
      </c>
      <c r="I671" s="8">
        <f>C671+D671+E671+F671+G671+H671</f>
        <v/>
      </c>
    </row>
    <row r="672" ht="18" customHeight="1">
      <c r="A672" s="5" t="inlineStr">
        <is>
          <t>綜合規劃科</t>
        </is>
      </c>
      <c r="B672" s="6" t="n">
        <v>118</v>
      </c>
      <c r="C672" s="8">
        <f>I671</f>
        <v/>
      </c>
      <c r="D672" s="4">
        <f>SUMIFS('01_異動主檔'!$F:$F,'01_異動主檔'!$B:$B,118,'01_異動主檔'!$D:$D,A672,'01_異動主檔'!$E:$E,"移入")</f>
        <v/>
      </c>
      <c r="E672" s="4">
        <f>-SUMIFS('01_異動主檔'!$F:$F,'01_異動主檔'!$B:$B,118,'01_異動主檔'!$D:$D,A672,'01_異動主檔'!$E:$E,"移出")</f>
        <v/>
      </c>
      <c r="F672" s="4">
        <f>SUMIFS('01_異動主檔'!$F:$F,'01_異動主檔'!$B:$B,118,'01_異動主檔'!$D:$D,A672,'01_異動主檔'!$E:$E,"新增")</f>
        <v/>
      </c>
      <c r="G672" s="4">
        <f>-SUMIFS('01_異動主檔'!$F:$F,'01_異動主檔'!$B:$B,118,'01_異動主檔'!$D:$D,A672,'01_異動主檔'!$E:$E,"減列")</f>
        <v/>
      </c>
      <c r="H672" s="4">
        <f>-SUMIFS('01_異動主檔'!$F:$F,'01_異動主檔'!$B:$B,118,'01_異動主檔'!$D:$D,A672,'01_異動主檔'!$E:$E,"精簡")</f>
        <v/>
      </c>
      <c r="I672" s="8">
        <f>C672+D672+E672+F672+G672+H672</f>
        <v/>
      </c>
    </row>
    <row r="673" ht="18" customHeight="1">
      <c r="A673" s="3" t="inlineStr">
        <is>
          <t>綜合規劃科</t>
        </is>
      </c>
      <c r="B673" s="4" t="n">
        <v>119</v>
      </c>
      <c r="C673" s="8">
        <f>I672</f>
        <v/>
      </c>
      <c r="D673" s="4">
        <f>SUMIFS('01_異動主檔'!$F:$F,'01_異動主檔'!$B:$B,119,'01_異動主檔'!$D:$D,A673,'01_異動主檔'!$E:$E,"移入")</f>
        <v/>
      </c>
      <c r="E673" s="4">
        <f>-SUMIFS('01_異動主檔'!$F:$F,'01_異動主檔'!$B:$B,119,'01_異動主檔'!$D:$D,A673,'01_異動主檔'!$E:$E,"移出")</f>
        <v/>
      </c>
      <c r="F673" s="4">
        <f>SUMIFS('01_異動主檔'!$F:$F,'01_異動主檔'!$B:$B,119,'01_異動主檔'!$D:$D,A673,'01_異動主檔'!$E:$E,"新增")</f>
        <v/>
      </c>
      <c r="G673" s="4">
        <f>-SUMIFS('01_異動主檔'!$F:$F,'01_異動主檔'!$B:$B,119,'01_異動主檔'!$D:$D,A673,'01_異動主檔'!$E:$E,"減列")</f>
        <v/>
      </c>
      <c r="H673" s="4">
        <f>-SUMIFS('01_異動主檔'!$F:$F,'01_異動主檔'!$B:$B,119,'01_異動主檔'!$D:$D,A673,'01_異動主檔'!$E:$E,"精簡")</f>
        <v/>
      </c>
      <c r="I673" s="8">
        <f>C673+D673+E673+F673+G673+H673</f>
        <v/>
      </c>
    </row>
    <row r="674" ht="18" customHeight="1">
      <c r="A674" s="5" t="inlineStr">
        <is>
          <t>綜合規劃科</t>
        </is>
      </c>
      <c r="B674" s="6" t="n">
        <v>120</v>
      </c>
      <c r="C674" s="8">
        <f>I673</f>
        <v/>
      </c>
      <c r="D674" s="4">
        <f>SUMIFS('01_異動主檔'!$F:$F,'01_異動主檔'!$B:$B,120,'01_異動主檔'!$D:$D,A674,'01_異動主檔'!$E:$E,"移入")</f>
        <v/>
      </c>
      <c r="E674" s="4">
        <f>-SUMIFS('01_異動主檔'!$F:$F,'01_異動主檔'!$B:$B,120,'01_異動主檔'!$D:$D,A674,'01_異動主檔'!$E:$E,"移出")</f>
        <v/>
      </c>
      <c r="F674" s="4">
        <f>SUMIFS('01_異動主檔'!$F:$F,'01_異動主檔'!$B:$B,120,'01_異動主檔'!$D:$D,A674,'01_異動主檔'!$E:$E,"新增")</f>
        <v/>
      </c>
      <c r="G674" s="4">
        <f>-SUMIFS('01_異動主檔'!$F:$F,'01_異動主檔'!$B:$B,120,'01_異動主檔'!$D:$D,A674,'01_異動主檔'!$E:$E,"減列")</f>
        <v/>
      </c>
      <c r="H674" s="4">
        <f>-SUMIFS('01_異動主檔'!$F:$F,'01_異動主檔'!$B:$B,120,'01_異動主檔'!$D:$D,A674,'01_異動主檔'!$E:$E,"精簡")</f>
        <v/>
      </c>
      <c r="I674" s="8">
        <f>C674+D674+E674+F674+G674+H674</f>
        <v/>
      </c>
    </row>
    <row r="675" ht="18" customHeight="1">
      <c r="A675" s="3" t="inlineStr">
        <is>
          <t>綜合規劃科</t>
        </is>
      </c>
      <c r="B675" s="4" t="n">
        <v>121</v>
      </c>
      <c r="C675" s="8">
        <f>I674</f>
        <v/>
      </c>
      <c r="D675" s="4">
        <f>SUMIFS('01_異動主檔'!$F:$F,'01_異動主檔'!$B:$B,121,'01_異動主檔'!$D:$D,A675,'01_異動主檔'!$E:$E,"移入")</f>
        <v/>
      </c>
      <c r="E675" s="4">
        <f>-SUMIFS('01_異動主檔'!$F:$F,'01_異動主檔'!$B:$B,121,'01_異動主檔'!$D:$D,A675,'01_異動主檔'!$E:$E,"移出")</f>
        <v/>
      </c>
      <c r="F675" s="4">
        <f>SUMIFS('01_異動主檔'!$F:$F,'01_異動主檔'!$B:$B,121,'01_異動主檔'!$D:$D,A675,'01_異動主檔'!$E:$E,"新增")</f>
        <v/>
      </c>
      <c r="G675" s="4">
        <f>-SUMIFS('01_異動主檔'!$F:$F,'01_異動主檔'!$B:$B,121,'01_異動主檔'!$D:$D,A675,'01_異動主檔'!$E:$E,"減列")</f>
        <v/>
      </c>
      <c r="H675" s="4">
        <f>-SUMIFS('01_異動主檔'!$F:$F,'01_異動主檔'!$B:$B,121,'01_異動主檔'!$D:$D,A675,'01_異動主檔'!$E:$E,"精簡")</f>
        <v/>
      </c>
      <c r="I675" s="8">
        <f>C675+D675+E675+F675+G675+H675</f>
        <v/>
      </c>
    </row>
    <row r="676" ht="18" customHeight="1">
      <c r="A676" s="5" t="inlineStr">
        <is>
          <t>綜合規劃科</t>
        </is>
      </c>
      <c r="B676" s="6" t="n">
        <v>122</v>
      </c>
      <c r="C676" s="8">
        <f>I675</f>
        <v/>
      </c>
      <c r="D676" s="4">
        <f>SUMIFS('01_異動主檔'!$F:$F,'01_異動主檔'!$B:$B,122,'01_異動主檔'!$D:$D,A676,'01_異動主檔'!$E:$E,"移入")</f>
        <v/>
      </c>
      <c r="E676" s="4">
        <f>-SUMIFS('01_異動主檔'!$F:$F,'01_異動主檔'!$B:$B,122,'01_異動主檔'!$D:$D,A676,'01_異動主檔'!$E:$E,"移出")</f>
        <v/>
      </c>
      <c r="F676" s="4">
        <f>SUMIFS('01_異動主檔'!$F:$F,'01_異動主檔'!$B:$B,122,'01_異動主檔'!$D:$D,A676,'01_異動主檔'!$E:$E,"新增")</f>
        <v/>
      </c>
      <c r="G676" s="4">
        <f>-SUMIFS('01_異動主檔'!$F:$F,'01_異動主檔'!$B:$B,122,'01_異動主檔'!$D:$D,A676,'01_異動主檔'!$E:$E,"減列")</f>
        <v/>
      </c>
      <c r="H676" s="4">
        <f>-SUMIFS('01_異動主檔'!$F:$F,'01_異動主檔'!$B:$B,122,'01_異動主檔'!$D:$D,A676,'01_異動主檔'!$E:$E,"精簡")</f>
        <v/>
      </c>
      <c r="I676" s="8">
        <f>C676+D676+E676+F676+G676+H676</f>
        <v/>
      </c>
    </row>
    <row r="677" ht="18" customHeight="1">
      <c r="A677" s="3" t="inlineStr">
        <is>
          <t>綜合規劃科</t>
        </is>
      </c>
      <c r="B677" s="4" t="n">
        <v>123</v>
      </c>
      <c r="C677" s="8">
        <f>I676</f>
        <v/>
      </c>
      <c r="D677" s="4">
        <f>SUMIFS('01_異動主檔'!$F:$F,'01_異動主檔'!$B:$B,123,'01_異動主檔'!$D:$D,A677,'01_異動主檔'!$E:$E,"移入")</f>
        <v/>
      </c>
      <c r="E677" s="4">
        <f>-SUMIFS('01_異動主檔'!$F:$F,'01_異動主檔'!$B:$B,123,'01_異動主檔'!$D:$D,A677,'01_異動主檔'!$E:$E,"移出")</f>
        <v/>
      </c>
      <c r="F677" s="4">
        <f>SUMIFS('01_異動主檔'!$F:$F,'01_異動主檔'!$B:$B,123,'01_異動主檔'!$D:$D,A677,'01_異動主檔'!$E:$E,"新增")</f>
        <v/>
      </c>
      <c r="G677" s="4">
        <f>-SUMIFS('01_異動主檔'!$F:$F,'01_異動主檔'!$B:$B,123,'01_異動主檔'!$D:$D,A677,'01_異動主檔'!$E:$E,"減列")</f>
        <v/>
      </c>
      <c r="H677" s="4">
        <f>-SUMIFS('01_異動主檔'!$F:$F,'01_異動主檔'!$B:$B,123,'01_異動主檔'!$D:$D,A677,'01_異動主檔'!$E:$E,"精簡")</f>
        <v/>
      </c>
      <c r="I677" s="8">
        <f>C677+D677+E677+F677+G677+H677</f>
        <v/>
      </c>
    </row>
    <row r="678" ht="18" customHeight="1">
      <c r="A678" s="5" t="inlineStr">
        <is>
          <t>綜合規劃科</t>
        </is>
      </c>
      <c r="B678" s="6" t="n">
        <v>124</v>
      </c>
      <c r="C678" s="8">
        <f>I677</f>
        <v/>
      </c>
      <c r="D678" s="4">
        <f>SUMIFS('01_異動主檔'!$F:$F,'01_異動主檔'!$B:$B,124,'01_異動主檔'!$D:$D,A678,'01_異動主檔'!$E:$E,"移入")</f>
        <v/>
      </c>
      <c r="E678" s="4">
        <f>-SUMIFS('01_異動主檔'!$F:$F,'01_異動主檔'!$B:$B,124,'01_異動主檔'!$D:$D,A678,'01_異動主檔'!$E:$E,"移出")</f>
        <v/>
      </c>
      <c r="F678" s="4">
        <f>SUMIFS('01_異動主檔'!$F:$F,'01_異動主檔'!$B:$B,124,'01_異動主檔'!$D:$D,A678,'01_異動主檔'!$E:$E,"新增")</f>
        <v/>
      </c>
      <c r="G678" s="4">
        <f>-SUMIFS('01_異動主檔'!$F:$F,'01_異動主檔'!$B:$B,124,'01_異動主檔'!$D:$D,A678,'01_異動主檔'!$E:$E,"減列")</f>
        <v/>
      </c>
      <c r="H678" s="4">
        <f>-SUMIFS('01_異動主檔'!$F:$F,'01_異動主檔'!$B:$B,124,'01_異動主檔'!$D:$D,A678,'01_異動主檔'!$E:$E,"精簡")</f>
        <v/>
      </c>
      <c r="I678" s="8">
        <f>C678+D678+E678+F678+G678+H678</f>
        <v/>
      </c>
    </row>
    <row r="679" ht="18" customHeight="1">
      <c r="A679" s="3" t="inlineStr">
        <is>
          <t>綜合規劃科</t>
        </is>
      </c>
      <c r="B679" s="4" t="n">
        <v>125</v>
      </c>
      <c r="C679" s="8">
        <f>I678</f>
        <v/>
      </c>
      <c r="D679" s="4">
        <f>SUMIFS('01_異動主檔'!$F:$F,'01_異動主檔'!$B:$B,125,'01_異動主檔'!$D:$D,A679,'01_異動主檔'!$E:$E,"移入")</f>
        <v/>
      </c>
      <c r="E679" s="4">
        <f>-SUMIFS('01_異動主檔'!$F:$F,'01_異動主檔'!$B:$B,125,'01_異動主檔'!$D:$D,A679,'01_異動主檔'!$E:$E,"移出")</f>
        <v/>
      </c>
      <c r="F679" s="4">
        <f>SUMIFS('01_異動主檔'!$F:$F,'01_異動主檔'!$B:$B,125,'01_異動主檔'!$D:$D,A679,'01_異動主檔'!$E:$E,"新增")</f>
        <v/>
      </c>
      <c r="G679" s="4">
        <f>-SUMIFS('01_異動主檔'!$F:$F,'01_異動主檔'!$B:$B,125,'01_異動主檔'!$D:$D,A679,'01_異動主檔'!$E:$E,"減列")</f>
        <v/>
      </c>
      <c r="H679" s="4">
        <f>-SUMIFS('01_異動主檔'!$F:$F,'01_異動主檔'!$B:$B,125,'01_異動主檔'!$D:$D,A679,'01_異動主檔'!$E:$E,"精簡")</f>
        <v/>
      </c>
      <c r="I679" s="8">
        <f>C679+D679+E679+F679+G679+H679</f>
        <v/>
      </c>
    </row>
    <row r="680" ht="18" customHeight="1">
      <c r="A680" s="5" t="inlineStr">
        <is>
          <t>歲計科</t>
        </is>
      </c>
      <c r="B680" s="6" t="n">
        <v>99</v>
      </c>
      <c r="C680" s="8">
        <f>'02_年初員額設定'!B30</f>
        <v/>
      </c>
      <c r="D680" s="4">
        <f>SUMIFS('01_異動主檔'!$F:$F,'01_異動主檔'!$B:$B,99,'01_異動主檔'!$D:$D,A680,'01_異動主檔'!$E:$E,"移入")</f>
        <v/>
      </c>
      <c r="E680" s="4">
        <f>-SUMIFS('01_異動主檔'!$F:$F,'01_異動主檔'!$B:$B,99,'01_異動主檔'!$D:$D,A680,'01_異動主檔'!$E:$E,"移出")</f>
        <v/>
      </c>
      <c r="F680" s="4">
        <f>SUMIFS('01_異動主檔'!$F:$F,'01_異動主檔'!$B:$B,99,'01_異動主檔'!$D:$D,A680,'01_異動主檔'!$E:$E,"新增")</f>
        <v/>
      </c>
      <c r="G680" s="4">
        <f>-SUMIFS('01_異動主檔'!$F:$F,'01_異動主檔'!$B:$B,99,'01_異動主檔'!$D:$D,A680,'01_異動主檔'!$E:$E,"減列")</f>
        <v/>
      </c>
      <c r="H680" s="4">
        <f>-SUMIFS('01_異動主檔'!$F:$F,'01_異動主檔'!$B:$B,99,'01_異動主檔'!$D:$D,A680,'01_異動主檔'!$E:$E,"精簡")</f>
        <v/>
      </c>
      <c r="I680" s="8">
        <f>C680+D680+E680+F680+G680+H680</f>
        <v/>
      </c>
    </row>
    <row r="681" ht="18" customHeight="1">
      <c r="A681" s="3" t="inlineStr">
        <is>
          <t>歲計科</t>
        </is>
      </c>
      <c r="B681" s="4" t="n">
        <v>100</v>
      </c>
      <c r="C681" s="8">
        <f>I680</f>
        <v/>
      </c>
      <c r="D681" s="4">
        <f>SUMIFS('01_異動主檔'!$F:$F,'01_異動主檔'!$B:$B,100,'01_異動主檔'!$D:$D,A681,'01_異動主檔'!$E:$E,"移入")</f>
        <v/>
      </c>
      <c r="E681" s="4">
        <f>-SUMIFS('01_異動主檔'!$F:$F,'01_異動主檔'!$B:$B,100,'01_異動主檔'!$D:$D,A681,'01_異動主檔'!$E:$E,"移出")</f>
        <v/>
      </c>
      <c r="F681" s="4">
        <f>SUMIFS('01_異動主檔'!$F:$F,'01_異動主檔'!$B:$B,100,'01_異動主檔'!$D:$D,A681,'01_異動主檔'!$E:$E,"新增")</f>
        <v/>
      </c>
      <c r="G681" s="4">
        <f>-SUMIFS('01_異動主檔'!$F:$F,'01_異動主檔'!$B:$B,100,'01_異動主檔'!$D:$D,A681,'01_異動主檔'!$E:$E,"減列")</f>
        <v/>
      </c>
      <c r="H681" s="4">
        <f>-SUMIFS('01_異動主檔'!$F:$F,'01_異動主檔'!$B:$B,100,'01_異動主檔'!$D:$D,A681,'01_異動主檔'!$E:$E,"精簡")</f>
        <v/>
      </c>
      <c r="I681" s="8">
        <f>C681+D681+E681+F681+G681+H681</f>
        <v/>
      </c>
    </row>
    <row r="682" ht="18" customHeight="1">
      <c r="A682" s="5" t="inlineStr">
        <is>
          <t>歲計科</t>
        </is>
      </c>
      <c r="B682" s="6" t="n">
        <v>101</v>
      </c>
      <c r="C682" s="8">
        <f>I681</f>
        <v/>
      </c>
      <c r="D682" s="4">
        <f>SUMIFS('01_異動主檔'!$F:$F,'01_異動主檔'!$B:$B,101,'01_異動主檔'!$D:$D,A682,'01_異動主檔'!$E:$E,"移入")</f>
        <v/>
      </c>
      <c r="E682" s="4">
        <f>-SUMIFS('01_異動主檔'!$F:$F,'01_異動主檔'!$B:$B,101,'01_異動主檔'!$D:$D,A682,'01_異動主檔'!$E:$E,"移出")</f>
        <v/>
      </c>
      <c r="F682" s="4">
        <f>SUMIFS('01_異動主檔'!$F:$F,'01_異動主檔'!$B:$B,101,'01_異動主檔'!$D:$D,A682,'01_異動主檔'!$E:$E,"新增")</f>
        <v/>
      </c>
      <c r="G682" s="4">
        <f>-SUMIFS('01_異動主檔'!$F:$F,'01_異動主檔'!$B:$B,101,'01_異動主檔'!$D:$D,A682,'01_異動主檔'!$E:$E,"減列")</f>
        <v/>
      </c>
      <c r="H682" s="4">
        <f>-SUMIFS('01_異動主檔'!$F:$F,'01_異動主檔'!$B:$B,101,'01_異動主檔'!$D:$D,A682,'01_異動主檔'!$E:$E,"精簡")</f>
        <v/>
      </c>
      <c r="I682" s="8">
        <f>C682+D682+E682+F682+G682+H682</f>
        <v/>
      </c>
    </row>
    <row r="683" ht="18" customHeight="1">
      <c r="A683" s="3" t="inlineStr">
        <is>
          <t>歲計科</t>
        </is>
      </c>
      <c r="B683" s="4" t="n">
        <v>102</v>
      </c>
      <c r="C683" s="8">
        <f>I682</f>
        <v/>
      </c>
      <c r="D683" s="4">
        <f>SUMIFS('01_異動主檔'!$F:$F,'01_異動主檔'!$B:$B,102,'01_異動主檔'!$D:$D,A683,'01_異動主檔'!$E:$E,"移入")</f>
        <v/>
      </c>
      <c r="E683" s="4">
        <f>-SUMIFS('01_異動主檔'!$F:$F,'01_異動主檔'!$B:$B,102,'01_異動主檔'!$D:$D,A683,'01_異動主檔'!$E:$E,"移出")</f>
        <v/>
      </c>
      <c r="F683" s="4">
        <f>SUMIFS('01_異動主檔'!$F:$F,'01_異動主檔'!$B:$B,102,'01_異動主檔'!$D:$D,A683,'01_異動主檔'!$E:$E,"新增")</f>
        <v/>
      </c>
      <c r="G683" s="4">
        <f>-SUMIFS('01_異動主檔'!$F:$F,'01_異動主檔'!$B:$B,102,'01_異動主檔'!$D:$D,A683,'01_異動主檔'!$E:$E,"減列")</f>
        <v/>
      </c>
      <c r="H683" s="4">
        <f>-SUMIFS('01_異動主檔'!$F:$F,'01_異動主檔'!$B:$B,102,'01_異動主檔'!$D:$D,A683,'01_異動主檔'!$E:$E,"精簡")</f>
        <v/>
      </c>
      <c r="I683" s="8">
        <f>C683+D683+E683+F683+G683+H683</f>
        <v/>
      </c>
    </row>
    <row r="684" ht="18" customHeight="1">
      <c r="A684" s="5" t="inlineStr">
        <is>
          <t>歲計科</t>
        </is>
      </c>
      <c r="B684" s="6" t="n">
        <v>103</v>
      </c>
      <c r="C684" s="8">
        <f>I683</f>
        <v/>
      </c>
      <c r="D684" s="4">
        <f>SUMIFS('01_異動主檔'!$F:$F,'01_異動主檔'!$B:$B,103,'01_異動主檔'!$D:$D,A684,'01_異動主檔'!$E:$E,"移入")</f>
        <v/>
      </c>
      <c r="E684" s="4">
        <f>-SUMIFS('01_異動主檔'!$F:$F,'01_異動主檔'!$B:$B,103,'01_異動主檔'!$D:$D,A684,'01_異動主檔'!$E:$E,"移出")</f>
        <v/>
      </c>
      <c r="F684" s="4">
        <f>SUMIFS('01_異動主檔'!$F:$F,'01_異動主檔'!$B:$B,103,'01_異動主檔'!$D:$D,A684,'01_異動主檔'!$E:$E,"新增")</f>
        <v/>
      </c>
      <c r="G684" s="4">
        <f>-SUMIFS('01_異動主檔'!$F:$F,'01_異動主檔'!$B:$B,103,'01_異動主檔'!$D:$D,A684,'01_異動主檔'!$E:$E,"減列")</f>
        <v/>
      </c>
      <c r="H684" s="4">
        <f>-SUMIFS('01_異動主檔'!$F:$F,'01_異動主檔'!$B:$B,103,'01_異動主檔'!$D:$D,A684,'01_異動主檔'!$E:$E,"精簡")</f>
        <v/>
      </c>
      <c r="I684" s="8">
        <f>C684+D684+E684+F684+G684+H684</f>
        <v/>
      </c>
    </row>
    <row r="685" ht="18" customHeight="1">
      <c r="A685" s="3" t="inlineStr">
        <is>
          <t>歲計科</t>
        </is>
      </c>
      <c r="B685" s="4" t="n">
        <v>104</v>
      </c>
      <c r="C685" s="8">
        <f>I684</f>
        <v/>
      </c>
      <c r="D685" s="4">
        <f>SUMIFS('01_異動主檔'!$F:$F,'01_異動主檔'!$B:$B,104,'01_異動主檔'!$D:$D,A685,'01_異動主檔'!$E:$E,"移入")</f>
        <v/>
      </c>
      <c r="E685" s="4">
        <f>-SUMIFS('01_異動主檔'!$F:$F,'01_異動主檔'!$B:$B,104,'01_異動主檔'!$D:$D,A685,'01_異動主檔'!$E:$E,"移出")</f>
        <v/>
      </c>
      <c r="F685" s="4">
        <f>SUMIFS('01_異動主檔'!$F:$F,'01_異動主檔'!$B:$B,104,'01_異動主檔'!$D:$D,A685,'01_異動主檔'!$E:$E,"新增")</f>
        <v/>
      </c>
      <c r="G685" s="4">
        <f>-SUMIFS('01_異動主檔'!$F:$F,'01_異動主檔'!$B:$B,104,'01_異動主檔'!$D:$D,A685,'01_異動主檔'!$E:$E,"減列")</f>
        <v/>
      </c>
      <c r="H685" s="4">
        <f>-SUMIFS('01_異動主檔'!$F:$F,'01_異動主檔'!$B:$B,104,'01_異動主檔'!$D:$D,A685,'01_異動主檔'!$E:$E,"精簡")</f>
        <v/>
      </c>
      <c r="I685" s="8">
        <f>C685+D685+E685+F685+G685+H685</f>
        <v/>
      </c>
    </row>
    <row r="686" ht="18" customHeight="1">
      <c r="A686" s="5" t="inlineStr">
        <is>
          <t>歲計科</t>
        </is>
      </c>
      <c r="B686" s="6" t="n">
        <v>105</v>
      </c>
      <c r="C686" s="8">
        <f>I685</f>
        <v/>
      </c>
      <c r="D686" s="4">
        <f>SUMIFS('01_異動主檔'!$F:$F,'01_異動主檔'!$B:$B,105,'01_異動主檔'!$D:$D,A686,'01_異動主檔'!$E:$E,"移入")</f>
        <v/>
      </c>
      <c r="E686" s="4">
        <f>-SUMIFS('01_異動主檔'!$F:$F,'01_異動主檔'!$B:$B,105,'01_異動主檔'!$D:$D,A686,'01_異動主檔'!$E:$E,"移出")</f>
        <v/>
      </c>
      <c r="F686" s="4">
        <f>SUMIFS('01_異動主檔'!$F:$F,'01_異動主檔'!$B:$B,105,'01_異動主檔'!$D:$D,A686,'01_異動主檔'!$E:$E,"新增")</f>
        <v/>
      </c>
      <c r="G686" s="4">
        <f>-SUMIFS('01_異動主檔'!$F:$F,'01_異動主檔'!$B:$B,105,'01_異動主檔'!$D:$D,A686,'01_異動主檔'!$E:$E,"減列")</f>
        <v/>
      </c>
      <c r="H686" s="4">
        <f>-SUMIFS('01_異動主檔'!$F:$F,'01_異動主檔'!$B:$B,105,'01_異動主檔'!$D:$D,A686,'01_異動主檔'!$E:$E,"精簡")</f>
        <v/>
      </c>
      <c r="I686" s="8">
        <f>C686+D686+E686+F686+G686+H686</f>
        <v/>
      </c>
    </row>
    <row r="687" ht="18" customHeight="1">
      <c r="A687" s="3" t="inlineStr">
        <is>
          <t>歲計科</t>
        </is>
      </c>
      <c r="B687" s="4" t="n">
        <v>106</v>
      </c>
      <c r="C687" s="8">
        <f>I686</f>
        <v/>
      </c>
      <c r="D687" s="4">
        <f>SUMIFS('01_異動主檔'!$F:$F,'01_異動主檔'!$B:$B,106,'01_異動主檔'!$D:$D,A687,'01_異動主檔'!$E:$E,"移入")</f>
        <v/>
      </c>
      <c r="E687" s="4">
        <f>-SUMIFS('01_異動主檔'!$F:$F,'01_異動主檔'!$B:$B,106,'01_異動主檔'!$D:$D,A687,'01_異動主檔'!$E:$E,"移出")</f>
        <v/>
      </c>
      <c r="F687" s="4">
        <f>SUMIFS('01_異動主檔'!$F:$F,'01_異動主檔'!$B:$B,106,'01_異動主檔'!$D:$D,A687,'01_異動主檔'!$E:$E,"新增")</f>
        <v/>
      </c>
      <c r="G687" s="4">
        <f>-SUMIFS('01_異動主檔'!$F:$F,'01_異動主檔'!$B:$B,106,'01_異動主檔'!$D:$D,A687,'01_異動主檔'!$E:$E,"減列")</f>
        <v/>
      </c>
      <c r="H687" s="4">
        <f>-SUMIFS('01_異動主檔'!$F:$F,'01_異動主檔'!$B:$B,106,'01_異動主檔'!$D:$D,A687,'01_異動主檔'!$E:$E,"精簡")</f>
        <v/>
      </c>
      <c r="I687" s="8">
        <f>C687+D687+E687+F687+G687+H687</f>
        <v/>
      </c>
    </row>
    <row r="688" ht="18" customHeight="1">
      <c r="A688" s="5" t="inlineStr">
        <is>
          <t>歲計科</t>
        </is>
      </c>
      <c r="B688" s="6" t="n">
        <v>107</v>
      </c>
      <c r="C688" s="8">
        <f>I687</f>
        <v/>
      </c>
      <c r="D688" s="4">
        <f>SUMIFS('01_異動主檔'!$F:$F,'01_異動主檔'!$B:$B,107,'01_異動主檔'!$D:$D,A688,'01_異動主檔'!$E:$E,"移入")</f>
        <v/>
      </c>
      <c r="E688" s="4">
        <f>-SUMIFS('01_異動主檔'!$F:$F,'01_異動主檔'!$B:$B,107,'01_異動主檔'!$D:$D,A688,'01_異動主檔'!$E:$E,"移出")</f>
        <v/>
      </c>
      <c r="F688" s="4">
        <f>SUMIFS('01_異動主檔'!$F:$F,'01_異動主檔'!$B:$B,107,'01_異動主檔'!$D:$D,A688,'01_異動主檔'!$E:$E,"新增")</f>
        <v/>
      </c>
      <c r="G688" s="4">
        <f>-SUMIFS('01_異動主檔'!$F:$F,'01_異動主檔'!$B:$B,107,'01_異動主檔'!$D:$D,A688,'01_異動主檔'!$E:$E,"減列")</f>
        <v/>
      </c>
      <c r="H688" s="4">
        <f>-SUMIFS('01_異動主檔'!$F:$F,'01_異動主檔'!$B:$B,107,'01_異動主檔'!$D:$D,A688,'01_異動主檔'!$E:$E,"精簡")</f>
        <v/>
      </c>
      <c r="I688" s="8">
        <f>C688+D688+E688+F688+G688+H688</f>
        <v/>
      </c>
    </row>
    <row r="689" ht="18" customHeight="1">
      <c r="A689" s="3" t="inlineStr">
        <is>
          <t>歲計科</t>
        </is>
      </c>
      <c r="B689" s="4" t="n">
        <v>108</v>
      </c>
      <c r="C689" s="8">
        <f>I688</f>
        <v/>
      </c>
      <c r="D689" s="4">
        <f>SUMIFS('01_異動主檔'!$F:$F,'01_異動主檔'!$B:$B,108,'01_異動主檔'!$D:$D,A689,'01_異動主檔'!$E:$E,"移入")</f>
        <v/>
      </c>
      <c r="E689" s="4">
        <f>-SUMIFS('01_異動主檔'!$F:$F,'01_異動主檔'!$B:$B,108,'01_異動主檔'!$D:$D,A689,'01_異動主檔'!$E:$E,"移出")</f>
        <v/>
      </c>
      <c r="F689" s="4">
        <f>SUMIFS('01_異動主檔'!$F:$F,'01_異動主檔'!$B:$B,108,'01_異動主檔'!$D:$D,A689,'01_異動主檔'!$E:$E,"新增")</f>
        <v/>
      </c>
      <c r="G689" s="4">
        <f>-SUMIFS('01_異動主檔'!$F:$F,'01_異動主檔'!$B:$B,108,'01_異動主檔'!$D:$D,A689,'01_異動主檔'!$E:$E,"減列")</f>
        <v/>
      </c>
      <c r="H689" s="4">
        <f>-SUMIFS('01_異動主檔'!$F:$F,'01_異動主檔'!$B:$B,108,'01_異動主檔'!$D:$D,A689,'01_異動主檔'!$E:$E,"精簡")</f>
        <v/>
      </c>
      <c r="I689" s="8">
        <f>C689+D689+E689+F689+G689+H689</f>
        <v/>
      </c>
    </row>
    <row r="690" ht="18" customHeight="1">
      <c r="A690" s="5" t="inlineStr">
        <is>
          <t>歲計科</t>
        </is>
      </c>
      <c r="B690" s="6" t="n">
        <v>109</v>
      </c>
      <c r="C690" s="8">
        <f>I689</f>
        <v/>
      </c>
      <c r="D690" s="4">
        <f>SUMIFS('01_異動主檔'!$F:$F,'01_異動主檔'!$B:$B,109,'01_異動主檔'!$D:$D,A690,'01_異動主檔'!$E:$E,"移入")</f>
        <v/>
      </c>
      <c r="E690" s="4">
        <f>-SUMIFS('01_異動主檔'!$F:$F,'01_異動主檔'!$B:$B,109,'01_異動主檔'!$D:$D,A690,'01_異動主檔'!$E:$E,"移出")</f>
        <v/>
      </c>
      <c r="F690" s="4">
        <f>SUMIFS('01_異動主檔'!$F:$F,'01_異動主檔'!$B:$B,109,'01_異動主檔'!$D:$D,A690,'01_異動主檔'!$E:$E,"新增")</f>
        <v/>
      </c>
      <c r="G690" s="4">
        <f>-SUMIFS('01_異動主檔'!$F:$F,'01_異動主檔'!$B:$B,109,'01_異動主檔'!$D:$D,A690,'01_異動主檔'!$E:$E,"減列")</f>
        <v/>
      </c>
      <c r="H690" s="4">
        <f>-SUMIFS('01_異動主檔'!$F:$F,'01_異動主檔'!$B:$B,109,'01_異動主檔'!$D:$D,A690,'01_異動主檔'!$E:$E,"精簡")</f>
        <v/>
      </c>
      <c r="I690" s="8">
        <f>C690+D690+E690+F690+G690+H690</f>
        <v/>
      </c>
    </row>
    <row r="691" ht="18" customHeight="1">
      <c r="A691" s="3" t="inlineStr">
        <is>
          <t>歲計科</t>
        </is>
      </c>
      <c r="B691" s="4" t="n">
        <v>110</v>
      </c>
      <c r="C691" s="8">
        <f>I690</f>
        <v/>
      </c>
      <c r="D691" s="4">
        <f>SUMIFS('01_異動主檔'!$F:$F,'01_異動主檔'!$B:$B,110,'01_異動主檔'!$D:$D,A691,'01_異動主檔'!$E:$E,"移入")</f>
        <v/>
      </c>
      <c r="E691" s="4">
        <f>-SUMIFS('01_異動主檔'!$F:$F,'01_異動主檔'!$B:$B,110,'01_異動主檔'!$D:$D,A691,'01_異動主檔'!$E:$E,"移出")</f>
        <v/>
      </c>
      <c r="F691" s="4">
        <f>SUMIFS('01_異動主檔'!$F:$F,'01_異動主檔'!$B:$B,110,'01_異動主檔'!$D:$D,A691,'01_異動主檔'!$E:$E,"新增")</f>
        <v/>
      </c>
      <c r="G691" s="4">
        <f>-SUMIFS('01_異動主檔'!$F:$F,'01_異動主檔'!$B:$B,110,'01_異動主檔'!$D:$D,A691,'01_異動主檔'!$E:$E,"減列")</f>
        <v/>
      </c>
      <c r="H691" s="4">
        <f>-SUMIFS('01_異動主檔'!$F:$F,'01_異動主檔'!$B:$B,110,'01_異動主檔'!$D:$D,A691,'01_異動主檔'!$E:$E,"精簡")</f>
        <v/>
      </c>
      <c r="I691" s="8">
        <f>C691+D691+E691+F691+G691+H691</f>
        <v/>
      </c>
    </row>
    <row r="692" ht="18" customHeight="1">
      <c r="A692" s="5" t="inlineStr">
        <is>
          <t>歲計科</t>
        </is>
      </c>
      <c r="B692" s="6" t="n">
        <v>111</v>
      </c>
      <c r="C692" s="8">
        <f>I691</f>
        <v/>
      </c>
      <c r="D692" s="4">
        <f>SUMIFS('01_異動主檔'!$F:$F,'01_異動主檔'!$B:$B,111,'01_異動主檔'!$D:$D,A692,'01_異動主檔'!$E:$E,"移入")</f>
        <v/>
      </c>
      <c r="E692" s="4">
        <f>-SUMIFS('01_異動主檔'!$F:$F,'01_異動主檔'!$B:$B,111,'01_異動主檔'!$D:$D,A692,'01_異動主檔'!$E:$E,"移出")</f>
        <v/>
      </c>
      <c r="F692" s="4">
        <f>SUMIFS('01_異動主檔'!$F:$F,'01_異動主檔'!$B:$B,111,'01_異動主檔'!$D:$D,A692,'01_異動主檔'!$E:$E,"新增")</f>
        <v/>
      </c>
      <c r="G692" s="4">
        <f>-SUMIFS('01_異動主檔'!$F:$F,'01_異動主檔'!$B:$B,111,'01_異動主檔'!$D:$D,A692,'01_異動主檔'!$E:$E,"減列")</f>
        <v/>
      </c>
      <c r="H692" s="4">
        <f>-SUMIFS('01_異動主檔'!$F:$F,'01_異動主檔'!$B:$B,111,'01_異動主檔'!$D:$D,A692,'01_異動主檔'!$E:$E,"精簡")</f>
        <v/>
      </c>
      <c r="I692" s="8">
        <f>C692+D692+E692+F692+G692+H692</f>
        <v/>
      </c>
    </row>
    <row r="693" ht="18" customHeight="1">
      <c r="A693" s="3" t="inlineStr">
        <is>
          <t>歲計科</t>
        </is>
      </c>
      <c r="B693" s="4" t="n">
        <v>112</v>
      </c>
      <c r="C693" s="8">
        <f>I692</f>
        <v/>
      </c>
      <c r="D693" s="4">
        <f>SUMIFS('01_異動主檔'!$F:$F,'01_異動主檔'!$B:$B,112,'01_異動主檔'!$D:$D,A693,'01_異動主檔'!$E:$E,"移入")</f>
        <v/>
      </c>
      <c r="E693" s="4">
        <f>-SUMIFS('01_異動主檔'!$F:$F,'01_異動主檔'!$B:$B,112,'01_異動主檔'!$D:$D,A693,'01_異動主檔'!$E:$E,"移出")</f>
        <v/>
      </c>
      <c r="F693" s="4">
        <f>SUMIFS('01_異動主檔'!$F:$F,'01_異動主檔'!$B:$B,112,'01_異動主檔'!$D:$D,A693,'01_異動主檔'!$E:$E,"新增")</f>
        <v/>
      </c>
      <c r="G693" s="4">
        <f>-SUMIFS('01_異動主檔'!$F:$F,'01_異動主檔'!$B:$B,112,'01_異動主檔'!$D:$D,A693,'01_異動主檔'!$E:$E,"減列")</f>
        <v/>
      </c>
      <c r="H693" s="4">
        <f>-SUMIFS('01_異動主檔'!$F:$F,'01_異動主檔'!$B:$B,112,'01_異動主檔'!$D:$D,A693,'01_異動主檔'!$E:$E,"精簡")</f>
        <v/>
      </c>
      <c r="I693" s="8">
        <f>C693+D693+E693+F693+G693+H693</f>
        <v/>
      </c>
    </row>
    <row r="694" ht="18" customHeight="1">
      <c r="A694" s="5" t="inlineStr">
        <is>
          <t>歲計科</t>
        </is>
      </c>
      <c r="B694" s="6" t="n">
        <v>113</v>
      </c>
      <c r="C694" s="8">
        <f>I693</f>
        <v/>
      </c>
      <c r="D694" s="4">
        <f>SUMIFS('01_異動主檔'!$F:$F,'01_異動主檔'!$B:$B,113,'01_異動主檔'!$D:$D,A694,'01_異動主檔'!$E:$E,"移入")</f>
        <v/>
      </c>
      <c r="E694" s="4">
        <f>-SUMIFS('01_異動主檔'!$F:$F,'01_異動主檔'!$B:$B,113,'01_異動主檔'!$D:$D,A694,'01_異動主檔'!$E:$E,"移出")</f>
        <v/>
      </c>
      <c r="F694" s="4">
        <f>SUMIFS('01_異動主檔'!$F:$F,'01_異動主檔'!$B:$B,113,'01_異動主檔'!$D:$D,A694,'01_異動主檔'!$E:$E,"新增")</f>
        <v/>
      </c>
      <c r="G694" s="4">
        <f>-SUMIFS('01_異動主檔'!$F:$F,'01_異動主檔'!$B:$B,113,'01_異動主檔'!$D:$D,A694,'01_異動主檔'!$E:$E,"減列")</f>
        <v/>
      </c>
      <c r="H694" s="4">
        <f>-SUMIFS('01_異動主檔'!$F:$F,'01_異動主檔'!$B:$B,113,'01_異動主檔'!$D:$D,A694,'01_異動主檔'!$E:$E,"精簡")</f>
        <v/>
      </c>
      <c r="I694" s="8">
        <f>C694+D694+E694+F694+G694+H694</f>
        <v/>
      </c>
    </row>
    <row r="695" ht="18" customHeight="1">
      <c r="A695" s="3" t="inlineStr">
        <is>
          <t>歲計科</t>
        </is>
      </c>
      <c r="B695" s="4" t="n">
        <v>114</v>
      </c>
      <c r="C695" s="8">
        <f>I694</f>
        <v/>
      </c>
      <c r="D695" s="4">
        <f>SUMIFS('01_異動主檔'!$F:$F,'01_異動主檔'!$B:$B,114,'01_異動主檔'!$D:$D,A695,'01_異動主檔'!$E:$E,"移入")</f>
        <v/>
      </c>
      <c r="E695" s="4">
        <f>-SUMIFS('01_異動主檔'!$F:$F,'01_異動主檔'!$B:$B,114,'01_異動主檔'!$D:$D,A695,'01_異動主檔'!$E:$E,"移出")</f>
        <v/>
      </c>
      <c r="F695" s="4">
        <f>SUMIFS('01_異動主檔'!$F:$F,'01_異動主檔'!$B:$B,114,'01_異動主檔'!$D:$D,A695,'01_異動主檔'!$E:$E,"新增")</f>
        <v/>
      </c>
      <c r="G695" s="4">
        <f>-SUMIFS('01_異動主檔'!$F:$F,'01_異動主檔'!$B:$B,114,'01_異動主檔'!$D:$D,A695,'01_異動主檔'!$E:$E,"減列")</f>
        <v/>
      </c>
      <c r="H695" s="4">
        <f>-SUMIFS('01_異動主檔'!$F:$F,'01_異動主檔'!$B:$B,114,'01_異動主檔'!$D:$D,A695,'01_異動主檔'!$E:$E,"精簡")</f>
        <v/>
      </c>
      <c r="I695" s="8">
        <f>C695+D695+E695+F695+G695+H695</f>
        <v/>
      </c>
    </row>
    <row r="696" ht="18" customHeight="1">
      <c r="A696" s="5" t="inlineStr">
        <is>
          <t>歲計科</t>
        </is>
      </c>
      <c r="B696" s="6" t="n">
        <v>115</v>
      </c>
      <c r="C696" s="8">
        <f>I695</f>
        <v/>
      </c>
      <c r="D696" s="4">
        <f>SUMIFS('01_異動主檔'!$F:$F,'01_異動主檔'!$B:$B,115,'01_異動主檔'!$D:$D,A696,'01_異動主檔'!$E:$E,"移入")</f>
        <v/>
      </c>
      <c r="E696" s="4">
        <f>-SUMIFS('01_異動主檔'!$F:$F,'01_異動主檔'!$B:$B,115,'01_異動主檔'!$D:$D,A696,'01_異動主檔'!$E:$E,"移出")</f>
        <v/>
      </c>
      <c r="F696" s="4">
        <f>SUMIFS('01_異動主檔'!$F:$F,'01_異動主檔'!$B:$B,115,'01_異動主檔'!$D:$D,A696,'01_異動主檔'!$E:$E,"新增")</f>
        <v/>
      </c>
      <c r="G696" s="4">
        <f>-SUMIFS('01_異動主檔'!$F:$F,'01_異動主檔'!$B:$B,115,'01_異動主檔'!$D:$D,A696,'01_異動主檔'!$E:$E,"減列")</f>
        <v/>
      </c>
      <c r="H696" s="4">
        <f>-SUMIFS('01_異動主檔'!$F:$F,'01_異動主檔'!$B:$B,115,'01_異動主檔'!$D:$D,A696,'01_異動主檔'!$E:$E,"精簡")</f>
        <v/>
      </c>
      <c r="I696" s="8">
        <f>C696+D696+E696+F696+G696+H696</f>
        <v/>
      </c>
    </row>
    <row r="697" ht="18" customHeight="1">
      <c r="A697" s="3" t="inlineStr">
        <is>
          <t>歲計科</t>
        </is>
      </c>
      <c r="B697" s="4" t="n">
        <v>116</v>
      </c>
      <c r="C697" s="8">
        <f>I696</f>
        <v/>
      </c>
      <c r="D697" s="4">
        <f>SUMIFS('01_異動主檔'!$F:$F,'01_異動主檔'!$B:$B,116,'01_異動主檔'!$D:$D,A697,'01_異動主檔'!$E:$E,"移入")</f>
        <v/>
      </c>
      <c r="E697" s="4">
        <f>-SUMIFS('01_異動主檔'!$F:$F,'01_異動主檔'!$B:$B,116,'01_異動主檔'!$D:$D,A697,'01_異動主檔'!$E:$E,"移出")</f>
        <v/>
      </c>
      <c r="F697" s="4">
        <f>SUMIFS('01_異動主檔'!$F:$F,'01_異動主檔'!$B:$B,116,'01_異動主檔'!$D:$D,A697,'01_異動主檔'!$E:$E,"新增")</f>
        <v/>
      </c>
      <c r="G697" s="4">
        <f>-SUMIFS('01_異動主檔'!$F:$F,'01_異動主檔'!$B:$B,116,'01_異動主檔'!$D:$D,A697,'01_異動主檔'!$E:$E,"減列")</f>
        <v/>
      </c>
      <c r="H697" s="4">
        <f>-SUMIFS('01_異動主檔'!$F:$F,'01_異動主檔'!$B:$B,116,'01_異動主檔'!$D:$D,A697,'01_異動主檔'!$E:$E,"精簡")</f>
        <v/>
      </c>
      <c r="I697" s="8">
        <f>C697+D697+E697+F697+G697+H697</f>
        <v/>
      </c>
    </row>
    <row r="698" ht="18" customHeight="1">
      <c r="A698" s="5" t="inlineStr">
        <is>
          <t>歲計科</t>
        </is>
      </c>
      <c r="B698" s="6" t="n">
        <v>117</v>
      </c>
      <c r="C698" s="8">
        <f>I697</f>
        <v/>
      </c>
      <c r="D698" s="4">
        <f>SUMIFS('01_異動主檔'!$F:$F,'01_異動主檔'!$B:$B,117,'01_異動主檔'!$D:$D,A698,'01_異動主檔'!$E:$E,"移入")</f>
        <v/>
      </c>
      <c r="E698" s="4">
        <f>-SUMIFS('01_異動主檔'!$F:$F,'01_異動主檔'!$B:$B,117,'01_異動主檔'!$D:$D,A698,'01_異動主檔'!$E:$E,"移出")</f>
        <v/>
      </c>
      <c r="F698" s="4">
        <f>SUMIFS('01_異動主檔'!$F:$F,'01_異動主檔'!$B:$B,117,'01_異動主檔'!$D:$D,A698,'01_異動主檔'!$E:$E,"新增")</f>
        <v/>
      </c>
      <c r="G698" s="4">
        <f>-SUMIFS('01_異動主檔'!$F:$F,'01_異動主檔'!$B:$B,117,'01_異動主檔'!$D:$D,A698,'01_異動主檔'!$E:$E,"減列")</f>
        <v/>
      </c>
      <c r="H698" s="4">
        <f>-SUMIFS('01_異動主檔'!$F:$F,'01_異動主檔'!$B:$B,117,'01_異動主檔'!$D:$D,A698,'01_異動主檔'!$E:$E,"精簡")</f>
        <v/>
      </c>
      <c r="I698" s="8">
        <f>C698+D698+E698+F698+G698+H698</f>
        <v/>
      </c>
    </row>
    <row r="699" ht="18" customHeight="1">
      <c r="A699" s="3" t="inlineStr">
        <is>
          <t>歲計科</t>
        </is>
      </c>
      <c r="B699" s="4" t="n">
        <v>118</v>
      </c>
      <c r="C699" s="8">
        <f>I698</f>
        <v/>
      </c>
      <c r="D699" s="4">
        <f>SUMIFS('01_異動主檔'!$F:$F,'01_異動主檔'!$B:$B,118,'01_異動主檔'!$D:$D,A699,'01_異動主檔'!$E:$E,"移入")</f>
        <v/>
      </c>
      <c r="E699" s="4">
        <f>-SUMIFS('01_異動主檔'!$F:$F,'01_異動主檔'!$B:$B,118,'01_異動主檔'!$D:$D,A699,'01_異動主檔'!$E:$E,"移出")</f>
        <v/>
      </c>
      <c r="F699" s="4">
        <f>SUMIFS('01_異動主檔'!$F:$F,'01_異動主檔'!$B:$B,118,'01_異動主檔'!$D:$D,A699,'01_異動主檔'!$E:$E,"新增")</f>
        <v/>
      </c>
      <c r="G699" s="4">
        <f>-SUMIFS('01_異動主檔'!$F:$F,'01_異動主檔'!$B:$B,118,'01_異動主檔'!$D:$D,A699,'01_異動主檔'!$E:$E,"減列")</f>
        <v/>
      </c>
      <c r="H699" s="4">
        <f>-SUMIFS('01_異動主檔'!$F:$F,'01_異動主檔'!$B:$B,118,'01_異動主檔'!$D:$D,A699,'01_異動主檔'!$E:$E,"精簡")</f>
        <v/>
      </c>
      <c r="I699" s="8">
        <f>C699+D699+E699+F699+G699+H699</f>
        <v/>
      </c>
    </row>
    <row r="700" ht="18" customHeight="1">
      <c r="A700" s="5" t="inlineStr">
        <is>
          <t>歲計科</t>
        </is>
      </c>
      <c r="B700" s="6" t="n">
        <v>119</v>
      </c>
      <c r="C700" s="8">
        <f>I699</f>
        <v/>
      </c>
      <c r="D700" s="4">
        <f>SUMIFS('01_異動主檔'!$F:$F,'01_異動主檔'!$B:$B,119,'01_異動主檔'!$D:$D,A700,'01_異動主檔'!$E:$E,"移入")</f>
        <v/>
      </c>
      <c r="E700" s="4">
        <f>-SUMIFS('01_異動主檔'!$F:$F,'01_異動主檔'!$B:$B,119,'01_異動主檔'!$D:$D,A700,'01_異動主檔'!$E:$E,"移出")</f>
        <v/>
      </c>
      <c r="F700" s="4">
        <f>SUMIFS('01_異動主檔'!$F:$F,'01_異動主檔'!$B:$B,119,'01_異動主檔'!$D:$D,A700,'01_異動主檔'!$E:$E,"新增")</f>
        <v/>
      </c>
      <c r="G700" s="4">
        <f>-SUMIFS('01_異動主檔'!$F:$F,'01_異動主檔'!$B:$B,119,'01_異動主檔'!$D:$D,A700,'01_異動主檔'!$E:$E,"減列")</f>
        <v/>
      </c>
      <c r="H700" s="4">
        <f>-SUMIFS('01_異動主檔'!$F:$F,'01_異動主檔'!$B:$B,119,'01_異動主檔'!$D:$D,A700,'01_異動主檔'!$E:$E,"精簡")</f>
        <v/>
      </c>
      <c r="I700" s="8">
        <f>C700+D700+E700+F700+G700+H700</f>
        <v/>
      </c>
    </row>
    <row r="701" ht="18" customHeight="1">
      <c r="A701" s="3" t="inlineStr">
        <is>
          <t>歲計科</t>
        </is>
      </c>
      <c r="B701" s="4" t="n">
        <v>120</v>
      </c>
      <c r="C701" s="8">
        <f>I700</f>
        <v/>
      </c>
      <c r="D701" s="4">
        <f>SUMIFS('01_異動主檔'!$F:$F,'01_異動主檔'!$B:$B,120,'01_異動主檔'!$D:$D,A701,'01_異動主檔'!$E:$E,"移入")</f>
        <v/>
      </c>
      <c r="E701" s="4">
        <f>-SUMIFS('01_異動主檔'!$F:$F,'01_異動主檔'!$B:$B,120,'01_異動主檔'!$D:$D,A701,'01_異動主檔'!$E:$E,"移出")</f>
        <v/>
      </c>
      <c r="F701" s="4">
        <f>SUMIFS('01_異動主檔'!$F:$F,'01_異動主檔'!$B:$B,120,'01_異動主檔'!$D:$D,A701,'01_異動主檔'!$E:$E,"新增")</f>
        <v/>
      </c>
      <c r="G701" s="4">
        <f>-SUMIFS('01_異動主檔'!$F:$F,'01_異動主檔'!$B:$B,120,'01_異動主檔'!$D:$D,A701,'01_異動主檔'!$E:$E,"減列")</f>
        <v/>
      </c>
      <c r="H701" s="4">
        <f>-SUMIFS('01_異動主檔'!$F:$F,'01_異動主檔'!$B:$B,120,'01_異動主檔'!$D:$D,A701,'01_異動主檔'!$E:$E,"精簡")</f>
        <v/>
      </c>
      <c r="I701" s="8">
        <f>C701+D701+E701+F701+G701+H701</f>
        <v/>
      </c>
    </row>
    <row r="702" ht="18" customHeight="1">
      <c r="A702" s="5" t="inlineStr">
        <is>
          <t>歲計科</t>
        </is>
      </c>
      <c r="B702" s="6" t="n">
        <v>121</v>
      </c>
      <c r="C702" s="8">
        <f>I701</f>
        <v/>
      </c>
      <c r="D702" s="4">
        <f>SUMIFS('01_異動主檔'!$F:$F,'01_異動主檔'!$B:$B,121,'01_異動主檔'!$D:$D,A702,'01_異動主檔'!$E:$E,"移入")</f>
        <v/>
      </c>
      <c r="E702" s="4">
        <f>-SUMIFS('01_異動主檔'!$F:$F,'01_異動主檔'!$B:$B,121,'01_異動主檔'!$D:$D,A702,'01_異動主檔'!$E:$E,"移出")</f>
        <v/>
      </c>
      <c r="F702" s="4">
        <f>SUMIFS('01_異動主檔'!$F:$F,'01_異動主檔'!$B:$B,121,'01_異動主檔'!$D:$D,A702,'01_異動主檔'!$E:$E,"新增")</f>
        <v/>
      </c>
      <c r="G702" s="4">
        <f>-SUMIFS('01_異動主檔'!$F:$F,'01_異動主檔'!$B:$B,121,'01_異動主檔'!$D:$D,A702,'01_異動主檔'!$E:$E,"減列")</f>
        <v/>
      </c>
      <c r="H702" s="4">
        <f>-SUMIFS('01_異動主檔'!$F:$F,'01_異動主檔'!$B:$B,121,'01_異動主檔'!$D:$D,A702,'01_異動主檔'!$E:$E,"精簡")</f>
        <v/>
      </c>
      <c r="I702" s="8">
        <f>C702+D702+E702+F702+G702+H702</f>
        <v/>
      </c>
    </row>
    <row r="703" ht="18" customHeight="1">
      <c r="A703" s="3" t="inlineStr">
        <is>
          <t>歲計科</t>
        </is>
      </c>
      <c r="B703" s="4" t="n">
        <v>122</v>
      </c>
      <c r="C703" s="8">
        <f>I702</f>
        <v/>
      </c>
      <c r="D703" s="4">
        <f>SUMIFS('01_異動主檔'!$F:$F,'01_異動主檔'!$B:$B,122,'01_異動主檔'!$D:$D,A703,'01_異動主檔'!$E:$E,"移入")</f>
        <v/>
      </c>
      <c r="E703" s="4">
        <f>-SUMIFS('01_異動主檔'!$F:$F,'01_異動主檔'!$B:$B,122,'01_異動主檔'!$D:$D,A703,'01_異動主檔'!$E:$E,"移出")</f>
        <v/>
      </c>
      <c r="F703" s="4">
        <f>SUMIFS('01_異動主檔'!$F:$F,'01_異動主檔'!$B:$B,122,'01_異動主檔'!$D:$D,A703,'01_異動主檔'!$E:$E,"新增")</f>
        <v/>
      </c>
      <c r="G703" s="4">
        <f>-SUMIFS('01_異動主檔'!$F:$F,'01_異動主檔'!$B:$B,122,'01_異動主檔'!$D:$D,A703,'01_異動主檔'!$E:$E,"減列")</f>
        <v/>
      </c>
      <c r="H703" s="4">
        <f>-SUMIFS('01_異動主檔'!$F:$F,'01_異動主檔'!$B:$B,122,'01_異動主檔'!$D:$D,A703,'01_異動主檔'!$E:$E,"精簡")</f>
        <v/>
      </c>
      <c r="I703" s="8">
        <f>C703+D703+E703+F703+G703+H703</f>
        <v/>
      </c>
    </row>
    <row r="704" ht="18" customHeight="1">
      <c r="A704" s="5" t="inlineStr">
        <is>
          <t>歲計科</t>
        </is>
      </c>
      <c r="B704" s="6" t="n">
        <v>123</v>
      </c>
      <c r="C704" s="8">
        <f>I703</f>
        <v/>
      </c>
      <c r="D704" s="4">
        <f>SUMIFS('01_異動主檔'!$F:$F,'01_異動主檔'!$B:$B,123,'01_異動主檔'!$D:$D,A704,'01_異動主檔'!$E:$E,"移入")</f>
        <v/>
      </c>
      <c r="E704" s="4">
        <f>-SUMIFS('01_異動主檔'!$F:$F,'01_異動主檔'!$B:$B,123,'01_異動主檔'!$D:$D,A704,'01_異動主檔'!$E:$E,"移出")</f>
        <v/>
      </c>
      <c r="F704" s="4">
        <f>SUMIFS('01_異動主檔'!$F:$F,'01_異動主檔'!$B:$B,123,'01_異動主檔'!$D:$D,A704,'01_異動主檔'!$E:$E,"新增")</f>
        <v/>
      </c>
      <c r="G704" s="4">
        <f>-SUMIFS('01_異動主檔'!$F:$F,'01_異動主檔'!$B:$B,123,'01_異動主檔'!$D:$D,A704,'01_異動主檔'!$E:$E,"減列")</f>
        <v/>
      </c>
      <c r="H704" s="4">
        <f>-SUMIFS('01_異動主檔'!$F:$F,'01_異動主檔'!$B:$B,123,'01_異動主檔'!$D:$D,A704,'01_異動主檔'!$E:$E,"精簡")</f>
        <v/>
      </c>
      <c r="I704" s="8">
        <f>C704+D704+E704+F704+G704+H704</f>
        <v/>
      </c>
    </row>
    <row r="705" ht="18" customHeight="1">
      <c r="A705" s="3" t="inlineStr">
        <is>
          <t>歲計科</t>
        </is>
      </c>
      <c r="B705" s="4" t="n">
        <v>124</v>
      </c>
      <c r="C705" s="8">
        <f>I704</f>
        <v/>
      </c>
      <c r="D705" s="4">
        <f>SUMIFS('01_異動主檔'!$F:$F,'01_異動主檔'!$B:$B,124,'01_異動主檔'!$D:$D,A705,'01_異動主檔'!$E:$E,"移入")</f>
        <v/>
      </c>
      <c r="E705" s="4">
        <f>-SUMIFS('01_異動主檔'!$F:$F,'01_異動主檔'!$B:$B,124,'01_異動主檔'!$D:$D,A705,'01_異動主檔'!$E:$E,"移出")</f>
        <v/>
      </c>
      <c r="F705" s="4">
        <f>SUMIFS('01_異動主檔'!$F:$F,'01_異動主檔'!$B:$B,124,'01_異動主檔'!$D:$D,A705,'01_異動主檔'!$E:$E,"新增")</f>
        <v/>
      </c>
      <c r="G705" s="4">
        <f>-SUMIFS('01_異動主檔'!$F:$F,'01_異動主檔'!$B:$B,124,'01_異動主檔'!$D:$D,A705,'01_異動主檔'!$E:$E,"減列")</f>
        <v/>
      </c>
      <c r="H705" s="4">
        <f>-SUMIFS('01_異動主檔'!$F:$F,'01_異動主檔'!$B:$B,124,'01_異動主檔'!$D:$D,A705,'01_異動主檔'!$E:$E,"精簡")</f>
        <v/>
      </c>
      <c r="I705" s="8">
        <f>C705+D705+E705+F705+G705+H705</f>
        <v/>
      </c>
    </row>
    <row r="706" ht="18" customHeight="1">
      <c r="A706" s="5" t="inlineStr">
        <is>
          <t>歲計科</t>
        </is>
      </c>
      <c r="B706" s="6" t="n">
        <v>125</v>
      </c>
      <c r="C706" s="8">
        <f>I705</f>
        <v/>
      </c>
      <c r="D706" s="4">
        <f>SUMIFS('01_異動主檔'!$F:$F,'01_異動主檔'!$B:$B,125,'01_異動主檔'!$D:$D,A706,'01_異動主檔'!$E:$E,"移入")</f>
        <v/>
      </c>
      <c r="E706" s="4">
        <f>-SUMIFS('01_異動主檔'!$F:$F,'01_異動主檔'!$B:$B,125,'01_異動主檔'!$D:$D,A706,'01_異動主檔'!$E:$E,"移出")</f>
        <v/>
      </c>
      <c r="F706" s="4">
        <f>SUMIFS('01_異動主檔'!$F:$F,'01_異動主檔'!$B:$B,125,'01_異動主檔'!$D:$D,A706,'01_異動主檔'!$E:$E,"新增")</f>
        <v/>
      </c>
      <c r="G706" s="4">
        <f>-SUMIFS('01_異動主檔'!$F:$F,'01_異動主檔'!$B:$B,125,'01_異動主檔'!$D:$D,A706,'01_異動主檔'!$E:$E,"減列")</f>
        <v/>
      </c>
      <c r="H706" s="4">
        <f>-SUMIFS('01_異動主檔'!$F:$F,'01_異動主檔'!$B:$B,125,'01_異動主檔'!$D:$D,A706,'01_異動主檔'!$E:$E,"精簡")</f>
        <v/>
      </c>
      <c r="I706" s="8">
        <f>C706+D706+E706+F706+G706+H706</f>
        <v/>
      </c>
    </row>
    <row r="707" ht="18" customHeight="1">
      <c r="A707" s="3" t="inlineStr">
        <is>
          <t>統計科</t>
        </is>
      </c>
      <c r="B707" s="4" t="n">
        <v>99</v>
      </c>
      <c r="C707" s="8">
        <f>'02_年初員額設定'!B31</f>
        <v/>
      </c>
      <c r="D707" s="4">
        <f>SUMIFS('01_異動主檔'!$F:$F,'01_異動主檔'!$B:$B,99,'01_異動主檔'!$D:$D,A707,'01_異動主檔'!$E:$E,"移入")</f>
        <v/>
      </c>
      <c r="E707" s="4">
        <f>-SUMIFS('01_異動主檔'!$F:$F,'01_異動主檔'!$B:$B,99,'01_異動主檔'!$D:$D,A707,'01_異動主檔'!$E:$E,"移出")</f>
        <v/>
      </c>
      <c r="F707" s="4">
        <f>SUMIFS('01_異動主檔'!$F:$F,'01_異動主檔'!$B:$B,99,'01_異動主檔'!$D:$D,A707,'01_異動主檔'!$E:$E,"新增")</f>
        <v/>
      </c>
      <c r="G707" s="4">
        <f>-SUMIFS('01_異動主檔'!$F:$F,'01_異動主檔'!$B:$B,99,'01_異動主檔'!$D:$D,A707,'01_異動主檔'!$E:$E,"減列")</f>
        <v/>
      </c>
      <c r="H707" s="4">
        <f>-SUMIFS('01_異動主檔'!$F:$F,'01_異動主檔'!$B:$B,99,'01_異動主檔'!$D:$D,A707,'01_異動主檔'!$E:$E,"精簡")</f>
        <v/>
      </c>
      <c r="I707" s="8">
        <f>C707+D707+E707+F707+G707+H707</f>
        <v/>
      </c>
    </row>
    <row r="708" ht="18" customHeight="1">
      <c r="A708" s="5" t="inlineStr">
        <is>
          <t>統計科</t>
        </is>
      </c>
      <c r="B708" s="6" t="n">
        <v>100</v>
      </c>
      <c r="C708" s="8">
        <f>I707</f>
        <v/>
      </c>
      <c r="D708" s="4">
        <f>SUMIFS('01_異動主檔'!$F:$F,'01_異動主檔'!$B:$B,100,'01_異動主檔'!$D:$D,A708,'01_異動主檔'!$E:$E,"移入")</f>
        <v/>
      </c>
      <c r="E708" s="4">
        <f>-SUMIFS('01_異動主檔'!$F:$F,'01_異動主檔'!$B:$B,100,'01_異動主檔'!$D:$D,A708,'01_異動主檔'!$E:$E,"移出")</f>
        <v/>
      </c>
      <c r="F708" s="4">
        <f>SUMIFS('01_異動主檔'!$F:$F,'01_異動主檔'!$B:$B,100,'01_異動主檔'!$D:$D,A708,'01_異動主檔'!$E:$E,"新增")</f>
        <v/>
      </c>
      <c r="G708" s="4">
        <f>-SUMIFS('01_異動主檔'!$F:$F,'01_異動主檔'!$B:$B,100,'01_異動主檔'!$D:$D,A708,'01_異動主檔'!$E:$E,"減列")</f>
        <v/>
      </c>
      <c r="H708" s="4">
        <f>-SUMIFS('01_異動主檔'!$F:$F,'01_異動主檔'!$B:$B,100,'01_異動主檔'!$D:$D,A708,'01_異動主檔'!$E:$E,"精簡")</f>
        <v/>
      </c>
      <c r="I708" s="8">
        <f>C708+D708+E708+F708+G708+H708</f>
        <v/>
      </c>
    </row>
    <row r="709" ht="18" customHeight="1">
      <c r="A709" s="3" t="inlineStr">
        <is>
          <t>統計科</t>
        </is>
      </c>
      <c r="B709" s="4" t="n">
        <v>101</v>
      </c>
      <c r="C709" s="8">
        <f>I708</f>
        <v/>
      </c>
      <c r="D709" s="4">
        <f>SUMIFS('01_異動主檔'!$F:$F,'01_異動主檔'!$B:$B,101,'01_異動主檔'!$D:$D,A709,'01_異動主檔'!$E:$E,"移入")</f>
        <v/>
      </c>
      <c r="E709" s="4">
        <f>-SUMIFS('01_異動主檔'!$F:$F,'01_異動主檔'!$B:$B,101,'01_異動主檔'!$D:$D,A709,'01_異動主檔'!$E:$E,"移出")</f>
        <v/>
      </c>
      <c r="F709" s="4">
        <f>SUMIFS('01_異動主檔'!$F:$F,'01_異動主檔'!$B:$B,101,'01_異動主檔'!$D:$D,A709,'01_異動主檔'!$E:$E,"新增")</f>
        <v/>
      </c>
      <c r="G709" s="4">
        <f>-SUMIFS('01_異動主檔'!$F:$F,'01_異動主檔'!$B:$B,101,'01_異動主檔'!$D:$D,A709,'01_異動主檔'!$E:$E,"減列")</f>
        <v/>
      </c>
      <c r="H709" s="4">
        <f>-SUMIFS('01_異動主檔'!$F:$F,'01_異動主檔'!$B:$B,101,'01_異動主檔'!$D:$D,A709,'01_異動主檔'!$E:$E,"精簡")</f>
        <v/>
      </c>
      <c r="I709" s="8">
        <f>C709+D709+E709+F709+G709+H709</f>
        <v/>
      </c>
    </row>
    <row r="710" ht="18" customHeight="1">
      <c r="A710" s="5" t="inlineStr">
        <is>
          <t>統計科</t>
        </is>
      </c>
      <c r="B710" s="6" t="n">
        <v>102</v>
      </c>
      <c r="C710" s="8">
        <f>I709</f>
        <v/>
      </c>
      <c r="D710" s="4">
        <f>SUMIFS('01_異動主檔'!$F:$F,'01_異動主檔'!$B:$B,102,'01_異動主檔'!$D:$D,A710,'01_異動主檔'!$E:$E,"移入")</f>
        <v/>
      </c>
      <c r="E710" s="4">
        <f>-SUMIFS('01_異動主檔'!$F:$F,'01_異動主檔'!$B:$B,102,'01_異動主檔'!$D:$D,A710,'01_異動主檔'!$E:$E,"移出")</f>
        <v/>
      </c>
      <c r="F710" s="4">
        <f>SUMIFS('01_異動主檔'!$F:$F,'01_異動主檔'!$B:$B,102,'01_異動主檔'!$D:$D,A710,'01_異動主檔'!$E:$E,"新增")</f>
        <v/>
      </c>
      <c r="G710" s="4">
        <f>-SUMIFS('01_異動主檔'!$F:$F,'01_異動主檔'!$B:$B,102,'01_異動主檔'!$D:$D,A710,'01_異動主檔'!$E:$E,"減列")</f>
        <v/>
      </c>
      <c r="H710" s="4">
        <f>-SUMIFS('01_異動主檔'!$F:$F,'01_異動主檔'!$B:$B,102,'01_異動主檔'!$D:$D,A710,'01_異動主檔'!$E:$E,"精簡")</f>
        <v/>
      </c>
      <c r="I710" s="8">
        <f>C710+D710+E710+F710+G710+H710</f>
        <v/>
      </c>
    </row>
    <row r="711" ht="18" customHeight="1">
      <c r="A711" s="3" t="inlineStr">
        <is>
          <t>統計科</t>
        </is>
      </c>
      <c r="B711" s="4" t="n">
        <v>103</v>
      </c>
      <c r="C711" s="8">
        <f>I710</f>
        <v/>
      </c>
      <c r="D711" s="4">
        <f>SUMIFS('01_異動主檔'!$F:$F,'01_異動主檔'!$B:$B,103,'01_異動主檔'!$D:$D,A711,'01_異動主檔'!$E:$E,"移入")</f>
        <v/>
      </c>
      <c r="E711" s="4">
        <f>-SUMIFS('01_異動主檔'!$F:$F,'01_異動主檔'!$B:$B,103,'01_異動主檔'!$D:$D,A711,'01_異動主檔'!$E:$E,"移出")</f>
        <v/>
      </c>
      <c r="F711" s="4">
        <f>SUMIFS('01_異動主檔'!$F:$F,'01_異動主檔'!$B:$B,103,'01_異動主檔'!$D:$D,A711,'01_異動主檔'!$E:$E,"新增")</f>
        <v/>
      </c>
      <c r="G711" s="4">
        <f>-SUMIFS('01_異動主檔'!$F:$F,'01_異動主檔'!$B:$B,103,'01_異動主檔'!$D:$D,A711,'01_異動主檔'!$E:$E,"減列")</f>
        <v/>
      </c>
      <c r="H711" s="4">
        <f>-SUMIFS('01_異動主檔'!$F:$F,'01_異動主檔'!$B:$B,103,'01_異動主檔'!$D:$D,A711,'01_異動主檔'!$E:$E,"精簡")</f>
        <v/>
      </c>
      <c r="I711" s="8">
        <f>C711+D711+E711+F711+G711+H711</f>
        <v/>
      </c>
    </row>
    <row r="712" ht="18" customHeight="1">
      <c r="A712" s="5" t="inlineStr">
        <is>
          <t>統計科</t>
        </is>
      </c>
      <c r="B712" s="6" t="n">
        <v>104</v>
      </c>
      <c r="C712" s="8">
        <f>I711</f>
        <v/>
      </c>
      <c r="D712" s="4">
        <f>SUMIFS('01_異動主檔'!$F:$F,'01_異動主檔'!$B:$B,104,'01_異動主檔'!$D:$D,A712,'01_異動主檔'!$E:$E,"移入")</f>
        <v/>
      </c>
      <c r="E712" s="4">
        <f>-SUMIFS('01_異動主檔'!$F:$F,'01_異動主檔'!$B:$B,104,'01_異動主檔'!$D:$D,A712,'01_異動主檔'!$E:$E,"移出")</f>
        <v/>
      </c>
      <c r="F712" s="4">
        <f>SUMIFS('01_異動主檔'!$F:$F,'01_異動主檔'!$B:$B,104,'01_異動主檔'!$D:$D,A712,'01_異動主檔'!$E:$E,"新增")</f>
        <v/>
      </c>
      <c r="G712" s="4">
        <f>-SUMIFS('01_異動主檔'!$F:$F,'01_異動主檔'!$B:$B,104,'01_異動主檔'!$D:$D,A712,'01_異動主檔'!$E:$E,"減列")</f>
        <v/>
      </c>
      <c r="H712" s="4">
        <f>-SUMIFS('01_異動主檔'!$F:$F,'01_異動主檔'!$B:$B,104,'01_異動主檔'!$D:$D,A712,'01_異動主檔'!$E:$E,"精簡")</f>
        <v/>
      </c>
      <c r="I712" s="8">
        <f>C712+D712+E712+F712+G712+H712</f>
        <v/>
      </c>
    </row>
    <row r="713" ht="18" customHeight="1">
      <c r="A713" s="3" t="inlineStr">
        <is>
          <t>統計科</t>
        </is>
      </c>
      <c r="B713" s="4" t="n">
        <v>105</v>
      </c>
      <c r="C713" s="8">
        <f>I712</f>
        <v/>
      </c>
      <c r="D713" s="4">
        <f>SUMIFS('01_異動主檔'!$F:$F,'01_異動主檔'!$B:$B,105,'01_異動主檔'!$D:$D,A713,'01_異動主檔'!$E:$E,"移入")</f>
        <v/>
      </c>
      <c r="E713" s="4">
        <f>-SUMIFS('01_異動主檔'!$F:$F,'01_異動主檔'!$B:$B,105,'01_異動主檔'!$D:$D,A713,'01_異動主檔'!$E:$E,"移出")</f>
        <v/>
      </c>
      <c r="F713" s="4">
        <f>SUMIFS('01_異動主檔'!$F:$F,'01_異動主檔'!$B:$B,105,'01_異動主檔'!$D:$D,A713,'01_異動主檔'!$E:$E,"新增")</f>
        <v/>
      </c>
      <c r="G713" s="4">
        <f>-SUMIFS('01_異動主檔'!$F:$F,'01_異動主檔'!$B:$B,105,'01_異動主檔'!$D:$D,A713,'01_異動主檔'!$E:$E,"減列")</f>
        <v/>
      </c>
      <c r="H713" s="4">
        <f>-SUMIFS('01_異動主檔'!$F:$F,'01_異動主檔'!$B:$B,105,'01_異動主檔'!$D:$D,A713,'01_異動主檔'!$E:$E,"精簡")</f>
        <v/>
      </c>
      <c r="I713" s="8">
        <f>C713+D713+E713+F713+G713+H713</f>
        <v/>
      </c>
    </row>
    <row r="714" ht="18" customHeight="1">
      <c r="A714" s="5" t="inlineStr">
        <is>
          <t>統計科</t>
        </is>
      </c>
      <c r="B714" s="6" t="n">
        <v>106</v>
      </c>
      <c r="C714" s="8">
        <f>I713</f>
        <v/>
      </c>
      <c r="D714" s="4">
        <f>SUMIFS('01_異動主檔'!$F:$F,'01_異動主檔'!$B:$B,106,'01_異動主檔'!$D:$D,A714,'01_異動主檔'!$E:$E,"移入")</f>
        <v/>
      </c>
      <c r="E714" s="4">
        <f>-SUMIFS('01_異動主檔'!$F:$F,'01_異動主檔'!$B:$B,106,'01_異動主檔'!$D:$D,A714,'01_異動主檔'!$E:$E,"移出")</f>
        <v/>
      </c>
      <c r="F714" s="4">
        <f>SUMIFS('01_異動主檔'!$F:$F,'01_異動主檔'!$B:$B,106,'01_異動主檔'!$D:$D,A714,'01_異動主檔'!$E:$E,"新增")</f>
        <v/>
      </c>
      <c r="G714" s="4">
        <f>-SUMIFS('01_異動主檔'!$F:$F,'01_異動主檔'!$B:$B,106,'01_異動主檔'!$D:$D,A714,'01_異動主檔'!$E:$E,"減列")</f>
        <v/>
      </c>
      <c r="H714" s="4">
        <f>-SUMIFS('01_異動主檔'!$F:$F,'01_異動主檔'!$B:$B,106,'01_異動主檔'!$D:$D,A714,'01_異動主檔'!$E:$E,"精簡")</f>
        <v/>
      </c>
      <c r="I714" s="8">
        <f>C714+D714+E714+F714+G714+H714</f>
        <v/>
      </c>
    </row>
    <row r="715" ht="18" customHeight="1">
      <c r="A715" s="3" t="inlineStr">
        <is>
          <t>統計科</t>
        </is>
      </c>
      <c r="B715" s="4" t="n">
        <v>107</v>
      </c>
      <c r="C715" s="8">
        <f>I714</f>
        <v/>
      </c>
      <c r="D715" s="4">
        <f>SUMIFS('01_異動主檔'!$F:$F,'01_異動主檔'!$B:$B,107,'01_異動主檔'!$D:$D,A715,'01_異動主檔'!$E:$E,"移入")</f>
        <v/>
      </c>
      <c r="E715" s="4">
        <f>-SUMIFS('01_異動主檔'!$F:$F,'01_異動主檔'!$B:$B,107,'01_異動主檔'!$D:$D,A715,'01_異動主檔'!$E:$E,"移出")</f>
        <v/>
      </c>
      <c r="F715" s="4">
        <f>SUMIFS('01_異動主檔'!$F:$F,'01_異動主檔'!$B:$B,107,'01_異動主檔'!$D:$D,A715,'01_異動主檔'!$E:$E,"新增")</f>
        <v/>
      </c>
      <c r="G715" s="4">
        <f>-SUMIFS('01_異動主檔'!$F:$F,'01_異動主檔'!$B:$B,107,'01_異動主檔'!$D:$D,A715,'01_異動主檔'!$E:$E,"減列")</f>
        <v/>
      </c>
      <c r="H715" s="4">
        <f>-SUMIFS('01_異動主檔'!$F:$F,'01_異動主檔'!$B:$B,107,'01_異動主檔'!$D:$D,A715,'01_異動主檔'!$E:$E,"精簡")</f>
        <v/>
      </c>
      <c r="I715" s="8">
        <f>C715+D715+E715+F715+G715+H715</f>
        <v/>
      </c>
    </row>
    <row r="716" ht="18" customHeight="1">
      <c r="A716" s="5" t="inlineStr">
        <is>
          <t>統計科</t>
        </is>
      </c>
      <c r="B716" s="6" t="n">
        <v>108</v>
      </c>
      <c r="C716" s="8">
        <f>I715</f>
        <v/>
      </c>
      <c r="D716" s="4">
        <f>SUMIFS('01_異動主檔'!$F:$F,'01_異動主檔'!$B:$B,108,'01_異動主檔'!$D:$D,A716,'01_異動主檔'!$E:$E,"移入")</f>
        <v/>
      </c>
      <c r="E716" s="4">
        <f>-SUMIFS('01_異動主檔'!$F:$F,'01_異動主檔'!$B:$B,108,'01_異動主檔'!$D:$D,A716,'01_異動主檔'!$E:$E,"移出")</f>
        <v/>
      </c>
      <c r="F716" s="4">
        <f>SUMIFS('01_異動主檔'!$F:$F,'01_異動主檔'!$B:$B,108,'01_異動主檔'!$D:$D,A716,'01_異動主檔'!$E:$E,"新增")</f>
        <v/>
      </c>
      <c r="G716" s="4">
        <f>-SUMIFS('01_異動主檔'!$F:$F,'01_異動主檔'!$B:$B,108,'01_異動主檔'!$D:$D,A716,'01_異動主檔'!$E:$E,"減列")</f>
        <v/>
      </c>
      <c r="H716" s="4">
        <f>-SUMIFS('01_異動主檔'!$F:$F,'01_異動主檔'!$B:$B,108,'01_異動主檔'!$D:$D,A716,'01_異動主檔'!$E:$E,"精簡")</f>
        <v/>
      </c>
      <c r="I716" s="8">
        <f>C716+D716+E716+F716+G716+H716</f>
        <v/>
      </c>
    </row>
    <row r="717" ht="18" customHeight="1">
      <c r="A717" s="3" t="inlineStr">
        <is>
          <t>統計科</t>
        </is>
      </c>
      <c r="B717" s="4" t="n">
        <v>109</v>
      </c>
      <c r="C717" s="8">
        <f>I716</f>
        <v/>
      </c>
      <c r="D717" s="4">
        <f>SUMIFS('01_異動主檔'!$F:$F,'01_異動主檔'!$B:$B,109,'01_異動主檔'!$D:$D,A717,'01_異動主檔'!$E:$E,"移入")</f>
        <v/>
      </c>
      <c r="E717" s="4">
        <f>-SUMIFS('01_異動主檔'!$F:$F,'01_異動主檔'!$B:$B,109,'01_異動主檔'!$D:$D,A717,'01_異動主檔'!$E:$E,"移出")</f>
        <v/>
      </c>
      <c r="F717" s="4">
        <f>SUMIFS('01_異動主檔'!$F:$F,'01_異動主檔'!$B:$B,109,'01_異動主檔'!$D:$D,A717,'01_異動主檔'!$E:$E,"新增")</f>
        <v/>
      </c>
      <c r="G717" s="4">
        <f>-SUMIFS('01_異動主檔'!$F:$F,'01_異動主檔'!$B:$B,109,'01_異動主檔'!$D:$D,A717,'01_異動主檔'!$E:$E,"減列")</f>
        <v/>
      </c>
      <c r="H717" s="4">
        <f>-SUMIFS('01_異動主檔'!$F:$F,'01_異動主檔'!$B:$B,109,'01_異動主檔'!$D:$D,A717,'01_異動主檔'!$E:$E,"精簡")</f>
        <v/>
      </c>
      <c r="I717" s="8">
        <f>C717+D717+E717+F717+G717+H717</f>
        <v/>
      </c>
    </row>
    <row r="718" ht="18" customHeight="1">
      <c r="A718" s="5" t="inlineStr">
        <is>
          <t>統計科</t>
        </is>
      </c>
      <c r="B718" s="6" t="n">
        <v>110</v>
      </c>
      <c r="C718" s="8">
        <f>I717</f>
        <v/>
      </c>
      <c r="D718" s="4">
        <f>SUMIFS('01_異動主檔'!$F:$F,'01_異動主檔'!$B:$B,110,'01_異動主檔'!$D:$D,A718,'01_異動主檔'!$E:$E,"移入")</f>
        <v/>
      </c>
      <c r="E718" s="4">
        <f>-SUMIFS('01_異動主檔'!$F:$F,'01_異動主檔'!$B:$B,110,'01_異動主檔'!$D:$D,A718,'01_異動主檔'!$E:$E,"移出")</f>
        <v/>
      </c>
      <c r="F718" s="4">
        <f>SUMIFS('01_異動主檔'!$F:$F,'01_異動主檔'!$B:$B,110,'01_異動主檔'!$D:$D,A718,'01_異動主檔'!$E:$E,"新增")</f>
        <v/>
      </c>
      <c r="G718" s="4">
        <f>-SUMIFS('01_異動主檔'!$F:$F,'01_異動主檔'!$B:$B,110,'01_異動主檔'!$D:$D,A718,'01_異動主檔'!$E:$E,"減列")</f>
        <v/>
      </c>
      <c r="H718" s="4">
        <f>-SUMIFS('01_異動主檔'!$F:$F,'01_異動主檔'!$B:$B,110,'01_異動主檔'!$D:$D,A718,'01_異動主檔'!$E:$E,"精簡")</f>
        <v/>
      </c>
      <c r="I718" s="8">
        <f>C718+D718+E718+F718+G718+H718</f>
        <v/>
      </c>
    </row>
    <row r="719" ht="18" customHeight="1">
      <c r="A719" s="3" t="inlineStr">
        <is>
          <t>統計科</t>
        </is>
      </c>
      <c r="B719" s="4" t="n">
        <v>111</v>
      </c>
      <c r="C719" s="8">
        <f>I718</f>
        <v/>
      </c>
      <c r="D719" s="4">
        <f>SUMIFS('01_異動主檔'!$F:$F,'01_異動主檔'!$B:$B,111,'01_異動主檔'!$D:$D,A719,'01_異動主檔'!$E:$E,"移入")</f>
        <v/>
      </c>
      <c r="E719" s="4">
        <f>-SUMIFS('01_異動主檔'!$F:$F,'01_異動主檔'!$B:$B,111,'01_異動主檔'!$D:$D,A719,'01_異動主檔'!$E:$E,"移出")</f>
        <v/>
      </c>
      <c r="F719" s="4">
        <f>SUMIFS('01_異動主檔'!$F:$F,'01_異動主檔'!$B:$B,111,'01_異動主檔'!$D:$D,A719,'01_異動主檔'!$E:$E,"新增")</f>
        <v/>
      </c>
      <c r="G719" s="4">
        <f>-SUMIFS('01_異動主檔'!$F:$F,'01_異動主檔'!$B:$B,111,'01_異動主檔'!$D:$D,A719,'01_異動主檔'!$E:$E,"減列")</f>
        <v/>
      </c>
      <c r="H719" s="4">
        <f>-SUMIFS('01_異動主檔'!$F:$F,'01_異動主檔'!$B:$B,111,'01_異動主檔'!$D:$D,A719,'01_異動主檔'!$E:$E,"精簡")</f>
        <v/>
      </c>
      <c r="I719" s="8">
        <f>C719+D719+E719+F719+G719+H719</f>
        <v/>
      </c>
    </row>
    <row r="720" ht="18" customHeight="1">
      <c r="A720" s="5" t="inlineStr">
        <is>
          <t>統計科</t>
        </is>
      </c>
      <c r="B720" s="6" t="n">
        <v>112</v>
      </c>
      <c r="C720" s="8">
        <f>I719</f>
        <v/>
      </c>
      <c r="D720" s="4">
        <f>SUMIFS('01_異動主檔'!$F:$F,'01_異動主檔'!$B:$B,112,'01_異動主檔'!$D:$D,A720,'01_異動主檔'!$E:$E,"移入")</f>
        <v/>
      </c>
      <c r="E720" s="4">
        <f>-SUMIFS('01_異動主檔'!$F:$F,'01_異動主檔'!$B:$B,112,'01_異動主檔'!$D:$D,A720,'01_異動主檔'!$E:$E,"移出")</f>
        <v/>
      </c>
      <c r="F720" s="4">
        <f>SUMIFS('01_異動主檔'!$F:$F,'01_異動主檔'!$B:$B,112,'01_異動主檔'!$D:$D,A720,'01_異動主檔'!$E:$E,"新增")</f>
        <v/>
      </c>
      <c r="G720" s="4">
        <f>-SUMIFS('01_異動主檔'!$F:$F,'01_異動主檔'!$B:$B,112,'01_異動主檔'!$D:$D,A720,'01_異動主檔'!$E:$E,"減列")</f>
        <v/>
      </c>
      <c r="H720" s="4">
        <f>-SUMIFS('01_異動主檔'!$F:$F,'01_異動主檔'!$B:$B,112,'01_異動主檔'!$D:$D,A720,'01_異動主檔'!$E:$E,"精簡")</f>
        <v/>
      </c>
      <c r="I720" s="8">
        <f>C720+D720+E720+F720+G720+H720</f>
        <v/>
      </c>
    </row>
    <row r="721" ht="18" customHeight="1">
      <c r="A721" s="3" t="inlineStr">
        <is>
          <t>統計科</t>
        </is>
      </c>
      <c r="B721" s="4" t="n">
        <v>113</v>
      </c>
      <c r="C721" s="8">
        <f>I720</f>
        <v/>
      </c>
      <c r="D721" s="4">
        <f>SUMIFS('01_異動主檔'!$F:$F,'01_異動主檔'!$B:$B,113,'01_異動主檔'!$D:$D,A721,'01_異動主檔'!$E:$E,"移入")</f>
        <v/>
      </c>
      <c r="E721" s="4">
        <f>-SUMIFS('01_異動主檔'!$F:$F,'01_異動主檔'!$B:$B,113,'01_異動主檔'!$D:$D,A721,'01_異動主檔'!$E:$E,"移出")</f>
        <v/>
      </c>
      <c r="F721" s="4">
        <f>SUMIFS('01_異動主檔'!$F:$F,'01_異動主檔'!$B:$B,113,'01_異動主檔'!$D:$D,A721,'01_異動主檔'!$E:$E,"新增")</f>
        <v/>
      </c>
      <c r="G721" s="4">
        <f>-SUMIFS('01_異動主檔'!$F:$F,'01_異動主檔'!$B:$B,113,'01_異動主檔'!$D:$D,A721,'01_異動主檔'!$E:$E,"減列")</f>
        <v/>
      </c>
      <c r="H721" s="4">
        <f>-SUMIFS('01_異動主檔'!$F:$F,'01_異動主檔'!$B:$B,113,'01_異動主檔'!$D:$D,A721,'01_異動主檔'!$E:$E,"精簡")</f>
        <v/>
      </c>
      <c r="I721" s="8">
        <f>C721+D721+E721+F721+G721+H721</f>
        <v/>
      </c>
    </row>
    <row r="722" ht="18" customHeight="1">
      <c r="A722" s="5" t="inlineStr">
        <is>
          <t>統計科</t>
        </is>
      </c>
      <c r="B722" s="6" t="n">
        <v>114</v>
      </c>
      <c r="C722" s="8">
        <f>I721</f>
        <v/>
      </c>
      <c r="D722" s="4">
        <f>SUMIFS('01_異動主檔'!$F:$F,'01_異動主檔'!$B:$B,114,'01_異動主檔'!$D:$D,A722,'01_異動主檔'!$E:$E,"移入")</f>
        <v/>
      </c>
      <c r="E722" s="4">
        <f>-SUMIFS('01_異動主檔'!$F:$F,'01_異動主檔'!$B:$B,114,'01_異動主檔'!$D:$D,A722,'01_異動主檔'!$E:$E,"移出")</f>
        <v/>
      </c>
      <c r="F722" s="4">
        <f>SUMIFS('01_異動主檔'!$F:$F,'01_異動主檔'!$B:$B,114,'01_異動主檔'!$D:$D,A722,'01_異動主檔'!$E:$E,"新增")</f>
        <v/>
      </c>
      <c r="G722" s="4">
        <f>-SUMIFS('01_異動主檔'!$F:$F,'01_異動主檔'!$B:$B,114,'01_異動主檔'!$D:$D,A722,'01_異動主檔'!$E:$E,"減列")</f>
        <v/>
      </c>
      <c r="H722" s="4">
        <f>-SUMIFS('01_異動主檔'!$F:$F,'01_異動主檔'!$B:$B,114,'01_異動主檔'!$D:$D,A722,'01_異動主檔'!$E:$E,"精簡")</f>
        <v/>
      </c>
      <c r="I722" s="8">
        <f>C722+D722+E722+F722+G722+H722</f>
        <v/>
      </c>
    </row>
    <row r="723" ht="18" customHeight="1">
      <c r="A723" s="3" t="inlineStr">
        <is>
          <t>統計科</t>
        </is>
      </c>
      <c r="B723" s="4" t="n">
        <v>115</v>
      </c>
      <c r="C723" s="8">
        <f>I722</f>
        <v/>
      </c>
      <c r="D723" s="4">
        <f>SUMIFS('01_異動主檔'!$F:$F,'01_異動主檔'!$B:$B,115,'01_異動主檔'!$D:$D,A723,'01_異動主檔'!$E:$E,"移入")</f>
        <v/>
      </c>
      <c r="E723" s="4">
        <f>-SUMIFS('01_異動主檔'!$F:$F,'01_異動主檔'!$B:$B,115,'01_異動主檔'!$D:$D,A723,'01_異動主檔'!$E:$E,"移出")</f>
        <v/>
      </c>
      <c r="F723" s="4">
        <f>SUMIFS('01_異動主檔'!$F:$F,'01_異動主檔'!$B:$B,115,'01_異動主檔'!$D:$D,A723,'01_異動主檔'!$E:$E,"新增")</f>
        <v/>
      </c>
      <c r="G723" s="4">
        <f>-SUMIFS('01_異動主檔'!$F:$F,'01_異動主檔'!$B:$B,115,'01_異動主檔'!$D:$D,A723,'01_異動主檔'!$E:$E,"減列")</f>
        <v/>
      </c>
      <c r="H723" s="4">
        <f>-SUMIFS('01_異動主檔'!$F:$F,'01_異動主檔'!$B:$B,115,'01_異動主檔'!$D:$D,A723,'01_異動主檔'!$E:$E,"精簡")</f>
        <v/>
      </c>
      <c r="I723" s="8">
        <f>C723+D723+E723+F723+G723+H723</f>
        <v/>
      </c>
    </row>
    <row r="724" ht="18" customHeight="1">
      <c r="A724" s="5" t="inlineStr">
        <is>
          <t>統計科</t>
        </is>
      </c>
      <c r="B724" s="6" t="n">
        <v>116</v>
      </c>
      <c r="C724" s="8">
        <f>I723</f>
        <v/>
      </c>
      <c r="D724" s="4">
        <f>SUMIFS('01_異動主檔'!$F:$F,'01_異動主檔'!$B:$B,116,'01_異動主檔'!$D:$D,A724,'01_異動主檔'!$E:$E,"移入")</f>
        <v/>
      </c>
      <c r="E724" s="4">
        <f>-SUMIFS('01_異動主檔'!$F:$F,'01_異動主檔'!$B:$B,116,'01_異動主檔'!$D:$D,A724,'01_異動主檔'!$E:$E,"移出")</f>
        <v/>
      </c>
      <c r="F724" s="4">
        <f>SUMIFS('01_異動主檔'!$F:$F,'01_異動主檔'!$B:$B,116,'01_異動主檔'!$D:$D,A724,'01_異動主檔'!$E:$E,"新增")</f>
        <v/>
      </c>
      <c r="G724" s="4">
        <f>-SUMIFS('01_異動主檔'!$F:$F,'01_異動主檔'!$B:$B,116,'01_異動主檔'!$D:$D,A724,'01_異動主檔'!$E:$E,"減列")</f>
        <v/>
      </c>
      <c r="H724" s="4">
        <f>-SUMIFS('01_異動主檔'!$F:$F,'01_異動主檔'!$B:$B,116,'01_異動主檔'!$D:$D,A724,'01_異動主檔'!$E:$E,"精簡")</f>
        <v/>
      </c>
      <c r="I724" s="8">
        <f>C724+D724+E724+F724+G724+H724</f>
        <v/>
      </c>
    </row>
    <row r="725" ht="18" customHeight="1">
      <c r="A725" s="3" t="inlineStr">
        <is>
          <t>統計科</t>
        </is>
      </c>
      <c r="B725" s="4" t="n">
        <v>117</v>
      </c>
      <c r="C725" s="8">
        <f>I724</f>
        <v/>
      </c>
      <c r="D725" s="4">
        <f>SUMIFS('01_異動主檔'!$F:$F,'01_異動主檔'!$B:$B,117,'01_異動主檔'!$D:$D,A725,'01_異動主檔'!$E:$E,"移入")</f>
        <v/>
      </c>
      <c r="E725" s="4">
        <f>-SUMIFS('01_異動主檔'!$F:$F,'01_異動主檔'!$B:$B,117,'01_異動主檔'!$D:$D,A725,'01_異動主檔'!$E:$E,"移出")</f>
        <v/>
      </c>
      <c r="F725" s="4">
        <f>SUMIFS('01_異動主檔'!$F:$F,'01_異動主檔'!$B:$B,117,'01_異動主檔'!$D:$D,A725,'01_異動主檔'!$E:$E,"新增")</f>
        <v/>
      </c>
      <c r="G725" s="4">
        <f>-SUMIFS('01_異動主檔'!$F:$F,'01_異動主檔'!$B:$B,117,'01_異動主檔'!$D:$D,A725,'01_異動主檔'!$E:$E,"減列")</f>
        <v/>
      </c>
      <c r="H725" s="4">
        <f>-SUMIFS('01_異動主檔'!$F:$F,'01_異動主檔'!$B:$B,117,'01_異動主檔'!$D:$D,A725,'01_異動主檔'!$E:$E,"精簡")</f>
        <v/>
      </c>
      <c r="I725" s="8">
        <f>C725+D725+E725+F725+G725+H725</f>
        <v/>
      </c>
    </row>
    <row r="726" ht="18" customHeight="1">
      <c r="A726" s="5" t="inlineStr">
        <is>
          <t>統計科</t>
        </is>
      </c>
      <c r="B726" s="6" t="n">
        <v>118</v>
      </c>
      <c r="C726" s="8">
        <f>I725</f>
        <v/>
      </c>
      <c r="D726" s="4">
        <f>SUMIFS('01_異動主檔'!$F:$F,'01_異動主檔'!$B:$B,118,'01_異動主檔'!$D:$D,A726,'01_異動主檔'!$E:$E,"移入")</f>
        <v/>
      </c>
      <c r="E726" s="4">
        <f>-SUMIFS('01_異動主檔'!$F:$F,'01_異動主檔'!$B:$B,118,'01_異動主檔'!$D:$D,A726,'01_異動主檔'!$E:$E,"移出")</f>
        <v/>
      </c>
      <c r="F726" s="4">
        <f>SUMIFS('01_異動主檔'!$F:$F,'01_異動主檔'!$B:$B,118,'01_異動主檔'!$D:$D,A726,'01_異動主檔'!$E:$E,"新增")</f>
        <v/>
      </c>
      <c r="G726" s="4">
        <f>-SUMIFS('01_異動主檔'!$F:$F,'01_異動主檔'!$B:$B,118,'01_異動主檔'!$D:$D,A726,'01_異動主檔'!$E:$E,"減列")</f>
        <v/>
      </c>
      <c r="H726" s="4">
        <f>-SUMIFS('01_異動主檔'!$F:$F,'01_異動主檔'!$B:$B,118,'01_異動主檔'!$D:$D,A726,'01_異動主檔'!$E:$E,"精簡")</f>
        <v/>
      </c>
      <c r="I726" s="8">
        <f>C726+D726+E726+F726+G726+H726</f>
        <v/>
      </c>
    </row>
    <row r="727" ht="18" customHeight="1">
      <c r="A727" s="3" t="inlineStr">
        <is>
          <t>統計科</t>
        </is>
      </c>
      <c r="B727" s="4" t="n">
        <v>119</v>
      </c>
      <c r="C727" s="8">
        <f>I726</f>
        <v/>
      </c>
      <c r="D727" s="4">
        <f>SUMIFS('01_異動主檔'!$F:$F,'01_異動主檔'!$B:$B,119,'01_異動主檔'!$D:$D,A727,'01_異動主檔'!$E:$E,"移入")</f>
        <v/>
      </c>
      <c r="E727" s="4">
        <f>-SUMIFS('01_異動主檔'!$F:$F,'01_異動主檔'!$B:$B,119,'01_異動主檔'!$D:$D,A727,'01_異動主檔'!$E:$E,"移出")</f>
        <v/>
      </c>
      <c r="F727" s="4">
        <f>SUMIFS('01_異動主檔'!$F:$F,'01_異動主檔'!$B:$B,119,'01_異動主檔'!$D:$D,A727,'01_異動主檔'!$E:$E,"新增")</f>
        <v/>
      </c>
      <c r="G727" s="4">
        <f>-SUMIFS('01_異動主檔'!$F:$F,'01_異動主檔'!$B:$B,119,'01_異動主檔'!$D:$D,A727,'01_異動主檔'!$E:$E,"減列")</f>
        <v/>
      </c>
      <c r="H727" s="4">
        <f>-SUMIFS('01_異動主檔'!$F:$F,'01_異動主檔'!$B:$B,119,'01_異動主檔'!$D:$D,A727,'01_異動主檔'!$E:$E,"精簡")</f>
        <v/>
      </c>
      <c r="I727" s="8">
        <f>C727+D727+E727+F727+G727+H727</f>
        <v/>
      </c>
    </row>
    <row r="728" ht="18" customHeight="1">
      <c r="A728" s="5" t="inlineStr">
        <is>
          <t>統計科</t>
        </is>
      </c>
      <c r="B728" s="6" t="n">
        <v>120</v>
      </c>
      <c r="C728" s="8">
        <f>I727</f>
        <v/>
      </c>
      <c r="D728" s="4">
        <f>SUMIFS('01_異動主檔'!$F:$F,'01_異動主檔'!$B:$B,120,'01_異動主檔'!$D:$D,A728,'01_異動主檔'!$E:$E,"移入")</f>
        <v/>
      </c>
      <c r="E728" s="4">
        <f>-SUMIFS('01_異動主檔'!$F:$F,'01_異動主檔'!$B:$B,120,'01_異動主檔'!$D:$D,A728,'01_異動主檔'!$E:$E,"移出")</f>
        <v/>
      </c>
      <c r="F728" s="4">
        <f>SUMIFS('01_異動主檔'!$F:$F,'01_異動主檔'!$B:$B,120,'01_異動主檔'!$D:$D,A728,'01_異動主檔'!$E:$E,"新增")</f>
        <v/>
      </c>
      <c r="G728" s="4">
        <f>-SUMIFS('01_異動主檔'!$F:$F,'01_異動主檔'!$B:$B,120,'01_異動主檔'!$D:$D,A728,'01_異動主檔'!$E:$E,"減列")</f>
        <v/>
      </c>
      <c r="H728" s="4">
        <f>-SUMIFS('01_異動主檔'!$F:$F,'01_異動主檔'!$B:$B,120,'01_異動主檔'!$D:$D,A728,'01_異動主檔'!$E:$E,"精簡")</f>
        <v/>
      </c>
      <c r="I728" s="8">
        <f>C728+D728+E728+F728+G728+H728</f>
        <v/>
      </c>
    </row>
    <row r="729" ht="18" customHeight="1">
      <c r="A729" s="3" t="inlineStr">
        <is>
          <t>統計科</t>
        </is>
      </c>
      <c r="B729" s="4" t="n">
        <v>121</v>
      </c>
      <c r="C729" s="8">
        <f>I728</f>
        <v/>
      </c>
      <c r="D729" s="4">
        <f>SUMIFS('01_異動主檔'!$F:$F,'01_異動主檔'!$B:$B,121,'01_異動主檔'!$D:$D,A729,'01_異動主檔'!$E:$E,"移入")</f>
        <v/>
      </c>
      <c r="E729" s="4">
        <f>-SUMIFS('01_異動主檔'!$F:$F,'01_異動主檔'!$B:$B,121,'01_異動主檔'!$D:$D,A729,'01_異動主檔'!$E:$E,"移出")</f>
        <v/>
      </c>
      <c r="F729" s="4">
        <f>SUMIFS('01_異動主檔'!$F:$F,'01_異動主檔'!$B:$B,121,'01_異動主檔'!$D:$D,A729,'01_異動主檔'!$E:$E,"新增")</f>
        <v/>
      </c>
      <c r="G729" s="4">
        <f>-SUMIFS('01_異動主檔'!$F:$F,'01_異動主檔'!$B:$B,121,'01_異動主檔'!$D:$D,A729,'01_異動主檔'!$E:$E,"減列")</f>
        <v/>
      </c>
      <c r="H729" s="4">
        <f>-SUMIFS('01_異動主檔'!$F:$F,'01_異動主檔'!$B:$B,121,'01_異動主檔'!$D:$D,A729,'01_異動主檔'!$E:$E,"精簡")</f>
        <v/>
      </c>
      <c r="I729" s="8">
        <f>C729+D729+E729+F729+G729+H729</f>
        <v/>
      </c>
    </row>
    <row r="730" ht="18" customHeight="1">
      <c r="A730" s="5" t="inlineStr">
        <is>
          <t>統計科</t>
        </is>
      </c>
      <c r="B730" s="6" t="n">
        <v>122</v>
      </c>
      <c r="C730" s="8">
        <f>I729</f>
        <v/>
      </c>
      <c r="D730" s="4">
        <f>SUMIFS('01_異動主檔'!$F:$F,'01_異動主檔'!$B:$B,122,'01_異動主檔'!$D:$D,A730,'01_異動主檔'!$E:$E,"移入")</f>
        <v/>
      </c>
      <c r="E730" s="4">
        <f>-SUMIFS('01_異動主檔'!$F:$F,'01_異動主檔'!$B:$B,122,'01_異動主檔'!$D:$D,A730,'01_異動主檔'!$E:$E,"移出")</f>
        <v/>
      </c>
      <c r="F730" s="4">
        <f>SUMIFS('01_異動主檔'!$F:$F,'01_異動主檔'!$B:$B,122,'01_異動主檔'!$D:$D,A730,'01_異動主檔'!$E:$E,"新增")</f>
        <v/>
      </c>
      <c r="G730" s="4">
        <f>-SUMIFS('01_異動主檔'!$F:$F,'01_異動主檔'!$B:$B,122,'01_異動主檔'!$D:$D,A730,'01_異動主檔'!$E:$E,"減列")</f>
        <v/>
      </c>
      <c r="H730" s="4">
        <f>-SUMIFS('01_異動主檔'!$F:$F,'01_異動主檔'!$B:$B,122,'01_異動主檔'!$D:$D,A730,'01_異動主檔'!$E:$E,"精簡")</f>
        <v/>
      </c>
      <c r="I730" s="8">
        <f>C730+D730+E730+F730+G730+H730</f>
        <v/>
      </c>
    </row>
    <row r="731" ht="18" customHeight="1">
      <c r="A731" s="3" t="inlineStr">
        <is>
          <t>統計科</t>
        </is>
      </c>
      <c r="B731" s="4" t="n">
        <v>123</v>
      </c>
      <c r="C731" s="8">
        <f>I730</f>
        <v/>
      </c>
      <c r="D731" s="4">
        <f>SUMIFS('01_異動主檔'!$F:$F,'01_異動主檔'!$B:$B,123,'01_異動主檔'!$D:$D,A731,'01_異動主檔'!$E:$E,"移入")</f>
        <v/>
      </c>
      <c r="E731" s="4">
        <f>-SUMIFS('01_異動主檔'!$F:$F,'01_異動主檔'!$B:$B,123,'01_異動主檔'!$D:$D,A731,'01_異動主檔'!$E:$E,"移出")</f>
        <v/>
      </c>
      <c r="F731" s="4">
        <f>SUMIFS('01_異動主檔'!$F:$F,'01_異動主檔'!$B:$B,123,'01_異動主檔'!$D:$D,A731,'01_異動主檔'!$E:$E,"新增")</f>
        <v/>
      </c>
      <c r="G731" s="4">
        <f>-SUMIFS('01_異動主檔'!$F:$F,'01_異動主檔'!$B:$B,123,'01_異動主檔'!$D:$D,A731,'01_異動主檔'!$E:$E,"減列")</f>
        <v/>
      </c>
      <c r="H731" s="4">
        <f>-SUMIFS('01_異動主檔'!$F:$F,'01_異動主檔'!$B:$B,123,'01_異動主檔'!$D:$D,A731,'01_異動主檔'!$E:$E,"精簡")</f>
        <v/>
      </c>
      <c r="I731" s="8">
        <f>C731+D731+E731+F731+G731+H731</f>
        <v/>
      </c>
    </row>
    <row r="732" ht="18" customHeight="1">
      <c r="A732" s="5" t="inlineStr">
        <is>
          <t>統計科</t>
        </is>
      </c>
      <c r="B732" s="6" t="n">
        <v>124</v>
      </c>
      <c r="C732" s="8">
        <f>I731</f>
        <v/>
      </c>
      <c r="D732" s="4">
        <f>SUMIFS('01_異動主檔'!$F:$F,'01_異動主檔'!$B:$B,124,'01_異動主檔'!$D:$D,A732,'01_異動主檔'!$E:$E,"移入")</f>
        <v/>
      </c>
      <c r="E732" s="4">
        <f>-SUMIFS('01_異動主檔'!$F:$F,'01_異動主檔'!$B:$B,124,'01_異動主檔'!$D:$D,A732,'01_異動主檔'!$E:$E,"移出")</f>
        <v/>
      </c>
      <c r="F732" s="4">
        <f>SUMIFS('01_異動主檔'!$F:$F,'01_異動主檔'!$B:$B,124,'01_異動主檔'!$D:$D,A732,'01_異動主檔'!$E:$E,"新增")</f>
        <v/>
      </c>
      <c r="G732" s="4">
        <f>-SUMIFS('01_異動主檔'!$F:$F,'01_異動主檔'!$B:$B,124,'01_異動主檔'!$D:$D,A732,'01_異動主檔'!$E:$E,"減列")</f>
        <v/>
      </c>
      <c r="H732" s="4">
        <f>-SUMIFS('01_異動主檔'!$F:$F,'01_異動主檔'!$B:$B,124,'01_異動主檔'!$D:$D,A732,'01_異動主檔'!$E:$E,"精簡")</f>
        <v/>
      </c>
      <c r="I732" s="8">
        <f>C732+D732+E732+F732+G732+H732</f>
        <v/>
      </c>
    </row>
    <row r="733" ht="18" customHeight="1">
      <c r="A733" s="3" t="inlineStr">
        <is>
          <t>統計科</t>
        </is>
      </c>
      <c r="B733" s="4" t="n">
        <v>125</v>
      </c>
      <c r="C733" s="8">
        <f>I732</f>
        <v/>
      </c>
      <c r="D733" s="4">
        <f>SUMIFS('01_異動主檔'!$F:$F,'01_異動主檔'!$B:$B,125,'01_異動主檔'!$D:$D,A733,'01_異動主檔'!$E:$E,"移入")</f>
        <v/>
      </c>
      <c r="E733" s="4">
        <f>-SUMIFS('01_異動主檔'!$F:$F,'01_異動主檔'!$B:$B,125,'01_異動主檔'!$D:$D,A733,'01_異動主檔'!$E:$E,"移出")</f>
        <v/>
      </c>
      <c r="F733" s="4">
        <f>SUMIFS('01_異動主檔'!$F:$F,'01_異動主檔'!$B:$B,125,'01_異動主檔'!$D:$D,A733,'01_異動主檔'!$E:$E,"新增")</f>
        <v/>
      </c>
      <c r="G733" s="4">
        <f>-SUMIFS('01_異動主檔'!$F:$F,'01_異動主檔'!$B:$B,125,'01_異動主檔'!$D:$D,A733,'01_異動主檔'!$E:$E,"減列")</f>
        <v/>
      </c>
      <c r="H733" s="4">
        <f>-SUMIFS('01_異動主檔'!$F:$F,'01_異動主檔'!$B:$B,125,'01_異動主檔'!$D:$D,A733,'01_異動主檔'!$E:$E,"精簡")</f>
        <v/>
      </c>
      <c r="I733" s="8">
        <f>C733+D733+E733+F733+G733+H733</f>
        <v/>
      </c>
    </row>
    <row r="734" ht="18" customHeight="1">
      <c r="A734" s="5" t="inlineStr">
        <is>
          <t>文書科</t>
        </is>
      </c>
      <c r="B734" s="6" t="n">
        <v>99</v>
      </c>
      <c r="C734" s="8">
        <f>'02_年初員額設定'!B32</f>
        <v/>
      </c>
      <c r="D734" s="4">
        <f>SUMIFS('01_異動主檔'!$F:$F,'01_異動主檔'!$B:$B,99,'01_異動主檔'!$D:$D,A734,'01_異動主檔'!$E:$E,"移入")</f>
        <v/>
      </c>
      <c r="E734" s="4">
        <f>-SUMIFS('01_異動主檔'!$F:$F,'01_異動主檔'!$B:$B,99,'01_異動主檔'!$D:$D,A734,'01_異動主檔'!$E:$E,"移出")</f>
        <v/>
      </c>
      <c r="F734" s="4">
        <f>SUMIFS('01_異動主檔'!$F:$F,'01_異動主檔'!$B:$B,99,'01_異動主檔'!$D:$D,A734,'01_異動主檔'!$E:$E,"新增")</f>
        <v/>
      </c>
      <c r="G734" s="4">
        <f>-SUMIFS('01_異動主檔'!$F:$F,'01_異動主檔'!$B:$B,99,'01_異動主檔'!$D:$D,A734,'01_異動主檔'!$E:$E,"減列")</f>
        <v/>
      </c>
      <c r="H734" s="4">
        <f>-SUMIFS('01_異動主檔'!$F:$F,'01_異動主檔'!$B:$B,99,'01_異動主檔'!$D:$D,A734,'01_異動主檔'!$E:$E,"精簡")</f>
        <v/>
      </c>
      <c r="I734" s="8">
        <f>C734+D734+E734+F734+G734+H734</f>
        <v/>
      </c>
    </row>
    <row r="735" ht="18" customHeight="1">
      <c r="A735" s="3" t="inlineStr">
        <is>
          <t>文書科</t>
        </is>
      </c>
      <c r="B735" s="4" t="n">
        <v>100</v>
      </c>
      <c r="C735" s="8">
        <f>I734</f>
        <v/>
      </c>
      <c r="D735" s="4">
        <f>SUMIFS('01_異動主檔'!$F:$F,'01_異動主檔'!$B:$B,100,'01_異動主檔'!$D:$D,A735,'01_異動主檔'!$E:$E,"移入")</f>
        <v/>
      </c>
      <c r="E735" s="4">
        <f>-SUMIFS('01_異動主檔'!$F:$F,'01_異動主檔'!$B:$B,100,'01_異動主檔'!$D:$D,A735,'01_異動主檔'!$E:$E,"移出")</f>
        <v/>
      </c>
      <c r="F735" s="4">
        <f>SUMIFS('01_異動主檔'!$F:$F,'01_異動主檔'!$B:$B,100,'01_異動主檔'!$D:$D,A735,'01_異動主檔'!$E:$E,"新增")</f>
        <v/>
      </c>
      <c r="G735" s="4">
        <f>-SUMIFS('01_異動主檔'!$F:$F,'01_異動主檔'!$B:$B,100,'01_異動主檔'!$D:$D,A735,'01_異動主檔'!$E:$E,"減列")</f>
        <v/>
      </c>
      <c r="H735" s="4">
        <f>-SUMIFS('01_異動主檔'!$F:$F,'01_異動主檔'!$B:$B,100,'01_異動主檔'!$D:$D,A735,'01_異動主檔'!$E:$E,"精簡")</f>
        <v/>
      </c>
      <c r="I735" s="8">
        <f>C735+D735+E735+F735+G735+H735</f>
        <v/>
      </c>
    </row>
    <row r="736" ht="18" customHeight="1">
      <c r="A736" s="5" t="inlineStr">
        <is>
          <t>文書科</t>
        </is>
      </c>
      <c r="B736" s="6" t="n">
        <v>101</v>
      </c>
      <c r="C736" s="8">
        <f>I735</f>
        <v/>
      </c>
      <c r="D736" s="4">
        <f>SUMIFS('01_異動主檔'!$F:$F,'01_異動主檔'!$B:$B,101,'01_異動主檔'!$D:$D,A736,'01_異動主檔'!$E:$E,"移入")</f>
        <v/>
      </c>
      <c r="E736" s="4">
        <f>-SUMIFS('01_異動主檔'!$F:$F,'01_異動主檔'!$B:$B,101,'01_異動主檔'!$D:$D,A736,'01_異動主檔'!$E:$E,"移出")</f>
        <v/>
      </c>
      <c r="F736" s="4">
        <f>SUMIFS('01_異動主檔'!$F:$F,'01_異動主檔'!$B:$B,101,'01_異動主檔'!$D:$D,A736,'01_異動主檔'!$E:$E,"新增")</f>
        <v/>
      </c>
      <c r="G736" s="4">
        <f>-SUMIFS('01_異動主檔'!$F:$F,'01_異動主檔'!$B:$B,101,'01_異動主檔'!$D:$D,A736,'01_異動主檔'!$E:$E,"減列")</f>
        <v/>
      </c>
      <c r="H736" s="4">
        <f>-SUMIFS('01_異動主檔'!$F:$F,'01_異動主檔'!$B:$B,101,'01_異動主檔'!$D:$D,A736,'01_異動主檔'!$E:$E,"精簡")</f>
        <v/>
      </c>
      <c r="I736" s="8">
        <f>C736+D736+E736+F736+G736+H736</f>
        <v/>
      </c>
    </row>
    <row r="737" ht="18" customHeight="1">
      <c r="A737" s="3" t="inlineStr">
        <is>
          <t>文書科</t>
        </is>
      </c>
      <c r="B737" s="4" t="n">
        <v>102</v>
      </c>
      <c r="C737" s="8">
        <f>I736</f>
        <v/>
      </c>
      <c r="D737" s="4">
        <f>SUMIFS('01_異動主檔'!$F:$F,'01_異動主檔'!$B:$B,102,'01_異動主檔'!$D:$D,A737,'01_異動主檔'!$E:$E,"移入")</f>
        <v/>
      </c>
      <c r="E737" s="4">
        <f>-SUMIFS('01_異動主檔'!$F:$F,'01_異動主檔'!$B:$B,102,'01_異動主檔'!$D:$D,A737,'01_異動主檔'!$E:$E,"移出")</f>
        <v/>
      </c>
      <c r="F737" s="4">
        <f>SUMIFS('01_異動主檔'!$F:$F,'01_異動主檔'!$B:$B,102,'01_異動主檔'!$D:$D,A737,'01_異動主檔'!$E:$E,"新增")</f>
        <v/>
      </c>
      <c r="G737" s="4">
        <f>-SUMIFS('01_異動主檔'!$F:$F,'01_異動主檔'!$B:$B,102,'01_異動主檔'!$D:$D,A737,'01_異動主檔'!$E:$E,"減列")</f>
        <v/>
      </c>
      <c r="H737" s="4">
        <f>-SUMIFS('01_異動主檔'!$F:$F,'01_異動主檔'!$B:$B,102,'01_異動主檔'!$D:$D,A737,'01_異動主檔'!$E:$E,"精簡")</f>
        <v/>
      </c>
      <c r="I737" s="8">
        <f>C737+D737+E737+F737+G737+H737</f>
        <v/>
      </c>
    </row>
    <row r="738" ht="18" customHeight="1">
      <c r="A738" s="5" t="inlineStr">
        <is>
          <t>文書科</t>
        </is>
      </c>
      <c r="B738" s="6" t="n">
        <v>103</v>
      </c>
      <c r="C738" s="8">
        <f>I737</f>
        <v/>
      </c>
      <c r="D738" s="4">
        <f>SUMIFS('01_異動主檔'!$F:$F,'01_異動主檔'!$B:$B,103,'01_異動主檔'!$D:$D,A738,'01_異動主檔'!$E:$E,"移入")</f>
        <v/>
      </c>
      <c r="E738" s="4">
        <f>-SUMIFS('01_異動主檔'!$F:$F,'01_異動主檔'!$B:$B,103,'01_異動主檔'!$D:$D,A738,'01_異動主檔'!$E:$E,"移出")</f>
        <v/>
      </c>
      <c r="F738" s="4">
        <f>SUMIFS('01_異動主檔'!$F:$F,'01_異動主檔'!$B:$B,103,'01_異動主檔'!$D:$D,A738,'01_異動主檔'!$E:$E,"新增")</f>
        <v/>
      </c>
      <c r="G738" s="4">
        <f>-SUMIFS('01_異動主檔'!$F:$F,'01_異動主檔'!$B:$B,103,'01_異動主檔'!$D:$D,A738,'01_異動主檔'!$E:$E,"減列")</f>
        <v/>
      </c>
      <c r="H738" s="4">
        <f>-SUMIFS('01_異動主檔'!$F:$F,'01_異動主檔'!$B:$B,103,'01_異動主檔'!$D:$D,A738,'01_異動主檔'!$E:$E,"精簡")</f>
        <v/>
      </c>
      <c r="I738" s="8">
        <f>C738+D738+E738+F738+G738+H738</f>
        <v/>
      </c>
    </row>
    <row r="739" ht="18" customHeight="1">
      <c r="A739" s="3" t="inlineStr">
        <is>
          <t>文書科</t>
        </is>
      </c>
      <c r="B739" s="4" t="n">
        <v>104</v>
      </c>
      <c r="C739" s="8">
        <f>I738</f>
        <v/>
      </c>
      <c r="D739" s="4">
        <f>SUMIFS('01_異動主檔'!$F:$F,'01_異動主檔'!$B:$B,104,'01_異動主檔'!$D:$D,A739,'01_異動主檔'!$E:$E,"移入")</f>
        <v/>
      </c>
      <c r="E739" s="4">
        <f>-SUMIFS('01_異動主檔'!$F:$F,'01_異動主檔'!$B:$B,104,'01_異動主檔'!$D:$D,A739,'01_異動主檔'!$E:$E,"移出")</f>
        <v/>
      </c>
      <c r="F739" s="4">
        <f>SUMIFS('01_異動主檔'!$F:$F,'01_異動主檔'!$B:$B,104,'01_異動主檔'!$D:$D,A739,'01_異動主檔'!$E:$E,"新增")</f>
        <v/>
      </c>
      <c r="G739" s="4">
        <f>-SUMIFS('01_異動主檔'!$F:$F,'01_異動主檔'!$B:$B,104,'01_異動主檔'!$D:$D,A739,'01_異動主檔'!$E:$E,"減列")</f>
        <v/>
      </c>
      <c r="H739" s="4">
        <f>-SUMIFS('01_異動主檔'!$F:$F,'01_異動主檔'!$B:$B,104,'01_異動主檔'!$D:$D,A739,'01_異動主檔'!$E:$E,"精簡")</f>
        <v/>
      </c>
      <c r="I739" s="8">
        <f>C739+D739+E739+F739+G739+H739</f>
        <v/>
      </c>
    </row>
    <row r="740" ht="18" customHeight="1">
      <c r="A740" s="5" t="inlineStr">
        <is>
          <t>文書科</t>
        </is>
      </c>
      <c r="B740" s="6" t="n">
        <v>105</v>
      </c>
      <c r="C740" s="8">
        <f>I739</f>
        <v/>
      </c>
      <c r="D740" s="4">
        <f>SUMIFS('01_異動主檔'!$F:$F,'01_異動主檔'!$B:$B,105,'01_異動主檔'!$D:$D,A740,'01_異動主檔'!$E:$E,"移入")</f>
        <v/>
      </c>
      <c r="E740" s="4">
        <f>-SUMIFS('01_異動主檔'!$F:$F,'01_異動主檔'!$B:$B,105,'01_異動主檔'!$D:$D,A740,'01_異動主檔'!$E:$E,"移出")</f>
        <v/>
      </c>
      <c r="F740" s="4">
        <f>SUMIFS('01_異動主檔'!$F:$F,'01_異動主檔'!$B:$B,105,'01_異動主檔'!$D:$D,A740,'01_異動主檔'!$E:$E,"新增")</f>
        <v/>
      </c>
      <c r="G740" s="4">
        <f>-SUMIFS('01_異動主檔'!$F:$F,'01_異動主檔'!$B:$B,105,'01_異動主檔'!$D:$D,A740,'01_異動主檔'!$E:$E,"減列")</f>
        <v/>
      </c>
      <c r="H740" s="4">
        <f>-SUMIFS('01_異動主檔'!$F:$F,'01_異動主檔'!$B:$B,105,'01_異動主檔'!$D:$D,A740,'01_異動主檔'!$E:$E,"精簡")</f>
        <v/>
      </c>
      <c r="I740" s="8">
        <f>C740+D740+E740+F740+G740+H740</f>
        <v/>
      </c>
    </row>
    <row r="741" ht="18" customHeight="1">
      <c r="A741" s="3" t="inlineStr">
        <is>
          <t>文書科</t>
        </is>
      </c>
      <c r="B741" s="4" t="n">
        <v>106</v>
      </c>
      <c r="C741" s="8">
        <f>I740</f>
        <v/>
      </c>
      <c r="D741" s="4">
        <f>SUMIFS('01_異動主檔'!$F:$F,'01_異動主檔'!$B:$B,106,'01_異動主檔'!$D:$D,A741,'01_異動主檔'!$E:$E,"移入")</f>
        <v/>
      </c>
      <c r="E741" s="4">
        <f>-SUMIFS('01_異動主檔'!$F:$F,'01_異動主檔'!$B:$B,106,'01_異動主檔'!$D:$D,A741,'01_異動主檔'!$E:$E,"移出")</f>
        <v/>
      </c>
      <c r="F741" s="4">
        <f>SUMIFS('01_異動主檔'!$F:$F,'01_異動主檔'!$B:$B,106,'01_異動主檔'!$D:$D,A741,'01_異動主檔'!$E:$E,"新增")</f>
        <v/>
      </c>
      <c r="G741" s="4">
        <f>-SUMIFS('01_異動主檔'!$F:$F,'01_異動主檔'!$B:$B,106,'01_異動主檔'!$D:$D,A741,'01_異動主檔'!$E:$E,"減列")</f>
        <v/>
      </c>
      <c r="H741" s="4">
        <f>-SUMIFS('01_異動主檔'!$F:$F,'01_異動主檔'!$B:$B,106,'01_異動主檔'!$D:$D,A741,'01_異動主檔'!$E:$E,"精簡")</f>
        <v/>
      </c>
      <c r="I741" s="8">
        <f>C741+D741+E741+F741+G741+H741</f>
        <v/>
      </c>
    </row>
    <row r="742" ht="18" customHeight="1">
      <c r="A742" s="5" t="inlineStr">
        <is>
          <t>文書科</t>
        </is>
      </c>
      <c r="B742" s="6" t="n">
        <v>107</v>
      </c>
      <c r="C742" s="8">
        <f>I741</f>
        <v/>
      </c>
      <c r="D742" s="4">
        <f>SUMIFS('01_異動主檔'!$F:$F,'01_異動主檔'!$B:$B,107,'01_異動主檔'!$D:$D,A742,'01_異動主檔'!$E:$E,"移入")</f>
        <v/>
      </c>
      <c r="E742" s="4">
        <f>-SUMIFS('01_異動主檔'!$F:$F,'01_異動主檔'!$B:$B,107,'01_異動主檔'!$D:$D,A742,'01_異動主檔'!$E:$E,"移出")</f>
        <v/>
      </c>
      <c r="F742" s="4">
        <f>SUMIFS('01_異動主檔'!$F:$F,'01_異動主檔'!$B:$B,107,'01_異動主檔'!$D:$D,A742,'01_異動主檔'!$E:$E,"新增")</f>
        <v/>
      </c>
      <c r="G742" s="4">
        <f>-SUMIFS('01_異動主檔'!$F:$F,'01_異動主檔'!$B:$B,107,'01_異動主檔'!$D:$D,A742,'01_異動主檔'!$E:$E,"減列")</f>
        <v/>
      </c>
      <c r="H742" s="4">
        <f>-SUMIFS('01_異動主檔'!$F:$F,'01_異動主檔'!$B:$B,107,'01_異動主檔'!$D:$D,A742,'01_異動主檔'!$E:$E,"精簡")</f>
        <v/>
      </c>
      <c r="I742" s="8">
        <f>C742+D742+E742+F742+G742+H742</f>
        <v/>
      </c>
    </row>
    <row r="743" ht="18" customHeight="1">
      <c r="A743" s="3" t="inlineStr">
        <is>
          <t>文書科</t>
        </is>
      </c>
      <c r="B743" s="4" t="n">
        <v>108</v>
      </c>
      <c r="C743" s="8">
        <f>I742</f>
        <v/>
      </c>
      <c r="D743" s="4">
        <f>SUMIFS('01_異動主檔'!$F:$F,'01_異動主檔'!$B:$B,108,'01_異動主檔'!$D:$D,A743,'01_異動主檔'!$E:$E,"移入")</f>
        <v/>
      </c>
      <c r="E743" s="4">
        <f>-SUMIFS('01_異動主檔'!$F:$F,'01_異動主檔'!$B:$B,108,'01_異動主檔'!$D:$D,A743,'01_異動主檔'!$E:$E,"移出")</f>
        <v/>
      </c>
      <c r="F743" s="4">
        <f>SUMIFS('01_異動主檔'!$F:$F,'01_異動主檔'!$B:$B,108,'01_異動主檔'!$D:$D,A743,'01_異動主檔'!$E:$E,"新增")</f>
        <v/>
      </c>
      <c r="G743" s="4">
        <f>-SUMIFS('01_異動主檔'!$F:$F,'01_異動主檔'!$B:$B,108,'01_異動主檔'!$D:$D,A743,'01_異動主檔'!$E:$E,"減列")</f>
        <v/>
      </c>
      <c r="H743" s="4">
        <f>-SUMIFS('01_異動主檔'!$F:$F,'01_異動主檔'!$B:$B,108,'01_異動主檔'!$D:$D,A743,'01_異動主檔'!$E:$E,"精簡")</f>
        <v/>
      </c>
      <c r="I743" s="8">
        <f>C743+D743+E743+F743+G743+H743</f>
        <v/>
      </c>
    </row>
    <row r="744" ht="18" customHeight="1">
      <c r="A744" s="5" t="inlineStr">
        <is>
          <t>文書科</t>
        </is>
      </c>
      <c r="B744" s="6" t="n">
        <v>109</v>
      </c>
      <c r="C744" s="8">
        <f>I743</f>
        <v/>
      </c>
      <c r="D744" s="4">
        <f>SUMIFS('01_異動主檔'!$F:$F,'01_異動主檔'!$B:$B,109,'01_異動主檔'!$D:$D,A744,'01_異動主檔'!$E:$E,"移入")</f>
        <v/>
      </c>
      <c r="E744" s="4">
        <f>-SUMIFS('01_異動主檔'!$F:$F,'01_異動主檔'!$B:$B,109,'01_異動主檔'!$D:$D,A744,'01_異動主檔'!$E:$E,"移出")</f>
        <v/>
      </c>
      <c r="F744" s="4">
        <f>SUMIFS('01_異動主檔'!$F:$F,'01_異動主檔'!$B:$B,109,'01_異動主檔'!$D:$D,A744,'01_異動主檔'!$E:$E,"新增")</f>
        <v/>
      </c>
      <c r="G744" s="4">
        <f>-SUMIFS('01_異動主檔'!$F:$F,'01_異動主檔'!$B:$B,109,'01_異動主檔'!$D:$D,A744,'01_異動主檔'!$E:$E,"減列")</f>
        <v/>
      </c>
      <c r="H744" s="4">
        <f>-SUMIFS('01_異動主檔'!$F:$F,'01_異動主檔'!$B:$B,109,'01_異動主檔'!$D:$D,A744,'01_異動主檔'!$E:$E,"精簡")</f>
        <v/>
      </c>
      <c r="I744" s="8">
        <f>C744+D744+E744+F744+G744+H744</f>
        <v/>
      </c>
    </row>
    <row r="745" ht="18" customHeight="1">
      <c r="A745" s="3" t="inlineStr">
        <is>
          <t>文書科</t>
        </is>
      </c>
      <c r="B745" s="4" t="n">
        <v>110</v>
      </c>
      <c r="C745" s="8">
        <f>I744</f>
        <v/>
      </c>
      <c r="D745" s="4">
        <f>SUMIFS('01_異動主檔'!$F:$F,'01_異動主檔'!$B:$B,110,'01_異動主檔'!$D:$D,A745,'01_異動主檔'!$E:$E,"移入")</f>
        <v/>
      </c>
      <c r="E745" s="4">
        <f>-SUMIFS('01_異動主檔'!$F:$F,'01_異動主檔'!$B:$B,110,'01_異動主檔'!$D:$D,A745,'01_異動主檔'!$E:$E,"移出")</f>
        <v/>
      </c>
      <c r="F745" s="4">
        <f>SUMIFS('01_異動主檔'!$F:$F,'01_異動主檔'!$B:$B,110,'01_異動主檔'!$D:$D,A745,'01_異動主檔'!$E:$E,"新增")</f>
        <v/>
      </c>
      <c r="G745" s="4">
        <f>-SUMIFS('01_異動主檔'!$F:$F,'01_異動主檔'!$B:$B,110,'01_異動主檔'!$D:$D,A745,'01_異動主檔'!$E:$E,"減列")</f>
        <v/>
      </c>
      <c r="H745" s="4">
        <f>-SUMIFS('01_異動主檔'!$F:$F,'01_異動主檔'!$B:$B,110,'01_異動主檔'!$D:$D,A745,'01_異動主檔'!$E:$E,"精簡")</f>
        <v/>
      </c>
      <c r="I745" s="8">
        <f>C745+D745+E745+F745+G745+H745</f>
        <v/>
      </c>
    </row>
    <row r="746" ht="18" customHeight="1">
      <c r="A746" s="5" t="inlineStr">
        <is>
          <t>文書科</t>
        </is>
      </c>
      <c r="B746" s="6" t="n">
        <v>111</v>
      </c>
      <c r="C746" s="8">
        <f>I745</f>
        <v/>
      </c>
      <c r="D746" s="4">
        <f>SUMIFS('01_異動主檔'!$F:$F,'01_異動主檔'!$B:$B,111,'01_異動主檔'!$D:$D,A746,'01_異動主檔'!$E:$E,"移入")</f>
        <v/>
      </c>
      <c r="E746" s="4">
        <f>-SUMIFS('01_異動主檔'!$F:$F,'01_異動主檔'!$B:$B,111,'01_異動主檔'!$D:$D,A746,'01_異動主檔'!$E:$E,"移出")</f>
        <v/>
      </c>
      <c r="F746" s="4">
        <f>SUMIFS('01_異動主檔'!$F:$F,'01_異動主檔'!$B:$B,111,'01_異動主檔'!$D:$D,A746,'01_異動主檔'!$E:$E,"新增")</f>
        <v/>
      </c>
      <c r="G746" s="4">
        <f>-SUMIFS('01_異動主檔'!$F:$F,'01_異動主檔'!$B:$B,111,'01_異動主檔'!$D:$D,A746,'01_異動主檔'!$E:$E,"減列")</f>
        <v/>
      </c>
      <c r="H746" s="4">
        <f>-SUMIFS('01_異動主檔'!$F:$F,'01_異動主檔'!$B:$B,111,'01_異動主檔'!$D:$D,A746,'01_異動主檔'!$E:$E,"精簡")</f>
        <v/>
      </c>
      <c r="I746" s="8">
        <f>C746+D746+E746+F746+G746+H746</f>
        <v/>
      </c>
    </row>
    <row r="747" ht="18" customHeight="1">
      <c r="A747" s="3" t="inlineStr">
        <is>
          <t>文書科</t>
        </is>
      </c>
      <c r="B747" s="4" t="n">
        <v>112</v>
      </c>
      <c r="C747" s="8">
        <f>I746</f>
        <v/>
      </c>
      <c r="D747" s="4">
        <f>SUMIFS('01_異動主檔'!$F:$F,'01_異動主檔'!$B:$B,112,'01_異動主檔'!$D:$D,A747,'01_異動主檔'!$E:$E,"移入")</f>
        <v/>
      </c>
      <c r="E747" s="4">
        <f>-SUMIFS('01_異動主檔'!$F:$F,'01_異動主檔'!$B:$B,112,'01_異動主檔'!$D:$D,A747,'01_異動主檔'!$E:$E,"移出")</f>
        <v/>
      </c>
      <c r="F747" s="4">
        <f>SUMIFS('01_異動主檔'!$F:$F,'01_異動主檔'!$B:$B,112,'01_異動主檔'!$D:$D,A747,'01_異動主檔'!$E:$E,"新增")</f>
        <v/>
      </c>
      <c r="G747" s="4">
        <f>-SUMIFS('01_異動主檔'!$F:$F,'01_異動主檔'!$B:$B,112,'01_異動主檔'!$D:$D,A747,'01_異動主檔'!$E:$E,"減列")</f>
        <v/>
      </c>
      <c r="H747" s="4">
        <f>-SUMIFS('01_異動主檔'!$F:$F,'01_異動主檔'!$B:$B,112,'01_異動主檔'!$D:$D,A747,'01_異動主檔'!$E:$E,"精簡")</f>
        <v/>
      </c>
      <c r="I747" s="8">
        <f>C747+D747+E747+F747+G747+H747</f>
        <v/>
      </c>
    </row>
    <row r="748" ht="18" customHeight="1">
      <c r="A748" s="5" t="inlineStr">
        <is>
          <t>文書科</t>
        </is>
      </c>
      <c r="B748" s="6" t="n">
        <v>113</v>
      </c>
      <c r="C748" s="8">
        <f>I747</f>
        <v/>
      </c>
      <c r="D748" s="4">
        <f>SUMIFS('01_異動主檔'!$F:$F,'01_異動主檔'!$B:$B,113,'01_異動主檔'!$D:$D,A748,'01_異動主檔'!$E:$E,"移入")</f>
        <v/>
      </c>
      <c r="E748" s="4">
        <f>-SUMIFS('01_異動主檔'!$F:$F,'01_異動主檔'!$B:$B,113,'01_異動主檔'!$D:$D,A748,'01_異動主檔'!$E:$E,"移出")</f>
        <v/>
      </c>
      <c r="F748" s="4">
        <f>SUMIFS('01_異動主檔'!$F:$F,'01_異動主檔'!$B:$B,113,'01_異動主檔'!$D:$D,A748,'01_異動主檔'!$E:$E,"新增")</f>
        <v/>
      </c>
      <c r="G748" s="4">
        <f>-SUMIFS('01_異動主檔'!$F:$F,'01_異動主檔'!$B:$B,113,'01_異動主檔'!$D:$D,A748,'01_異動主檔'!$E:$E,"減列")</f>
        <v/>
      </c>
      <c r="H748" s="4">
        <f>-SUMIFS('01_異動主檔'!$F:$F,'01_異動主檔'!$B:$B,113,'01_異動主檔'!$D:$D,A748,'01_異動主檔'!$E:$E,"精簡")</f>
        <v/>
      </c>
      <c r="I748" s="8">
        <f>C748+D748+E748+F748+G748+H748</f>
        <v/>
      </c>
    </row>
    <row r="749" ht="18" customHeight="1">
      <c r="A749" s="3" t="inlineStr">
        <is>
          <t>文書科</t>
        </is>
      </c>
      <c r="B749" s="4" t="n">
        <v>114</v>
      </c>
      <c r="C749" s="8">
        <f>I748</f>
        <v/>
      </c>
      <c r="D749" s="4">
        <f>SUMIFS('01_異動主檔'!$F:$F,'01_異動主檔'!$B:$B,114,'01_異動主檔'!$D:$D,A749,'01_異動主檔'!$E:$E,"移入")</f>
        <v/>
      </c>
      <c r="E749" s="4">
        <f>-SUMIFS('01_異動主檔'!$F:$F,'01_異動主檔'!$B:$B,114,'01_異動主檔'!$D:$D,A749,'01_異動主檔'!$E:$E,"移出")</f>
        <v/>
      </c>
      <c r="F749" s="4">
        <f>SUMIFS('01_異動主檔'!$F:$F,'01_異動主檔'!$B:$B,114,'01_異動主檔'!$D:$D,A749,'01_異動主檔'!$E:$E,"新增")</f>
        <v/>
      </c>
      <c r="G749" s="4">
        <f>-SUMIFS('01_異動主檔'!$F:$F,'01_異動主檔'!$B:$B,114,'01_異動主檔'!$D:$D,A749,'01_異動主檔'!$E:$E,"減列")</f>
        <v/>
      </c>
      <c r="H749" s="4">
        <f>-SUMIFS('01_異動主檔'!$F:$F,'01_異動主檔'!$B:$B,114,'01_異動主檔'!$D:$D,A749,'01_異動主檔'!$E:$E,"精簡")</f>
        <v/>
      </c>
      <c r="I749" s="8">
        <f>C749+D749+E749+F749+G749+H749</f>
        <v/>
      </c>
    </row>
    <row r="750" ht="18" customHeight="1">
      <c r="A750" s="5" t="inlineStr">
        <is>
          <t>文書科</t>
        </is>
      </c>
      <c r="B750" s="6" t="n">
        <v>115</v>
      </c>
      <c r="C750" s="8">
        <f>I749</f>
        <v/>
      </c>
      <c r="D750" s="4">
        <f>SUMIFS('01_異動主檔'!$F:$F,'01_異動主檔'!$B:$B,115,'01_異動主檔'!$D:$D,A750,'01_異動主檔'!$E:$E,"移入")</f>
        <v/>
      </c>
      <c r="E750" s="4">
        <f>-SUMIFS('01_異動主檔'!$F:$F,'01_異動主檔'!$B:$B,115,'01_異動主檔'!$D:$D,A750,'01_異動主檔'!$E:$E,"移出")</f>
        <v/>
      </c>
      <c r="F750" s="4">
        <f>SUMIFS('01_異動主檔'!$F:$F,'01_異動主檔'!$B:$B,115,'01_異動主檔'!$D:$D,A750,'01_異動主檔'!$E:$E,"新增")</f>
        <v/>
      </c>
      <c r="G750" s="4">
        <f>-SUMIFS('01_異動主檔'!$F:$F,'01_異動主檔'!$B:$B,115,'01_異動主檔'!$D:$D,A750,'01_異動主檔'!$E:$E,"減列")</f>
        <v/>
      </c>
      <c r="H750" s="4">
        <f>-SUMIFS('01_異動主檔'!$F:$F,'01_異動主檔'!$B:$B,115,'01_異動主檔'!$D:$D,A750,'01_異動主檔'!$E:$E,"精簡")</f>
        <v/>
      </c>
      <c r="I750" s="8">
        <f>C750+D750+E750+F750+G750+H750</f>
        <v/>
      </c>
    </row>
    <row r="751" ht="18" customHeight="1">
      <c r="A751" s="3" t="inlineStr">
        <is>
          <t>文書科</t>
        </is>
      </c>
      <c r="B751" s="4" t="n">
        <v>116</v>
      </c>
      <c r="C751" s="8">
        <f>I750</f>
        <v/>
      </c>
      <c r="D751" s="4">
        <f>SUMIFS('01_異動主檔'!$F:$F,'01_異動主檔'!$B:$B,116,'01_異動主檔'!$D:$D,A751,'01_異動主檔'!$E:$E,"移入")</f>
        <v/>
      </c>
      <c r="E751" s="4">
        <f>-SUMIFS('01_異動主檔'!$F:$F,'01_異動主檔'!$B:$B,116,'01_異動主檔'!$D:$D,A751,'01_異動主檔'!$E:$E,"移出")</f>
        <v/>
      </c>
      <c r="F751" s="4">
        <f>SUMIFS('01_異動主檔'!$F:$F,'01_異動主檔'!$B:$B,116,'01_異動主檔'!$D:$D,A751,'01_異動主檔'!$E:$E,"新增")</f>
        <v/>
      </c>
      <c r="G751" s="4">
        <f>-SUMIFS('01_異動主檔'!$F:$F,'01_異動主檔'!$B:$B,116,'01_異動主檔'!$D:$D,A751,'01_異動主檔'!$E:$E,"減列")</f>
        <v/>
      </c>
      <c r="H751" s="4">
        <f>-SUMIFS('01_異動主檔'!$F:$F,'01_異動主檔'!$B:$B,116,'01_異動主檔'!$D:$D,A751,'01_異動主檔'!$E:$E,"精簡")</f>
        <v/>
      </c>
      <c r="I751" s="8">
        <f>C751+D751+E751+F751+G751+H751</f>
        <v/>
      </c>
    </row>
    <row r="752" ht="18" customHeight="1">
      <c r="A752" s="5" t="inlineStr">
        <is>
          <t>文書科</t>
        </is>
      </c>
      <c r="B752" s="6" t="n">
        <v>117</v>
      </c>
      <c r="C752" s="8">
        <f>I751</f>
        <v/>
      </c>
      <c r="D752" s="4">
        <f>SUMIFS('01_異動主檔'!$F:$F,'01_異動主檔'!$B:$B,117,'01_異動主檔'!$D:$D,A752,'01_異動主檔'!$E:$E,"移入")</f>
        <v/>
      </c>
      <c r="E752" s="4">
        <f>-SUMIFS('01_異動主檔'!$F:$F,'01_異動主檔'!$B:$B,117,'01_異動主檔'!$D:$D,A752,'01_異動主檔'!$E:$E,"移出")</f>
        <v/>
      </c>
      <c r="F752" s="4">
        <f>SUMIFS('01_異動主檔'!$F:$F,'01_異動主檔'!$B:$B,117,'01_異動主檔'!$D:$D,A752,'01_異動主檔'!$E:$E,"新增")</f>
        <v/>
      </c>
      <c r="G752" s="4">
        <f>-SUMIFS('01_異動主檔'!$F:$F,'01_異動主檔'!$B:$B,117,'01_異動主檔'!$D:$D,A752,'01_異動主檔'!$E:$E,"減列")</f>
        <v/>
      </c>
      <c r="H752" s="4">
        <f>-SUMIFS('01_異動主檔'!$F:$F,'01_異動主檔'!$B:$B,117,'01_異動主檔'!$D:$D,A752,'01_異動主檔'!$E:$E,"精簡")</f>
        <v/>
      </c>
      <c r="I752" s="8">
        <f>C752+D752+E752+F752+G752+H752</f>
        <v/>
      </c>
    </row>
    <row r="753" ht="18" customHeight="1">
      <c r="A753" s="3" t="inlineStr">
        <is>
          <t>文書科</t>
        </is>
      </c>
      <c r="B753" s="4" t="n">
        <v>118</v>
      </c>
      <c r="C753" s="8">
        <f>I752</f>
        <v/>
      </c>
      <c r="D753" s="4">
        <f>SUMIFS('01_異動主檔'!$F:$F,'01_異動主檔'!$B:$B,118,'01_異動主檔'!$D:$D,A753,'01_異動主檔'!$E:$E,"移入")</f>
        <v/>
      </c>
      <c r="E753" s="4">
        <f>-SUMIFS('01_異動主檔'!$F:$F,'01_異動主檔'!$B:$B,118,'01_異動主檔'!$D:$D,A753,'01_異動主檔'!$E:$E,"移出")</f>
        <v/>
      </c>
      <c r="F753" s="4">
        <f>SUMIFS('01_異動主檔'!$F:$F,'01_異動主檔'!$B:$B,118,'01_異動主檔'!$D:$D,A753,'01_異動主檔'!$E:$E,"新增")</f>
        <v/>
      </c>
      <c r="G753" s="4">
        <f>-SUMIFS('01_異動主檔'!$F:$F,'01_異動主檔'!$B:$B,118,'01_異動主檔'!$D:$D,A753,'01_異動主檔'!$E:$E,"減列")</f>
        <v/>
      </c>
      <c r="H753" s="4">
        <f>-SUMIFS('01_異動主檔'!$F:$F,'01_異動主檔'!$B:$B,118,'01_異動主檔'!$D:$D,A753,'01_異動主檔'!$E:$E,"精簡")</f>
        <v/>
      </c>
      <c r="I753" s="8">
        <f>C753+D753+E753+F753+G753+H753</f>
        <v/>
      </c>
    </row>
    <row r="754" ht="18" customHeight="1">
      <c r="A754" s="5" t="inlineStr">
        <is>
          <t>文書科</t>
        </is>
      </c>
      <c r="B754" s="6" t="n">
        <v>119</v>
      </c>
      <c r="C754" s="8">
        <f>I753</f>
        <v/>
      </c>
      <c r="D754" s="4">
        <f>SUMIFS('01_異動主檔'!$F:$F,'01_異動主檔'!$B:$B,119,'01_異動主檔'!$D:$D,A754,'01_異動主檔'!$E:$E,"移入")</f>
        <v/>
      </c>
      <c r="E754" s="4">
        <f>-SUMIFS('01_異動主檔'!$F:$F,'01_異動主檔'!$B:$B,119,'01_異動主檔'!$D:$D,A754,'01_異動主檔'!$E:$E,"移出")</f>
        <v/>
      </c>
      <c r="F754" s="4">
        <f>SUMIFS('01_異動主檔'!$F:$F,'01_異動主檔'!$B:$B,119,'01_異動主檔'!$D:$D,A754,'01_異動主檔'!$E:$E,"新增")</f>
        <v/>
      </c>
      <c r="G754" s="4">
        <f>-SUMIFS('01_異動主檔'!$F:$F,'01_異動主檔'!$B:$B,119,'01_異動主檔'!$D:$D,A754,'01_異動主檔'!$E:$E,"減列")</f>
        <v/>
      </c>
      <c r="H754" s="4">
        <f>-SUMIFS('01_異動主檔'!$F:$F,'01_異動主檔'!$B:$B,119,'01_異動主檔'!$D:$D,A754,'01_異動主檔'!$E:$E,"精簡")</f>
        <v/>
      </c>
      <c r="I754" s="8">
        <f>C754+D754+E754+F754+G754+H754</f>
        <v/>
      </c>
    </row>
    <row r="755" ht="18" customHeight="1">
      <c r="A755" s="3" t="inlineStr">
        <is>
          <t>文書科</t>
        </is>
      </c>
      <c r="B755" s="4" t="n">
        <v>120</v>
      </c>
      <c r="C755" s="8">
        <f>I754</f>
        <v/>
      </c>
      <c r="D755" s="4">
        <f>SUMIFS('01_異動主檔'!$F:$F,'01_異動主檔'!$B:$B,120,'01_異動主檔'!$D:$D,A755,'01_異動主檔'!$E:$E,"移入")</f>
        <v/>
      </c>
      <c r="E755" s="4">
        <f>-SUMIFS('01_異動主檔'!$F:$F,'01_異動主檔'!$B:$B,120,'01_異動主檔'!$D:$D,A755,'01_異動主檔'!$E:$E,"移出")</f>
        <v/>
      </c>
      <c r="F755" s="4">
        <f>SUMIFS('01_異動主檔'!$F:$F,'01_異動主檔'!$B:$B,120,'01_異動主檔'!$D:$D,A755,'01_異動主檔'!$E:$E,"新增")</f>
        <v/>
      </c>
      <c r="G755" s="4">
        <f>-SUMIFS('01_異動主檔'!$F:$F,'01_異動主檔'!$B:$B,120,'01_異動主檔'!$D:$D,A755,'01_異動主檔'!$E:$E,"減列")</f>
        <v/>
      </c>
      <c r="H755" s="4">
        <f>-SUMIFS('01_異動主檔'!$F:$F,'01_異動主檔'!$B:$B,120,'01_異動主檔'!$D:$D,A755,'01_異動主檔'!$E:$E,"精簡")</f>
        <v/>
      </c>
      <c r="I755" s="8">
        <f>C755+D755+E755+F755+G755+H755</f>
        <v/>
      </c>
    </row>
    <row r="756" ht="18" customHeight="1">
      <c r="A756" s="5" t="inlineStr">
        <is>
          <t>文書科</t>
        </is>
      </c>
      <c r="B756" s="6" t="n">
        <v>121</v>
      </c>
      <c r="C756" s="8">
        <f>I755</f>
        <v/>
      </c>
      <c r="D756" s="4">
        <f>SUMIFS('01_異動主檔'!$F:$F,'01_異動主檔'!$B:$B,121,'01_異動主檔'!$D:$D,A756,'01_異動主檔'!$E:$E,"移入")</f>
        <v/>
      </c>
      <c r="E756" s="4">
        <f>-SUMIFS('01_異動主檔'!$F:$F,'01_異動主檔'!$B:$B,121,'01_異動主檔'!$D:$D,A756,'01_異動主檔'!$E:$E,"移出")</f>
        <v/>
      </c>
      <c r="F756" s="4">
        <f>SUMIFS('01_異動主檔'!$F:$F,'01_異動主檔'!$B:$B,121,'01_異動主檔'!$D:$D,A756,'01_異動主檔'!$E:$E,"新增")</f>
        <v/>
      </c>
      <c r="G756" s="4">
        <f>-SUMIFS('01_異動主檔'!$F:$F,'01_異動主檔'!$B:$B,121,'01_異動主檔'!$D:$D,A756,'01_異動主檔'!$E:$E,"減列")</f>
        <v/>
      </c>
      <c r="H756" s="4">
        <f>-SUMIFS('01_異動主檔'!$F:$F,'01_異動主檔'!$B:$B,121,'01_異動主檔'!$D:$D,A756,'01_異動主檔'!$E:$E,"精簡")</f>
        <v/>
      </c>
      <c r="I756" s="8">
        <f>C756+D756+E756+F756+G756+H756</f>
        <v/>
      </c>
    </row>
    <row r="757" ht="18" customHeight="1">
      <c r="A757" s="3" t="inlineStr">
        <is>
          <t>文書科</t>
        </is>
      </c>
      <c r="B757" s="4" t="n">
        <v>122</v>
      </c>
      <c r="C757" s="8">
        <f>I756</f>
        <v/>
      </c>
      <c r="D757" s="4">
        <f>SUMIFS('01_異動主檔'!$F:$F,'01_異動主檔'!$B:$B,122,'01_異動主檔'!$D:$D,A757,'01_異動主檔'!$E:$E,"移入")</f>
        <v/>
      </c>
      <c r="E757" s="4">
        <f>-SUMIFS('01_異動主檔'!$F:$F,'01_異動主檔'!$B:$B,122,'01_異動主檔'!$D:$D,A757,'01_異動主檔'!$E:$E,"移出")</f>
        <v/>
      </c>
      <c r="F757" s="4">
        <f>SUMIFS('01_異動主檔'!$F:$F,'01_異動主檔'!$B:$B,122,'01_異動主檔'!$D:$D,A757,'01_異動主檔'!$E:$E,"新增")</f>
        <v/>
      </c>
      <c r="G757" s="4">
        <f>-SUMIFS('01_異動主檔'!$F:$F,'01_異動主檔'!$B:$B,122,'01_異動主檔'!$D:$D,A757,'01_異動主檔'!$E:$E,"減列")</f>
        <v/>
      </c>
      <c r="H757" s="4">
        <f>-SUMIFS('01_異動主檔'!$F:$F,'01_異動主檔'!$B:$B,122,'01_異動主檔'!$D:$D,A757,'01_異動主檔'!$E:$E,"精簡")</f>
        <v/>
      </c>
      <c r="I757" s="8">
        <f>C757+D757+E757+F757+G757+H757</f>
        <v/>
      </c>
    </row>
    <row r="758" ht="18" customHeight="1">
      <c r="A758" s="5" t="inlineStr">
        <is>
          <t>文書科</t>
        </is>
      </c>
      <c r="B758" s="6" t="n">
        <v>123</v>
      </c>
      <c r="C758" s="8">
        <f>I757</f>
        <v/>
      </c>
      <c r="D758" s="4">
        <f>SUMIFS('01_異動主檔'!$F:$F,'01_異動主檔'!$B:$B,123,'01_異動主檔'!$D:$D,A758,'01_異動主檔'!$E:$E,"移入")</f>
        <v/>
      </c>
      <c r="E758" s="4">
        <f>-SUMIFS('01_異動主檔'!$F:$F,'01_異動主檔'!$B:$B,123,'01_異動主檔'!$D:$D,A758,'01_異動主檔'!$E:$E,"移出")</f>
        <v/>
      </c>
      <c r="F758" s="4">
        <f>SUMIFS('01_異動主檔'!$F:$F,'01_異動主檔'!$B:$B,123,'01_異動主檔'!$D:$D,A758,'01_異動主檔'!$E:$E,"新增")</f>
        <v/>
      </c>
      <c r="G758" s="4">
        <f>-SUMIFS('01_異動主檔'!$F:$F,'01_異動主檔'!$B:$B,123,'01_異動主檔'!$D:$D,A758,'01_異動主檔'!$E:$E,"減列")</f>
        <v/>
      </c>
      <c r="H758" s="4">
        <f>-SUMIFS('01_異動主檔'!$F:$F,'01_異動主檔'!$B:$B,123,'01_異動主檔'!$D:$D,A758,'01_異動主檔'!$E:$E,"精簡")</f>
        <v/>
      </c>
      <c r="I758" s="8">
        <f>C758+D758+E758+F758+G758+H758</f>
        <v/>
      </c>
    </row>
    <row r="759" ht="18" customHeight="1">
      <c r="A759" s="3" t="inlineStr">
        <is>
          <t>文書科</t>
        </is>
      </c>
      <c r="B759" s="4" t="n">
        <v>124</v>
      </c>
      <c r="C759" s="8">
        <f>I758</f>
        <v/>
      </c>
      <c r="D759" s="4">
        <f>SUMIFS('01_異動主檔'!$F:$F,'01_異動主檔'!$B:$B,124,'01_異動主檔'!$D:$D,A759,'01_異動主檔'!$E:$E,"移入")</f>
        <v/>
      </c>
      <c r="E759" s="4">
        <f>-SUMIFS('01_異動主檔'!$F:$F,'01_異動主檔'!$B:$B,124,'01_異動主檔'!$D:$D,A759,'01_異動主檔'!$E:$E,"移出")</f>
        <v/>
      </c>
      <c r="F759" s="4">
        <f>SUMIFS('01_異動主檔'!$F:$F,'01_異動主檔'!$B:$B,124,'01_異動主檔'!$D:$D,A759,'01_異動主檔'!$E:$E,"新增")</f>
        <v/>
      </c>
      <c r="G759" s="4">
        <f>-SUMIFS('01_異動主檔'!$F:$F,'01_異動主檔'!$B:$B,124,'01_異動主檔'!$D:$D,A759,'01_異動主檔'!$E:$E,"減列")</f>
        <v/>
      </c>
      <c r="H759" s="4">
        <f>-SUMIFS('01_異動主檔'!$F:$F,'01_異動主檔'!$B:$B,124,'01_異動主檔'!$D:$D,A759,'01_異動主檔'!$E:$E,"精簡")</f>
        <v/>
      </c>
      <c r="I759" s="8">
        <f>C759+D759+E759+F759+G759+H759</f>
        <v/>
      </c>
    </row>
    <row r="760" ht="18" customHeight="1">
      <c r="A760" s="5" t="inlineStr">
        <is>
          <t>文書科</t>
        </is>
      </c>
      <c r="B760" s="6" t="n">
        <v>125</v>
      </c>
      <c r="C760" s="8">
        <f>I759</f>
        <v/>
      </c>
      <c r="D760" s="4">
        <f>SUMIFS('01_異動主檔'!$F:$F,'01_異動主檔'!$B:$B,125,'01_異動主檔'!$D:$D,A760,'01_異動主檔'!$E:$E,"移入")</f>
        <v/>
      </c>
      <c r="E760" s="4">
        <f>-SUMIFS('01_異動主檔'!$F:$F,'01_異動主檔'!$B:$B,125,'01_異動主檔'!$D:$D,A760,'01_異動主檔'!$E:$E,"移出")</f>
        <v/>
      </c>
      <c r="F760" s="4">
        <f>SUMIFS('01_異動主檔'!$F:$F,'01_異動主檔'!$B:$B,125,'01_異動主檔'!$D:$D,A760,'01_異動主檔'!$E:$E,"新增")</f>
        <v/>
      </c>
      <c r="G760" s="4">
        <f>-SUMIFS('01_異動主檔'!$F:$F,'01_異動主檔'!$B:$B,125,'01_異動主檔'!$D:$D,A760,'01_異動主檔'!$E:$E,"減列")</f>
        <v/>
      </c>
      <c r="H760" s="4">
        <f>-SUMIFS('01_異動主檔'!$F:$F,'01_異動主檔'!$B:$B,125,'01_異動主檔'!$D:$D,A760,'01_異動主檔'!$E:$E,"精簡")</f>
        <v/>
      </c>
      <c r="I760" s="8">
        <f>C760+D760+E760+F760+G760+H760</f>
        <v/>
      </c>
    </row>
    <row r="761" ht="18" customHeight="1">
      <c r="A761" s="3" t="inlineStr">
        <is>
          <t>出納科</t>
        </is>
      </c>
      <c r="B761" s="4" t="n">
        <v>99</v>
      </c>
      <c r="C761" s="8">
        <f>'02_年初員額設定'!B33</f>
        <v/>
      </c>
      <c r="D761" s="4">
        <f>SUMIFS('01_異動主檔'!$F:$F,'01_異動主檔'!$B:$B,99,'01_異動主檔'!$D:$D,A761,'01_異動主檔'!$E:$E,"移入")</f>
        <v/>
      </c>
      <c r="E761" s="4">
        <f>-SUMIFS('01_異動主檔'!$F:$F,'01_異動主檔'!$B:$B,99,'01_異動主檔'!$D:$D,A761,'01_異動主檔'!$E:$E,"移出")</f>
        <v/>
      </c>
      <c r="F761" s="4">
        <f>SUMIFS('01_異動主檔'!$F:$F,'01_異動主檔'!$B:$B,99,'01_異動主檔'!$D:$D,A761,'01_異動主檔'!$E:$E,"新增")</f>
        <v/>
      </c>
      <c r="G761" s="4">
        <f>-SUMIFS('01_異動主檔'!$F:$F,'01_異動主檔'!$B:$B,99,'01_異動主檔'!$D:$D,A761,'01_異動主檔'!$E:$E,"減列")</f>
        <v/>
      </c>
      <c r="H761" s="4">
        <f>-SUMIFS('01_異動主檔'!$F:$F,'01_異動主檔'!$B:$B,99,'01_異動主檔'!$D:$D,A761,'01_異動主檔'!$E:$E,"精簡")</f>
        <v/>
      </c>
      <c r="I761" s="8">
        <f>C761+D761+E761+F761+G761+H761</f>
        <v/>
      </c>
    </row>
    <row r="762" ht="18" customHeight="1">
      <c r="A762" s="5" t="inlineStr">
        <is>
          <t>出納科</t>
        </is>
      </c>
      <c r="B762" s="6" t="n">
        <v>100</v>
      </c>
      <c r="C762" s="8">
        <f>I761</f>
        <v/>
      </c>
      <c r="D762" s="4">
        <f>SUMIFS('01_異動主檔'!$F:$F,'01_異動主檔'!$B:$B,100,'01_異動主檔'!$D:$D,A762,'01_異動主檔'!$E:$E,"移入")</f>
        <v/>
      </c>
      <c r="E762" s="4">
        <f>-SUMIFS('01_異動主檔'!$F:$F,'01_異動主檔'!$B:$B,100,'01_異動主檔'!$D:$D,A762,'01_異動主檔'!$E:$E,"移出")</f>
        <v/>
      </c>
      <c r="F762" s="4">
        <f>SUMIFS('01_異動主檔'!$F:$F,'01_異動主檔'!$B:$B,100,'01_異動主檔'!$D:$D,A762,'01_異動主檔'!$E:$E,"新增")</f>
        <v/>
      </c>
      <c r="G762" s="4">
        <f>-SUMIFS('01_異動主檔'!$F:$F,'01_異動主檔'!$B:$B,100,'01_異動主檔'!$D:$D,A762,'01_異動主檔'!$E:$E,"減列")</f>
        <v/>
      </c>
      <c r="H762" s="4">
        <f>-SUMIFS('01_異動主檔'!$F:$F,'01_異動主檔'!$B:$B,100,'01_異動主檔'!$D:$D,A762,'01_異動主檔'!$E:$E,"精簡")</f>
        <v/>
      </c>
      <c r="I762" s="8">
        <f>C762+D762+E762+F762+G762+H762</f>
        <v/>
      </c>
    </row>
    <row r="763" ht="18" customHeight="1">
      <c r="A763" s="3" t="inlineStr">
        <is>
          <t>出納科</t>
        </is>
      </c>
      <c r="B763" s="4" t="n">
        <v>101</v>
      </c>
      <c r="C763" s="8">
        <f>I762</f>
        <v/>
      </c>
      <c r="D763" s="4">
        <f>SUMIFS('01_異動主檔'!$F:$F,'01_異動主檔'!$B:$B,101,'01_異動主檔'!$D:$D,A763,'01_異動主檔'!$E:$E,"移入")</f>
        <v/>
      </c>
      <c r="E763" s="4">
        <f>-SUMIFS('01_異動主檔'!$F:$F,'01_異動主檔'!$B:$B,101,'01_異動主檔'!$D:$D,A763,'01_異動主檔'!$E:$E,"移出")</f>
        <v/>
      </c>
      <c r="F763" s="4">
        <f>SUMIFS('01_異動主檔'!$F:$F,'01_異動主檔'!$B:$B,101,'01_異動主檔'!$D:$D,A763,'01_異動主檔'!$E:$E,"新增")</f>
        <v/>
      </c>
      <c r="G763" s="4">
        <f>-SUMIFS('01_異動主檔'!$F:$F,'01_異動主檔'!$B:$B,101,'01_異動主檔'!$D:$D,A763,'01_異動主檔'!$E:$E,"減列")</f>
        <v/>
      </c>
      <c r="H763" s="4">
        <f>-SUMIFS('01_異動主檔'!$F:$F,'01_異動主檔'!$B:$B,101,'01_異動主檔'!$D:$D,A763,'01_異動主檔'!$E:$E,"精簡")</f>
        <v/>
      </c>
      <c r="I763" s="8">
        <f>C763+D763+E763+F763+G763+H763</f>
        <v/>
      </c>
    </row>
    <row r="764" ht="18" customHeight="1">
      <c r="A764" s="5" t="inlineStr">
        <is>
          <t>出納科</t>
        </is>
      </c>
      <c r="B764" s="6" t="n">
        <v>102</v>
      </c>
      <c r="C764" s="8">
        <f>I763</f>
        <v/>
      </c>
      <c r="D764" s="4">
        <f>SUMIFS('01_異動主檔'!$F:$F,'01_異動主檔'!$B:$B,102,'01_異動主檔'!$D:$D,A764,'01_異動主檔'!$E:$E,"移入")</f>
        <v/>
      </c>
      <c r="E764" s="4">
        <f>-SUMIFS('01_異動主檔'!$F:$F,'01_異動主檔'!$B:$B,102,'01_異動主檔'!$D:$D,A764,'01_異動主檔'!$E:$E,"移出")</f>
        <v/>
      </c>
      <c r="F764" s="4">
        <f>SUMIFS('01_異動主檔'!$F:$F,'01_異動主檔'!$B:$B,102,'01_異動主檔'!$D:$D,A764,'01_異動主檔'!$E:$E,"新增")</f>
        <v/>
      </c>
      <c r="G764" s="4">
        <f>-SUMIFS('01_異動主檔'!$F:$F,'01_異動主檔'!$B:$B,102,'01_異動主檔'!$D:$D,A764,'01_異動主檔'!$E:$E,"減列")</f>
        <v/>
      </c>
      <c r="H764" s="4">
        <f>-SUMIFS('01_異動主檔'!$F:$F,'01_異動主檔'!$B:$B,102,'01_異動主檔'!$D:$D,A764,'01_異動主檔'!$E:$E,"精簡")</f>
        <v/>
      </c>
      <c r="I764" s="8">
        <f>C764+D764+E764+F764+G764+H764</f>
        <v/>
      </c>
    </row>
    <row r="765" ht="18" customHeight="1">
      <c r="A765" s="3" t="inlineStr">
        <is>
          <t>出納科</t>
        </is>
      </c>
      <c r="B765" s="4" t="n">
        <v>103</v>
      </c>
      <c r="C765" s="8">
        <f>I764</f>
        <v/>
      </c>
      <c r="D765" s="4">
        <f>SUMIFS('01_異動主檔'!$F:$F,'01_異動主檔'!$B:$B,103,'01_異動主檔'!$D:$D,A765,'01_異動主檔'!$E:$E,"移入")</f>
        <v/>
      </c>
      <c r="E765" s="4">
        <f>-SUMIFS('01_異動主檔'!$F:$F,'01_異動主檔'!$B:$B,103,'01_異動主檔'!$D:$D,A765,'01_異動主檔'!$E:$E,"移出")</f>
        <v/>
      </c>
      <c r="F765" s="4">
        <f>SUMIFS('01_異動主檔'!$F:$F,'01_異動主檔'!$B:$B,103,'01_異動主檔'!$D:$D,A765,'01_異動主檔'!$E:$E,"新增")</f>
        <v/>
      </c>
      <c r="G765" s="4">
        <f>-SUMIFS('01_異動主檔'!$F:$F,'01_異動主檔'!$B:$B,103,'01_異動主檔'!$D:$D,A765,'01_異動主檔'!$E:$E,"減列")</f>
        <v/>
      </c>
      <c r="H765" s="4">
        <f>-SUMIFS('01_異動主檔'!$F:$F,'01_異動主檔'!$B:$B,103,'01_異動主檔'!$D:$D,A765,'01_異動主檔'!$E:$E,"精簡")</f>
        <v/>
      </c>
      <c r="I765" s="8">
        <f>C765+D765+E765+F765+G765+H765</f>
        <v/>
      </c>
    </row>
    <row r="766" ht="18" customHeight="1">
      <c r="A766" s="5" t="inlineStr">
        <is>
          <t>出納科</t>
        </is>
      </c>
      <c r="B766" s="6" t="n">
        <v>104</v>
      </c>
      <c r="C766" s="8">
        <f>I765</f>
        <v/>
      </c>
      <c r="D766" s="4">
        <f>SUMIFS('01_異動主檔'!$F:$F,'01_異動主檔'!$B:$B,104,'01_異動主檔'!$D:$D,A766,'01_異動主檔'!$E:$E,"移入")</f>
        <v/>
      </c>
      <c r="E766" s="4">
        <f>-SUMIFS('01_異動主檔'!$F:$F,'01_異動主檔'!$B:$B,104,'01_異動主檔'!$D:$D,A766,'01_異動主檔'!$E:$E,"移出")</f>
        <v/>
      </c>
      <c r="F766" s="4">
        <f>SUMIFS('01_異動主檔'!$F:$F,'01_異動主檔'!$B:$B,104,'01_異動主檔'!$D:$D,A766,'01_異動主檔'!$E:$E,"新增")</f>
        <v/>
      </c>
      <c r="G766" s="4">
        <f>-SUMIFS('01_異動主檔'!$F:$F,'01_異動主檔'!$B:$B,104,'01_異動主檔'!$D:$D,A766,'01_異動主檔'!$E:$E,"減列")</f>
        <v/>
      </c>
      <c r="H766" s="4">
        <f>-SUMIFS('01_異動主檔'!$F:$F,'01_異動主檔'!$B:$B,104,'01_異動主檔'!$D:$D,A766,'01_異動主檔'!$E:$E,"精簡")</f>
        <v/>
      </c>
      <c r="I766" s="8">
        <f>C766+D766+E766+F766+G766+H766</f>
        <v/>
      </c>
    </row>
    <row r="767" ht="18" customHeight="1">
      <c r="A767" s="3" t="inlineStr">
        <is>
          <t>出納科</t>
        </is>
      </c>
      <c r="B767" s="4" t="n">
        <v>105</v>
      </c>
      <c r="C767" s="8">
        <f>I766</f>
        <v/>
      </c>
      <c r="D767" s="4">
        <f>SUMIFS('01_異動主檔'!$F:$F,'01_異動主檔'!$B:$B,105,'01_異動主檔'!$D:$D,A767,'01_異動主檔'!$E:$E,"移入")</f>
        <v/>
      </c>
      <c r="E767" s="4">
        <f>-SUMIFS('01_異動主檔'!$F:$F,'01_異動主檔'!$B:$B,105,'01_異動主檔'!$D:$D,A767,'01_異動主檔'!$E:$E,"移出")</f>
        <v/>
      </c>
      <c r="F767" s="4">
        <f>SUMIFS('01_異動主檔'!$F:$F,'01_異動主檔'!$B:$B,105,'01_異動主檔'!$D:$D,A767,'01_異動主檔'!$E:$E,"新增")</f>
        <v/>
      </c>
      <c r="G767" s="4">
        <f>-SUMIFS('01_異動主檔'!$F:$F,'01_異動主檔'!$B:$B,105,'01_異動主檔'!$D:$D,A767,'01_異動主檔'!$E:$E,"減列")</f>
        <v/>
      </c>
      <c r="H767" s="4">
        <f>-SUMIFS('01_異動主檔'!$F:$F,'01_異動主檔'!$B:$B,105,'01_異動主檔'!$D:$D,A767,'01_異動主檔'!$E:$E,"精簡")</f>
        <v/>
      </c>
      <c r="I767" s="8">
        <f>C767+D767+E767+F767+G767+H767</f>
        <v/>
      </c>
    </row>
    <row r="768" ht="18" customHeight="1">
      <c r="A768" s="5" t="inlineStr">
        <is>
          <t>出納科</t>
        </is>
      </c>
      <c r="B768" s="6" t="n">
        <v>106</v>
      </c>
      <c r="C768" s="8">
        <f>I767</f>
        <v/>
      </c>
      <c r="D768" s="4">
        <f>SUMIFS('01_異動主檔'!$F:$F,'01_異動主檔'!$B:$B,106,'01_異動主檔'!$D:$D,A768,'01_異動主檔'!$E:$E,"移入")</f>
        <v/>
      </c>
      <c r="E768" s="4">
        <f>-SUMIFS('01_異動主檔'!$F:$F,'01_異動主檔'!$B:$B,106,'01_異動主檔'!$D:$D,A768,'01_異動主檔'!$E:$E,"移出")</f>
        <v/>
      </c>
      <c r="F768" s="4">
        <f>SUMIFS('01_異動主檔'!$F:$F,'01_異動主檔'!$B:$B,106,'01_異動主檔'!$D:$D,A768,'01_異動主檔'!$E:$E,"新增")</f>
        <v/>
      </c>
      <c r="G768" s="4">
        <f>-SUMIFS('01_異動主檔'!$F:$F,'01_異動主檔'!$B:$B,106,'01_異動主檔'!$D:$D,A768,'01_異動主檔'!$E:$E,"減列")</f>
        <v/>
      </c>
      <c r="H768" s="4">
        <f>-SUMIFS('01_異動主檔'!$F:$F,'01_異動主檔'!$B:$B,106,'01_異動主檔'!$D:$D,A768,'01_異動主檔'!$E:$E,"精簡")</f>
        <v/>
      </c>
      <c r="I768" s="8">
        <f>C768+D768+E768+F768+G768+H768</f>
        <v/>
      </c>
    </row>
    <row r="769" ht="18" customHeight="1">
      <c r="A769" s="3" t="inlineStr">
        <is>
          <t>出納科</t>
        </is>
      </c>
      <c r="B769" s="4" t="n">
        <v>107</v>
      </c>
      <c r="C769" s="8">
        <f>I768</f>
        <v/>
      </c>
      <c r="D769" s="4">
        <f>SUMIFS('01_異動主檔'!$F:$F,'01_異動主檔'!$B:$B,107,'01_異動主檔'!$D:$D,A769,'01_異動主檔'!$E:$E,"移入")</f>
        <v/>
      </c>
      <c r="E769" s="4">
        <f>-SUMIFS('01_異動主檔'!$F:$F,'01_異動主檔'!$B:$B,107,'01_異動主檔'!$D:$D,A769,'01_異動主檔'!$E:$E,"移出")</f>
        <v/>
      </c>
      <c r="F769" s="4">
        <f>SUMIFS('01_異動主檔'!$F:$F,'01_異動主檔'!$B:$B,107,'01_異動主檔'!$D:$D,A769,'01_異動主檔'!$E:$E,"新增")</f>
        <v/>
      </c>
      <c r="G769" s="4">
        <f>-SUMIFS('01_異動主檔'!$F:$F,'01_異動主檔'!$B:$B,107,'01_異動主檔'!$D:$D,A769,'01_異動主檔'!$E:$E,"減列")</f>
        <v/>
      </c>
      <c r="H769" s="4">
        <f>-SUMIFS('01_異動主檔'!$F:$F,'01_異動主檔'!$B:$B,107,'01_異動主檔'!$D:$D,A769,'01_異動主檔'!$E:$E,"精簡")</f>
        <v/>
      </c>
      <c r="I769" s="8">
        <f>C769+D769+E769+F769+G769+H769</f>
        <v/>
      </c>
    </row>
    <row r="770" ht="18" customHeight="1">
      <c r="A770" s="5" t="inlineStr">
        <is>
          <t>出納科</t>
        </is>
      </c>
      <c r="B770" s="6" t="n">
        <v>108</v>
      </c>
      <c r="C770" s="8">
        <f>I769</f>
        <v/>
      </c>
      <c r="D770" s="4">
        <f>SUMIFS('01_異動主檔'!$F:$F,'01_異動主檔'!$B:$B,108,'01_異動主檔'!$D:$D,A770,'01_異動主檔'!$E:$E,"移入")</f>
        <v/>
      </c>
      <c r="E770" s="4">
        <f>-SUMIFS('01_異動主檔'!$F:$F,'01_異動主檔'!$B:$B,108,'01_異動主檔'!$D:$D,A770,'01_異動主檔'!$E:$E,"移出")</f>
        <v/>
      </c>
      <c r="F770" s="4">
        <f>SUMIFS('01_異動主檔'!$F:$F,'01_異動主檔'!$B:$B,108,'01_異動主檔'!$D:$D,A770,'01_異動主檔'!$E:$E,"新增")</f>
        <v/>
      </c>
      <c r="G770" s="4">
        <f>-SUMIFS('01_異動主檔'!$F:$F,'01_異動主檔'!$B:$B,108,'01_異動主檔'!$D:$D,A770,'01_異動主檔'!$E:$E,"減列")</f>
        <v/>
      </c>
      <c r="H770" s="4">
        <f>-SUMIFS('01_異動主檔'!$F:$F,'01_異動主檔'!$B:$B,108,'01_異動主檔'!$D:$D,A770,'01_異動主檔'!$E:$E,"精簡")</f>
        <v/>
      </c>
      <c r="I770" s="8">
        <f>C770+D770+E770+F770+G770+H770</f>
        <v/>
      </c>
    </row>
    <row r="771" ht="18" customHeight="1">
      <c r="A771" s="3" t="inlineStr">
        <is>
          <t>出納科</t>
        </is>
      </c>
      <c r="B771" s="4" t="n">
        <v>109</v>
      </c>
      <c r="C771" s="8">
        <f>I770</f>
        <v/>
      </c>
      <c r="D771" s="4">
        <f>SUMIFS('01_異動主檔'!$F:$F,'01_異動主檔'!$B:$B,109,'01_異動主檔'!$D:$D,A771,'01_異動主檔'!$E:$E,"移入")</f>
        <v/>
      </c>
      <c r="E771" s="4">
        <f>-SUMIFS('01_異動主檔'!$F:$F,'01_異動主檔'!$B:$B,109,'01_異動主檔'!$D:$D,A771,'01_異動主檔'!$E:$E,"移出")</f>
        <v/>
      </c>
      <c r="F771" s="4">
        <f>SUMIFS('01_異動主檔'!$F:$F,'01_異動主檔'!$B:$B,109,'01_異動主檔'!$D:$D,A771,'01_異動主檔'!$E:$E,"新增")</f>
        <v/>
      </c>
      <c r="G771" s="4">
        <f>-SUMIFS('01_異動主檔'!$F:$F,'01_異動主檔'!$B:$B,109,'01_異動主檔'!$D:$D,A771,'01_異動主檔'!$E:$E,"減列")</f>
        <v/>
      </c>
      <c r="H771" s="4">
        <f>-SUMIFS('01_異動主檔'!$F:$F,'01_異動主檔'!$B:$B,109,'01_異動主檔'!$D:$D,A771,'01_異動主檔'!$E:$E,"精簡")</f>
        <v/>
      </c>
      <c r="I771" s="8">
        <f>C771+D771+E771+F771+G771+H771</f>
        <v/>
      </c>
    </row>
    <row r="772" ht="18" customHeight="1">
      <c r="A772" s="5" t="inlineStr">
        <is>
          <t>出納科</t>
        </is>
      </c>
      <c r="B772" s="6" t="n">
        <v>110</v>
      </c>
      <c r="C772" s="8">
        <f>I771</f>
        <v/>
      </c>
      <c r="D772" s="4">
        <f>SUMIFS('01_異動主檔'!$F:$F,'01_異動主檔'!$B:$B,110,'01_異動主檔'!$D:$D,A772,'01_異動主檔'!$E:$E,"移入")</f>
        <v/>
      </c>
      <c r="E772" s="4">
        <f>-SUMIFS('01_異動主檔'!$F:$F,'01_異動主檔'!$B:$B,110,'01_異動主檔'!$D:$D,A772,'01_異動主檔'!$E:$E,"移出")</f>
        <v/>
      </c>
      <c r="F772" s="4">
        <f>SUMIFS('01_異動主檔'!$F:$F,'01_異動主檔'!$B:$B,110,'01_異動主檔'!$D:$D,A772,'01_異動主檔'!$E:$E,"新增")</f>
        <v/>
      </c>
      <c r="G772" s="4">
        <f>-SUMIFS('01_異動主檔'!$F:$F,'01_異動主檔'!$B:$B,110,'01_異動主檔'!$D:$D,A772,'01_異動主檔'!$E:$E,"減列")</f>
        <v/>
      </c>
      <c r="H772" s="4">
        <f>-SUMIFS('01_異動主檔'!$F:$F,'01_異動主檔'!$B:$B,110,'01_異動主檔'!$D:$D,A772,'01_異動主檔'!$E:$E,"精簡")</f>
        <v/>
      </c>
      <c r="I772" s="8">
        <f>C772+D772+E772+F772+G772+H772</f>
        <v/>
      </c>
    </row>
    <row r="773" ht="18" customHeight="1">
      <c r="A773" s="3" t="inlineStr">
        <is>
          <t>出納科</t>
        </is>
      </c>
      <c r="B773" s="4" t="n">
        <v>111</v>
      </c>
      <c r="C773" s="8">
        <f>I772</f>
        <v/>
      </c>
      <c r="D773" s="4">
        <f>SUMIFS('01_異動主檔'!$F:$F,'01_異動主檔'!$B:$B,111,'01_異動主檔'!$D:$D,A773,'01_異動主檔'!$E:$E,"移入")</f>
        <v/>
      </c>
      <c r="E773" s="4">
        <f>-SUMIFS('01_異動主檔'!$F:$F,'01_異動主檔'!$B:$B,111,'01_異動主檔'!$D:$D,A773,'01_異動主檔'!$E:$E,"移出")</f>
        <v/>
      </c>
      <c r="F773" s="4">
        <f>SUMIFS('01_異動主檔'!$F:$F,'01_異動主檔'!$B:$B,111,'01_異動主檔'!$D:$D,A773,'01_異動主檔'!$E:$E,"新增")</f>
        <v/>
      </c>
      <c r="G773" s="4">
        <f>-SUMIFS('01_異動主檔'!$F:$F,'01_異動主檔'!$B:$B,111,'01_異動主檔'!$D:$D,A773,'01_異動主檔'!$E:$E,"減列")</f>
        <v/>
      </c>
      <c r="H773" s="4">
        <f>-SUMIFS('01_異動主檔'!$F:$F,'01_異動主檔'!$B:$B,111,'01_異動主檔'!$D:$D,A773,'01_異動主檔'!$E:$E,"精簡")</f>
        <v/>
      </c>
      <c r="I773" s="8">
        <f>C773+D773+E773+F773+G773+H773</f>
        <v/>
      </c>
    </row>
    <row r="774" ht="18" customHeight="1">
      <c r="A774" s="5" t="inlineStr">
        <is>
          <t>出納科</t>
        </is>
      </c>
      <c r="B774" s="6" t="n">
        <v>112</v>
      </c>
      <c r="C774" s="8">
        <f>I773</f>
        <v/>
      </c>
      <c r="D774" s="4">
        <f>SUMIFS('01_異動主檔'!$F:$F,'01_異動主檔'!$B:$B,112,'01_異動主檔'!$D:$D,A774,'01_異動主檔'!$E:$E,"移入")</f>
        <v/>
      </c>
      <c r="E774" s="4">
        <f>-SUMIFS('01_異動主檔'!$F:$F,'01_異動主檔'!$B:$B,112,'01_異動主檔'!$D:$D,A774,'01_異動主檔'!$E:$E,"移出")</f>
        <v/>
      </c>
      <c r="F774" s="4">
        <f>SUMIFS('01_異動主檔'!$F:$F,'01_異動主檔'!$B:$B,112,'01_異動主檔'!$D:$D,A774,'01_異動主檔'!$E:$E,"新增")</f>
        <v/>
      </c>
      <c r="G774" s="4">
        <f>-SUMIFS('01_異動主檔'!$F:$F,'01_異動主檔'!$B:$B,112,'01_異動主檔'!$D:$D,A774,'01_異動主檔'!$E:$E,"減列")</f>
        <v/>
      </c>
      <c r="H774" s="4">
        <f>-SUMIFS('01_異動主檔'!$F:$F,'01_異動主檔'!$B:$B,112,'01_異動主檔'!$D:$D,A774,'01_異動主檔'!$E:$E,"精簡")</f>
        <v/>
      </c>
      <c r="I774" s="8">
        <f>C774+D774+E774+F774+G774+H774</f>
        <v/>
      </c>
    </row>
    <row r="775" ht="18" customHeight="1">
      <c r="A775" s="3" t="inlineStr">
        <is>
          <t>出納科</t>
        </is>
      </c>
      <c r="B775" s="4" t="n">
        <v>113</v>
      </c>
      <c r="C775" s="8">
        <f>I774</f>
        <v/>
      </c>
      <c r="D775" s="4">
        <f>SUMIFS('01_異動主檔'!$F:$F,'01_異動主檔'!$B:$B,113,'01_異動主檔'!$D:$D,A775,'01_異動主檔'!$E:$E,"移入")</f>
        <v/>
      </c>
      <c r="E775" s="4">
        <f>-SUMIFS('01_異動主檔'!$F:$F,'01_異動主檔'!$B:$B,113,'01_異動主檔'!$D:$D,A775,'01_異動主檔'!$E:$E,"移出")</f>
        <v/>
      </c>
      <c r="F775" s="4">
        <f>SUMIFS('01_異動主檔'!$F:$F,'01_異動主檔'!$B:$B,113,'01_異動主檔'!$D:$D,A775,'01_異動主檔'!$E:$E,"新增")</f>
        <v/>
      </c>
      <c r="G775" s="4">
        <f>-SUMIFS('01_異動主檔'!$F:$F,'01_異動主檔'!$B:$B,113,'01_異動主檔'!$D:$D,A775,'01_異動主檔'!$E:$E,"減列")</f>
        <v/>
      </c>
      <c r="H775" s="4">
        <f>-SUMIFS('01_異動主檔'!$F:$F,'01_異動主檔'!$B:$B,113,'01_異動主檔'!$D:$D,A775,'01_異動主檔'!$E:$E,"精簡")</f>
        <v/>
      </c>
      <c r="I775" s="8">
        <f>C775+D775+E775+F775+G775+H775</f>
        <v/>
      </c>
    </row>
    <row r="776" ht="18" customHeight="1">
      <c r="A776" s="5" t="inlineStr">
        <is>
          <t>出納科</t>
        </is>
      </c>
      <c r="B776" s="6" t="n">
        <v>114</v>
      </c>
      <c r="C776" s="8">
        <f>I775</f>
        <v/>
      </c>
      <c r="D776" s="4">
        <f>SUMIFS('01_異動主檔'!$F:$F,'01_異動主檔'!$B:$B,114,'01_異動主檔'!$D:$D,A776,'01_異動主檔'!$E:$E,"移入")</f>
        <v/>
      </c>
      <c r="E776" s="4">
        <f>-SUMIFS('01_異動主檔'!$F:$F,'01_異動主檔'!$B:$B,114,'01_異動主檔'!$D:$D,A776,'01_異動主檔'!$E:$E,"移出")</f>
        <v/>
      </c>
      <c r="F776" s="4">
        <f>SUMIFS('01_異動主檔'!$F:$F,'01_異動主檔'!$B:$B,114,'01_異動主檔'!$D:$D,A776,'01_異動主檔'!$E:$E,"新增")</f>
        <v/>
      </c>
      <c r="G776" s="4">
        <f>-SUMIFS('01_異動主檔'!$F:$F,'01_異動主檔'!$B:$B,114,'01_異動主檔'!$D:$D,A776,'01_異動主檔'!$E:$E,"減列")</f>
        <v/>
      </c>
      <c r="H776" s="4">
        <f>-SUMIFS('01_異動主檔'!$F:$F,'01_異動主檔'!$B:$B,114,'01_異動主檔'!$D:$D,A776,'01_異動主檔'!$E:$E,"精簡")</f>
        <v/>
      </c>
      <c r="I776" s="8">
        <f>C776+D776+E776+F776+G776+H776</f>
        <v/>
      </c>
    </row>
    <row r="777" ht="18" customHeight="1">
      <c r="A777" s="3" t="inlineStr">
        <is>
          <t>出納科</t>
        </is>
      </c>
      <c r="B777" s="4" t="n">
        <v>115</v>
      </c>
      <c r="C777" s="8">
        <f>I776</f>
        <v/>
      </c>
      <c r="D777" s="4">
        <f>SUMIFS('01_異動主檔'!$F:$F,'01_異動主檔'!$B:$B,115,'01_異動主檔'!$D:$D,A777,'01_異動主檔'!$E:$E,"移入")</f>
        <v/>
      </c>
      <c r="E777" s="4">
        <f>-SUMIFS('01_異動主檔'!$F:$F,'01_異動主檔'!$B:$B,115,'01_異動主檔'!$D:$D,A777,'01_異動主檔'!$E:$E,"移出")</f>
        <v/>
      </c>
      <c r="F777" s="4">
        <f>SUMIFS('01_異動主檔'!$F:$F,'01_異動主檔'!$B:$B,115,'01_異動主檔'!$D:$D,A777,'01_異動主檔'!$E:$E,"新增")</f>
        <v/>
      </c>
      <c r="G777" s="4">
        <f>-SUMIFS('01_異動主檔'!$F:$F,'01_異動主檔'!$B:$B,115,'01_異動主檔'!$D:$D,A777,'01_異動主檔'!$E:$E,"減列")</f>
        <v/>
      </c>
      <c r="H777" s="4">
        <f>-SUMIFS('01_異動主檔'!$F:$F,'01_異動主檔'!$B:$B,115,'01_異動主檔'!$D:$D,A777,'01_異動主檔'!$E:$E,"精簡")</f>
        <v/>
      </c>
      <c r="I777" s="8">
        <f>C777+D777+E777+F777+G777+H777</f>
        <v/>
      </c>
    </row>
    <row r="778" ht="18" customHeight="1">
      <c r="A778" s="5" t="inlineStr">
        <is>
          <t>出納科</t>
        </is>
      </c>
      <c r="B778" s="6" t="n">
        <v>116</v>
      </c>
      <c r="C778" s="8">
        <f>I777</f>
        <v/>
      </c>
      <c r="D778" s="4">
        <f>SUMIFS('01_異動主檔'!$F:$F,'01_異動主檔'!$B:$B,116,'01_異動主檔'!$D:$D,A778,'01_異動主檔'!$E:$E,"移入")</f>
        <v/>
      </c>
      <c r="E778" s="4">
        <f>-SUMIFS('01_異動主檔'!$F:$F,'01_異動主檔'!$B:$B,116,'01_異動主檔'!$D:$D,A778,'01_異動主檔'!$E:$E,"移出")</f>
        <v/>
      </c>
      <c r="F778" s="4">
        <f>SUMIFS('01_異動主檔'!$F:$F,'01_異動主檔'!$B:$B,116,'01_異動主檔'!$D:$D,A778,'01_異動主檔'!$E:$E,"新增")</f>
        <v/>
      </c>
      <c r="G778" s="4">
        <f>-SUMIFS('01_異動主檔'!$F:$F,'01_異動主檔'!$B:$B,116,'01_異動主檔'!$D:$D,A778,'01_異動主檔'!$E:$E,"減列")</f>
        <v/>
      </c>
      <c r="H778" s="4">
        <f>-SUMIFS('01_異動主檔'!$F:$F,'01_異動主檔'!$B:$B,116,'01_異動主檔'!$D:$D,A778,'01_異動主檔'!$E:$E,"精簡")</f>
        <v/>
      </c>
      <c r="I778" s="8">
        <f>C778+D778+E778+F778+G778+H778</f>
        <v/>
      </c>
    </row>
    <row r="779" ht="18" customHeight="1">
      <c r="A779" s="3" t="inlineStr">
        <is>
          <t>出納科</t>
        </is>
      </c>
      <c r="B779" s="4" t="n">
        <v>117</v>
      </c>
      <c r="C779" s="8">
        <f>I778</f>
        <v/>
      </c>
      <c r="D779" s="4">
        <f>SUMIFS('01_異動主檔'!$F:$F,'01_異動主檔'!$B:$B,117,'01_異動主檔'!$D:$D,A779,'01_異動主檔'!$E:$E,"移入")</f>
        <v/>
      </c>
      <c r="E779" s="4">
        <f>-SUMIFS('01_異動主檔'!$F:$F,'01_異動主檔'!$B:$B,117,'01_異動主檔'!$D:$D,A779,'01_異動主檔'!$E:$E,"移出")</f>
        <v/>
      </c>
      <c r="F779" s="4">
        <f>SUMIFS('01_異動主檔'!$F:$F,'01_異動主檔'!$B:$B,117,'01_異動主檔'!$D:$D,A779,'01_異動主檔'!$E:$E,"新增")</f>
        <v/>
      </c>
      <c r="G779" s="4">
        <f>-SUMIFS('01_異動主檔'!$F:$F,'01_異動主檔'!$B:$B,117,'01_異動主檔'!$D:$D,A779,'01_異動主檔'!$E:$E,"減列")</f>
        <v/>
      </c>
      <c r="H779" s="4">
        <f>-SUMIFS('01_異動主檔'!$F:$F,'01_異動主檔'!$B:$B,117,'01_異動主檔'!$D:$D,A779,'01_異動主檔'!$E:$E,"精簡")</f>
        <v/>
      </c>
      <c r="I779" s="8">
        <f>C779+D779+E779+F779+G779+H779</f>
        <v/>
      </c>
    </row>
    <row r="780" ht="18" customHeight="1">
      <c r="A780" s="5" t="inlineStr">
        <is>
          <t>出納科</t>
        </is>
      </c>
      <c r="B780" s="6" t="n">
        <v>118</v>
      </c>
      <c r="C780" s="8">
        <f>I779</f>
        <v/>
      </c>
      <c r="D780" s="4">
        <f>SUMIFS('01_異動主檔'!$F:$F,'01_異動主檔'!$B:$B,118,'01_異動主檔'!$D:$D,A780,'01_異動主檔'!$E:$E,"移入")</f>
        <v/>
      </c>
      <c r="E780" s="4">
        <f>-SUMIFS('01_異動主檔'!$F:$F,'01_異動主檔'!$B:$B,118,'01_異動主檔'!$D:$D,A780,'01_異動主檔'!$E:$E,"移出")</f>
        <v/>
      </c>
      <c r="F780" s="4">
        <f>SUMIFS('01_異動主檔'!$F:$F,'01_異動主檔'!$B:$B,118,'01_異動主檔'!$D:$D,A780,'01_異動主檔'!$E:$E,"新增")</f>
        <v/>
      </c>
      <c r="G780" s="4">
        <f>-SUMIFS('01_異動主檔'!$F:$F,'01_異動主檔'!$B:$B,118,'01_異動主檔'!$D:$D,A780,'01_異動主檔'!$E:$E,"減列")</f>
        <v/>
      </c>
      <c r="H780" s="4">
        <f>-SUMIFS('01_異動主檔'!$F:$F,'01_異動主檔'!$B:$B,118,'01_異動主檔'!$D:$D,A780,'01_異動主檔'!$E:$E,"精簡")</f>
        <v/>
      </c>
      <c r="I780" s="8">
        <f>C780+D780+E780+F780+G780+H780</f>
        <v/>
      </c>
    </row>
    <row r="781" ht="18" customHeight="1">
      <c r="A781" s="3" t="inlineStr">
        <is>
          <t>出納科</t>
        </is>
      </c>
      <c r="B781" s="4" t="n">
        <v>119</v>
      </c>
      <c r="C781" s="8">
        <f>I780</f>
        <v/>
      </c>
      <c r="D781" s="4">
        <f>SUMIFS('01_異動主檔'!$F:$F,'01_異動主檔'!$B:$B,119,'01_異動主檔'!$D:$D,A781,'01_異動主檔'!$E:$E,"移入")</f>
        <v/>
      </c>
      <c r="E781" s="4">
        <f>-SUMIFS('01_異動主檔'!$F:$F,'01_異動主檔'!$B:$B,119,'01_異動主檔'!$D:$D,A781,'01_異動主檔'!$E:$E,"移出")</f>
        <v/>
      </c>
      <c r="F781" s="4">
        <f>SUMIFS('01_異動主檔'!$F:$F,'01_異動主檔'!$B:$B,119,'01_異動主檔'!$D:$D,A781,'01_異動主檔'!$E:$E,"新增")</f>
        <v/>
      </c>
      <c r="G781" s="4">
        <f>-SUMIFS('01_異動主檔'!$F:$F,'01_異動主檔'!$B:$B,119,'01_異動主檔'!$D:$D,A781,'01_異動主檔'!$E:$E,"減列")</f>
        <v/>
      </c>
      <c r="H781" s="4">
        <f>-SUMIFS('01_異動主檔'!$F:$F,'01_異動主檔'!$B:$B,119,'01_異動主檔'!$D:$D,A781,'01_異動主檔'!$E:$E,"精簡")</f>
        <v/>
      </c>
      <c r="I781" s="8">
        <f>C781+D781+E781+F781+G781+H781</f>
        <v/>
      </c>
    </row>
    <row r="782" ht="18" customHeight="1">
      <c r="A782" s="5" t="inlineStr">
        <is>
          <t>出納科</t>
        </is>
      </c>
      <c r="B782" s="6" t="n">
        <v>120</v>
      </c>
      <c r="C782" s="8">
        <f>I781</f>
        <v/>
      </c>
      <c r="D782" s="4">
        <f>SUMIFS('01_異動主檔'!$F:$F,'01_異動主檔'!$B:$B,120,'01_異動主檔'!$D:$D,A782,'01_異動主檔'!$E:$E,"移入")</f>
        <v/>
      </c>
      <c r="E782" s="4">
        <f>-SUMIFS('01_異動主檔'!$F:$F,'01_異動主檔'!$B:$B,120,'01_異動主檔'!$D:$D,A782,'01_異動主檔'!$E:$E,"移出")</f>
        <v/>
      </c>
      <c r="F782" s="4">
        <f>SUMIFS('01_異動主檔'!$F:$F,'01_異動主檔'!$B:$B,120,'01_異動主檔'!$D:$D,A782,'01_異動主檔'!$E:$E,"新增")</f>
        <v/>
      </c>
      <c r="G782" s="4">
        <f>-SUMIFS('01_異動主檔'!$F:$F,'01_異動主檔'!$B:$B,120,'01_異動主檔'!$D:$D,A782,'01_異動主檔'!$E:$E,"減列")</f>
        <v/>
      </c>
      <c r="H782" s="4">
        <f>-SUMIFS('01_異動主檔'!$F:$F,'01_異動主檔'!$B:$B,120,'01_異動主檔'!$D:$D,A782,'01_異動主檔'!$E:$E,"精簡")</f>
        <v/>
      </c>
      <c r="I782" s="8">
        <f>C782+D782+E782+F782+G782+H782</f>
        <v/>
      </c>
    </row>
    <row r="783" ht="18" customHeight="1">
      <c r="A783" s="3" t="inlineStr">
        <is>
          <t>出納科</t>
        </is>
      </c>
      <c r="B783" s="4" t="n">
        <v>121</v>
      </c>
      <c r="C783" s="8">
        <f>I782</f>
        <v/>
      </c>
      <c r="D783" s="4">
        <f>SUMIFS('01_異動主檔'!$F:$F,'01_異動主檔'!$B:$B,121,'01_異動主檔'!$D:$D,A783,'01_異動主檔'!$E:$E,"移入")</f>
        <v/>
      </c>
      <c r="E783" s="4">
        <f>-SUMIFS('01_異動主檔'!$F:$F,'01_異動主檔'!$B:$B,121,'01_異動主檔'!$D:$D,A783,'01_異動主檔'!$E:$E,"移出")</f>
        <v/>
      </c>
      <c r="F783" s="4">
        <f>SUMIFS('01_異動主檔'!$F:$F,'01_異動主檔'!$B:$B,121,'01_異動主檔'!$D:$D,A783,'01_異動主檔'!$E:$E,"新增")</f>
        <v/>
      </c>
      <c r="G783" s="4">
        <f>-SUMIFS('01_異動主檔'!$F:$F,'01_異動主檔'!$B:$B,121,'01_異動主檔'!$D:$D,A783,'01_異動主檔'!$E:$E,"減列")</f>
        <v/>
      </c>
      <c r="H783" s="4">
        <f>-SUMIFS('01_異動主檔'!$F:$F,'01_異動主檔'!$B:$B,121,'01_異動主檔'!$D:$D,A783,'01_異動主檔'!$E:$E,"精簡")</f>
        <v/>
      </c>
      <c r="I783" s="8">
        <f>C783+D783+E783+F783+G783+H783</f>
        <v/>
      </c>
    </row>
    <row r="784" ht="18" customHeight="1">
      <c r="A784" s="5" t="inlineStr">
        <is>
          <t>出納科</t>
        </is>
      </c>
      <c r="B784" s="6" t="n">
        <v>122</v>
      </c>
      <c r="C784" s="8">
        <f>I783</f>
        <v/>
      </c>
      <c r="D784" s="4">
        <f>SUMIFS('01_異動主檔'!$F:$F,'01_異動主檔'!$B:$B,122,'01_異動主檔'!$D:$D,A784,'01_異動主檔'!$E:$E,"移入")</f>
        <v/>
      </c>
      <c r="E784" s="4">
        <f>-SUMIFS('01_異動主檔'!$F:$F,'01_異動主檔'!$B:$B,122,'01_異動主檔'!$D:$D,A784,'01_異動主檔'!$E:$E,"移出")</f>
        <v/>
      </c>
      <c r="F784" s="4">
        <f>SUMIFS('01_異動主檔'!$F:$F,'01_異動主檔'!$B:$B,122,'01_異動主檔'!$D:$D,A784,'01_異動主檔'!$E:$E,"新增")</f>
        <v/>
      </c>
      <c r="G784" s="4">
        <f>-SUMIFS('01_異動主檔'!$F:$F,'01_異動主檔'!$B:$B,122,'01_異動主檔'!$D:$D,A784,'01_異動主檔'!$E:$E,"減列")</f>
        <v/>
      </c>
      <c r="H784" s="4">
        <f>-SUMIFS('01_異動主檔'!$F:$F,'01_異動主檔'!$B:$B,122,'01_異動主檔'!$D:$D,A784,'01_異動主檔'!$E:$E,"精簡")</f>
        <v/>
      </c>
      <c r="I784" s="8">
        <f>C784+D784+E784+F784+G784+H784</f>
        <v/>
      </c>
    </row>
    <row r="785" ht="18" customHeight="1">
      <c r="A785" s="3" t="inlineStr">
        <is>
          <t>出納科</t>
        </is>
      </c>
      <c r="B785" s="4" t="n">
        <v>123</v>
      </c>
      <c r="C785" s="8">
        <f>I784</f>
        <v/>
      </c>
      <c r="D785" s="4">
        <f>SUMIFS('01_異動主檔'!$F:$F,'01_異動主檔'!$B:$B,123,'01_異動主檔'!$D:$D,A785,'01_異動主檔'!$E:$E,"移入")</f>
        <v/>
      </c>
      <c r="E785" s="4">
        <f>-SUMIFS('01_異動主檔'!$F:$F,'01_異動主檔'!$B:$B,123,'01_異動主檔'!$D:$D,A785,'01_異動主檔'!$E:$E,"移出")</f>
        <v/>
      </c>
      <c r="F785" s="4">
        <f>SUMIFS('01_異動主檔'!$F:$F,'01_異動主檔'!$B:$B,123,'01_異動主檔'!$D:$D,A785,'01_異動主檔'!$E:$E,"新增")</f>
        <v/>
      </c>
      <c r="G785" s="4">
        <f>-SUMIFS('01_異動主檔'!$F:$F,'01_異動主檔'!$B:$B,123,'01_異動主檔'!$D:$D,A785,'01_異動主檔'!$E:$E,"減列")</f>
        <v/>
      </c>
      <c r="H785" s="4">
        <f>-SUMIFS('01_異動主檔'!$F:$F,'01_異動主檔'!$B:$B,123,'01_異動主檔'!$D:$D,A785,'01_異動主檔'!$E:$E,"精簡")</f>
        <v/>
      </c>
      <c r="I785" s="8">
        <f>C785+D785+E785+F785+G785+H785</f>
        <v/>
      </c>
    </row>
    <row r="786" ht="18" customHeight="1">
      <c r="A786" s="5" t="inlineStr">
        <is>
          <t>出納科</t>
        </is>
      </c>
      <c r="B786" s="6" t="n">
        <v>124</v>
      </c>
      <c r="C786" s="8">
        <f>I785</f>
        <v/>
      </c>
      <c r="D786" s="4">
        <f>SUMIFS('01_異動主檔'!$F:$F,'01_異動主檔'!$B:$B,124,'01_異動主檔'!$D:$D,A786,'01_異動主檔'!$E:$E,"移入")</f>
        <v/>
      </c>
      <c r="E786" s="4">
        <f>-SUMIFS('01_異動主檔'!$F:$F,'01_異動主檔'!$B:$B,124,'01_異動主檔'!$D:$D,A786,'01_異動主檔'!$E:$E,"移出")</f>
        <v/>
      </c>
      <c r="F786" s="4">
        <f>SUMIFS('01_異動主檔'!$F:$F,'01_異動主檔'!$B:$B,124,'01_異動主檔'!$D:$D,A786,'01_異動主檔'!$E:$E,"新增")</f>
        <v/>
      </c>
      <c r="G786" s="4">
        <f>-SUMIFS('01_異動主檔'!$F:$F,'01_異動主檔'!$B:$B,124,'01_異動主檔'!$D:$D,A786,'01_異動主檔'!$E:$E,"減列")</f>
        <v/>
      </c>
      <c r="H786" s="4">
        <f>-SUMIFS('01_異動主檔'!$F:$F,'01_異動主檔'!$B:$B,124,'01_異動主檔'!$D:$D,A786,'01_異動主檔'!$E:$E,"精簡")</f>
        <v/>
      </c>
      <c r="I786" s="8">
        <f>C786+D786+E786+F786+G786+H786</f>
        <v/>
      </c>
    </row>
    <row r="787" ht="18" customHeight="1">
      <c r="A787" s="3" t="inlineStr">
        <is>
          <t>出納科</t>
        </is>
      </c>
      <c r="B787" s="4" t="n">
        <v>125</v>
      </c>
      <c r="C787" s="8">
        <f>I786</f>
        <v/>
      </c>
      <c r="D787" s="4">
        <f>SUMIFS('01_異動主檔'!$F:$F,'01_異動主檔'!$B:$B,125,'01_異動主檔'!$D:$D,A787,'01_異動主檔'!$E:$E,"移入")</f>
        <v/>
      </c>
      <c r="E787" s="4">
        <f>-SUMIFS('01_異動主檔'!$F:$F,'01_異動主檔'!$B:$B,125,'01_異動主檔'!$D:$D,A787,'01_異動主檔'!$E:$E,"移出")</f>
        <v/>
      </c>
      <c r="F787" s="4">
        <f>SUMIFS('01_異動主檔'!$F:$F,'01_異動主檔'!$B:$B,125,'01_異動主檔'!$D:$D,A787,'01_異動主檔'!$E:$E,"新增")</f>
        <v/>
      </c>
      <c r="G787" s="4">
        <f>-SUMIFS('01_異動主檔'!$F:$F,'01_異動主檔'!$B:$B,125,'01_異動主檔'!$D:$D,A787,'01_異動主檔'!$E:$E,"減列")</f>
        <v/>
      </c>
      <c r="H787" s="4">
        <f>-SUMIFS('01_異動主檔'!$F:$F,'01_異動主檔'!$B:$B,125,'01_異動主檔'!$D:$D,A787,'01_異動主檔'!$E:$E,"精簡")</f>
        <v/>
      </c>
      <c r="I787" s="8">
        <f>C787+D787+E787+F787+G787+H787</f>
        <v/>
      </c>
    </row>
    <row r="788" ht="18" customHeight="1">
      <c r="A788" s="5" t="inlineStr">
        <is>
          <t>採購科</t>
        </is>
      </c>
      <c r="B788" s="6" t="n">
        <v>99</v>
      </c>
      <c r="C788" s="8">
        <f>'02_年初員額設定'!B34</f>
        <v/>
      </c>
      <c r="D788" s="4">
        <f>SUMIFS('01_異動主檔'!$F:$F,'01_異動主檔'!$B:$B,99,'01_異動主檔'!$D:$D,A788,'01_異動主檔'!$E:$E,"移入")</f>
        <v/>
      </c>
      <c r="E788" s="4">
        <f>-SUMIFS('01_異動主檔'!$F:$F,'01_異動主檔'!$B:$B,99,'01_異動主檔'!$D:$D,A788,'01_異動主檔'!$E:$E,"移出")</f>
        <v/>
      </c>
      <c r="F788" s="4">
        <f>SUMIFS('01_異動主檔'!$F:$F,'01_異動主檔'!$B:$B,99,'01_異動主檔'!$D:$D,A788,'01_異動主檔'!$E:$E,"新增")</f>
        <v/>
      </c>
      <c r="G788" s="4">
        <f>-SUMIFS('01_異動主檔'!$F:$F,'01_異動主檔'!$B:$B,99,'01_異動主檔'!$D:$D,A788,'01_異動主檔'!$E:$E,"減列")</f>
        <v/>
      </c>
      <c r="H788" s="4">
        <f>-SUMIFS('01_異動主檔'!$F:$F,'01_異動主檔'!$B:$B,99,'01_異動主檔'!$D:$D,A788,'01_異動主檔'!$E:$E,"精簡")</f>
        <v/>
      </c>
      <c r="I788" s="8">
        <f>C788+D788+E788+F788+G788+H788</f>
        <v/>
      </c>
    </row>
    <row r="789" ht="18" customHeight="1">
      <c r="A789" s="3" t="inlineStr">
        <is>
          <t>採購科</t>
        </is>
      </c>
      <c r="B789" s="4" t="n">
        <v>100</v>
      </c>
      <c r="C789" s="8">
        <f>I788</f>
        <v/>
      </c>
      <c r="D789" s="4">
        <f>SUMIFS('01_異動主檔'!$F:$F,'01_異動主檔'!$B:$B,100,'01_異動主檔'!$D:$D,A789,'01_異動主檔'!$E:$E,"移入")</f>
        <v/>
      </c>
      <c r="E789" s="4">
        <f>-SUMIFS('01_異動主檔'!$F:$F,'01_異動主檔'!$B:$B,100,'01_異動主檔'!$D:$D,A789,'01_異動主檔'!$E:$E,"移出")</f>
        <v/>
      </c>
      <c r="F789" s="4">
        <f>SUMIFS('01_異動主檔'!$F:$F,'01_異動主檔'!$B:$B,100,'01_異動主檔'!$D:$D,A789,'01_異動主檔'!$E:$E,"新增")</f>
        <v/>
      </c>
      <c r="G789" s="4">
        <f>-SUMIFS('01_異動主檔'!$F:$F,'01_異動主檔'!$B:$B,100,'01_異動主檔'!$D:$D,A789,'01_異動主檔'!$E:$E,"減列")</f>
        <v/>
      </c>
      <c r="H789" s="4">
        <f>-SUMIFS('01_異動主檔'!$F:$F,'01_異動主檔'!$B:$B,100,'01_異動主檔'!$D:$D,A789,'01_異動主檔'!$E:$E,"精簡")</f>
        <v/>
      </c>
      <c r="I789" s="8">
        <f>C789+D789+E789+F789+G789+H789</f>
        <v/>
      </c>
    </row>
    <row r="790" ht="18" customHeight="1">
      <c r="A790" s="5" t="inlineStr">
        <is>
          <t>採購科</t>
        </is>
      </c>
      <c r="B790" s="6" t="n">
        <v>101</v>
      </c>
      <c r="C790" s="8">
        <f>I789</f>
        <v/>
      </c>
      <c r="D790" s="4">
        <f>SUMIFS('01_異動主檔'!$F:$F,'01_異動主檔'!$B:$B,101,'01_異動主檔'!$D:$D,A790,'01_異動主檔'!$E:$E,"移入")</f>
        <v/>
      </c>
      <c r="E790" s="4">
        <f>-SUMIFS('01_異動主檔'!$F:$F,'01_異動主檔'!$B:$B,101,'01_異動主檔'!$D:$D,A790,'01_異動主檔'!$E:$E,"移出")</f>
        <v/>
      </c>
      <c r="F790" s="4">
        <f>SUMIFS('01_異動主檔'!$F:$F,'01_異動主檔'!$B:$B,101,'01_異動主檔'!$D:$D,A790,'01_異動主檔'!$E:$E,"新增")</f>
        <v/>
      </c>
      <c r="G790" s="4">
        <f>-SUMIFS('01_異動主檔'!$F:$F,'01_異動主檔'!$B:$B,101,'01_異動主檔'!$D:$D,A790,'01_異動主檔'!$E:$E,"減列")</f>
        <v/>
      </c>
      <c r="H790" s="4">
        <f>-SUMIFS('01_異動主檔'!$F:$F,'01_異動主檔'!$B:$B,101,'01_異動主檔'!$D:$D,A790,'01_異動主檔'!$E:$E,"精簡")</f>
        <v/>
      </c>
      <c r="I790" s="8">
        <f>C790+D790+E790+F790+G790+H790</f>
        <v/>
      </c>
    </row>
    <row r="791" ht="18" customHeight="1">
      <c r="A791" s="3" t="inlineStr">
        <is>
          <t>採購科</t>
        </is>
      </c>
      <c r="B791" s="4" t="n">
        <v>102</v>
      </c>
      <c r="C791" s="8">
        <f>I790</f>
        <v/>
      </c>
      <c r="D791" s="4">
        <f>SUMIFS('01_異動主檔'!$F:$F,'01_異動主檔'!$B:$B,102,'01_異動主檔'!$D:$D,A791,'01_異動主檔'!$E:$E,"移入")</f>
        <v/>
      </c>
      <c r="E791" s="4">
        <f>-SUMIFS('01_異動主檔'!$F:$F,'01_異動主檔'!$B:$B,102,'01_異動主檔'!$D:$D,A791,'01_異動主檔'!$E:$E,"移出")</f>
        <v/>
      </c>
      <c r="F791" s="4">
        <f>SUMIFS('01_異動主檔'!$F:$F,'01_異動主檔'!$B:$B,102,'01_異動主檔'!$D:$D,A791,'01_異動主檔'!$E:$E,"新增")</f>
        <v/>
      </c>
      <c r="G791" s="4">
        <f>-SUMIFS('01_異動主檔'!$F:$F,'01_異動主檔'!$B:$B,102,'01_異動主檔'!$D:$D,A791,'01_異動主檔'!$E:$E,"減列")</f>
        <v/>
      </c>
      <c r="H791" s="4">
        <f>-SUMIFS('01_異動主檔'!$F:$F,'01_異動主檔'!$B:$B,102,'01_異動主檔'!$D:$D,A791,'01_異動主檔'!$E:$E,"精簡")</f>
        <v/>
      </c>
      <c r="I791" s="8">
        <f>C791+D791+E791+F791+G791+H791</f>
        <v/>
      </c>
    </row>
    <row r="792" ht="18" customHeight="1">
      <c r="A792" s="5" t="inlineStr">
        <is>
          <t>採購科</t>
        </is>
      </c>
      <c r="B792" s="6" t="n">
        <v>103</v>
      </c>
      <c r="C792" s="8">
        <f>I791</f>
        <v/>
      </c>
      <c r="D792" s="4">
        <f>SUMIFS('01_異動主檔'!$F:$F,'01_異動主檔'!$B:$B,103,'01_異動主檔'!$D:$D,A792,'01_異動主檔'!$E:$E,"移入")</f>
        <v/>
      </c>
      <c r="E792" s="4">
        <f>-SUMIFS('01_異動主檔'!$F:$F,'01_異動主檔'!$B:$B,103,'01_異動主檔'!$D:$D,A792,'01_異動主檔'!$E:$E,"移出")</f>
        <v/>
      </c>
      <c r="F792" s="4">
        <f>SUMIFS('01_異動主檔'!$F:$F,'01_異動主檔'!$B:$B,103,'01_異動主檔'!$D:$D,A792,'01_異動主檔'!$E:$E,"新增")</f>
        <v/>
      </c>
      <c r="G792" s="4">
        <f>-SUMIFS('01_異動主檔'!$F:$F,'01_異動主檔'!$B:$B,103,'01_異動主檔'!$D:$D,A792,'01_異動主檔'!$E:$E,"減列")</f>
        <v/>
      </c>
      <c r="H792" s="4">
        <f>-SUMIFS('01_異動主檔'!$F:$F,'01_異動主檔'!$B:$B,103,'01_異動主檔'!$D:$D,A792,'01_異動主檔'!$E:$E,"精簡")</f>
        <v/>
      </c>
      <c r="I792" s="8">
        <f>C792+D792+E792+F792+G792+H792</f>
        <v/>
      </c>
    </row>
    <row r="793" ht="18" customHeight="1">
      <c r="A793" s="3" t="inlineStr">
        <is>
          <t>採購科</t>
        </is>
      </c>
      <c r="B793" s="4" t="n">
        <v>104</v>
      </c>
      <c r="C793" s="8">
        <f>I792</f>
        <v/>
      </c>
      <c r="D793" s="4">
        <f>SUMIFS('01_異動主檔'!$F:$F,'01_異動主檔'!$B:$B,104,'01_異動主檔'!$D:$D,A793,'01_異動主檔'!$E:$E,"移入")</f>
        <v/>
      </c>
      <c r="E793" s="4">
        <f>-SUMIFS('01_異動主檔'!$F:$F,'01_異動主檔'!$B:$B,104,'01_異動主檔'!$D:$D,A793,'01_異動主檔'!$E:$E,"移出")</f>
        <v/>
      </c>
      <c r="F793" s="4">
        <f>SUMIFS('01_異動主檔'!$F:$F,'01_異動主檔'!$B:$B,104,'01_異動主檔'!$D:$D,A793,'01_異動主檔'!$E:$E,"新增")</f>
        <v/>
      </c>
      <c r="G793" s="4">
        <f>-SUMIFS('01_異動主檔'!$F:$F,'01_異動主檔'!$B:$B,104,'01_異動主檔'!$D:$D,A793,'01_異動主檔'!$E:$E,"減列")</f>
        <v/>
      </c>
      <c r="H793" s="4">
        <f>-SUMIFS('01_異動主檔'!$F:$F,'01_異動主檔'!$B:$B,104,'01_異動主檔'!$D:$D,A793,'01_異動主檔'!$E:$E,"精簡")</f>
        <v/>
      </c>
      <c r="I793" s="8">
        <f>C793+D793+E793+F793+G793+H793</f>
        <v/>
      </c>
    </row>
    <row r="794" ht="18" customHeight="1">
      <c r="A794" s="5" t="inlineStr">
        <is>
          <t>採購科</t>
        </is>
      </c>
      <c r="B794" s="6" t="n">
        <v>105</v>
      </c>
      <c r="C794" s="8">
        <f>I793</f>
        <v/>
      </c>
      <c r="D794" s="4">
        <f>SUMIFS('01_異動主檔'!$F:$F,'01_異動主檔'!$B:$B,105,'01_異動主檔'!$D:$D,A794,'01_異動主檔'!$E:$E,"移入")</f>
        <v/>
      </c>
      <c r="E794" s="4">
        <f>-SUMIFS('01_異動主檔'!$F:$F,'01_異動主檔'!$B:$B,105,'01_異動主檔'!$D:$D,A794,'01_異動主檔'!$E:$E,"移出")</f>
        <v/>
      </c>
      <c r="F794" s="4">
        <f>SUMIFS('01_異動主檔'!$F:$F,'01_異動主檔'!$B:$B,105,'01_異動主檔'!$D:$D,A794,'01_異動主檔'!$E:$E,"新增")</f>
        <v/>
      </c>
      <c r="G794" s="4">
        <f>-SUMIFS('01_異動主檔'!$F:$F,'01_異動主檔'!$B:$B,105,'01_異動主檔'!$D:$D,A794,'01_異動主檔'!$E:$E,"減列")</f>
        <v/>
      </c>
      <c r="H794" s="4">
        <f>-SUMIFS('01_異動主檔'!$F:$F,'01_異動主檔'!$B:$B,105,'01_異動主檔'!$D:$D,A794,'01_異動主檔'!$E:$E,"精簡")</f>
        <v/>
      </c>
      <c r="I794" s="8">
        <f>C794+D794+E794+F794+G794+H794</f>
        <v/>
      </c>
    </row>
    <row r="795" ht="18" customHeight="1">
      <c r="A795" s="3" t="inlineStr">
        <is>
          <t>採購科</t>
        </is>
      </c>
      <c r="B795" s="4" t="n">
        <v>106</v>
      </c>
      <c r="C795" s="8">
        <f>I794</f>
        <v/>
      </c>
      <c r="D795" s="4">
        <f>SUMIFS('01_異動主檔'!$F:$F,'01_異動主檔'!$B:$B,106,'01_異動主檔'!$D:$D,A795,'01_異動主檔'!$E:$E,"移入")</f>
        <v/>
      </c>
      <c r="E795" s="4">
        <f>-SUMIFS('01_異動主檔'!$F:$F,'01_異動主檔'!$B:$B,106,'01_異動主檔'!$D:$D,A795,'01_異動主檔'!$E:$E,"移出")</f>
        <v/>
      </c>
      <c r="F795" s="4">
        <f>SUMIFS('01_異動主檔'!$F:$F,'01_異動主檔'!$B:$B,106,'01_異動主檔'!$D:$D,A795,'01_異動主檔'!$E:$E,"新增")</f>
        <v/>
      </c>
      <c r="G795" s="4">
        <f>-SUMIFS('01_異動主檔'!$F:$F,'01_異動主檔'!$B:$B,106,'01_異動主檔'!$D:$D,A795,'01_異動主檔'!$E:$E,"減列")</f>
        <v/>
      </c>
      <c r="H795" s="4">
        <f>-SUMIFS('01_異動主檔'!$F:$F,'01_異動主檔'!$B:$B,106,'01_異動主檔'!$D:$D,A795,'01_異動主檔'!$E:$E,"精簡")</f>
        <v/>
      </c>
      <c r="I795" s="8">
        <f>C795+D795+E795+F795+G795+H795</f>
        <v/>
      </c>
    </row>
    <row r="796" ht="18" customHeight="1">
      <c r="A796" s="5" t="inlineStr">
        <is>
          <t>採購科</t>
        </is>
      </c>
      <c r="B796" s="6" t="n">
        <v>107</v>
      </c>
      <c r="C796" s="8">
        <f>I795</f>
        <v/>
      </c>
      <c r="D796" s="4">
        <f>SUMIFS('01_異動主檔'!$F:$F,'01_異動主檔'!$B:$B,107,'01_異動主檔'!$D:$D,A796,'01_異動主檔'!$E:$E,"移入")</f>
        <v/>
      </c>
      <c r="E796" s="4">
        <f>-SUMIFS('01_異動主檔'!$F:$F,'01_異動主檔'!$B:$B,107,'01_異動主檔'!$D:$D,A796,'01_異動主檔'!$E:$E,"移出")</f>
        <v/>
      </c>
      <c r="F796" s="4">
        <f>SUMIFS('01_異動主檔'!$F:$F,'01_異動主檔'!$B:$B,107,'01_異動主檔'!$D:$D,A796,'01_異動主檔'!$E:$E,"新增")</f>
        <v/>
      </c>
      <c r="G796" s="4">
        <f>-SUMIFS('01_異動主檔'!$F:$F,'01_異動主檔'!$B:$B,107,'01_異動主檔'!$D:$D,A796,'01_異動主檔'!$E:$E,"減列")</f>
        <v/>
      </c>
      <c r="H796" s="4">
        <f>-SUMIFS('01_異動主檔'!$F:$F,'01_異動主檔'!$B:$B,107,'01_異動主檔'!$D:$D,A796,'01_異動主檔'!$E:$E,"精簡")</f>
        <v/>
      </c>
      <c r="I796" s="8">
        <f>C796+D796+E796+F796+G796+H796</f>
        <v/>
      </c>
    </row>
    <row r="797" ht="18" customHeight="1">
      <c r="A797" s="3" t="inlineStr">
        <is>
          <t>採購科</t>
        </is>
      </c>
      <c r="B797" s="4" t="n">
        <v>108</v>
      </c>
      <c r="C797" s="8">
        <f>I796</f>
        <v/>
      </c>
      <c r="D797" s="4">
        <f>SUMIFS('01_異動主檔'!$F:$F,'01_異動主檔'!$B:$B,108,'01_異動主檔'!$D:$D,A797,'01_異動主檔'!$E:$E,"移入")</f>
        <v/>
      </c>
      <c r="E797" s="4">
        <f>-SUMIFS('01_異動主檔'!$F:$F,'01_異動主檔'!$B:$B,108,'01_異動主檔'!$D:$D,A797,'01_異動主檔'!$E:$E,"移出")</f>
        <v/>
      </c>
      <c r="F797" s="4">
        <f>SUMIFS('01_異動主檔'!$F:$F,'01_異動主檔'!$B:$B,108,'01_異動主檔'!$D:$D,A797,'01_異動主檔'!$E:$E,"新增")</f>
        <v/>
      </c>
      <c r="G797" s="4">
        <f>-SUMIFS('01_異動主檔'!$F:$F,'01_異動主檔'!$B:$B,108,'01_異動主檔'!$D:$D,A797,'01_異動主檔'!$E:$E,"減列")</f>
        <v/>
      </c>
      <c r="H797" s="4">
        <f>-SUMIFS('01_異動主檔'!$F:$F,'01_異動主檔'!$B:$B,108,'01_異動主檔'!$D:$D,A797,'01_異動主檔'!$E:$E,"精簡")</f>
        <v/>
      </c>
      <c r="I797" s="8">
        <f>C797+D797+E797+F797+G797+H797</f>
        <v/>
      </c>
    </row>
    <row r="798" ht="18" customHeight="1">
      <c r="A798" s="5" t="inlineStr">
        <is>
          <t>採購科</t>
        </is>
      </c>
      <c r="B798" s="6" t="n">
        <v>109</v>
      </c>
      <c r="C798" s="8">
        <f>I797</f>
        <v/>
      </c>
      <c r="D798" s="4">
        <f>SUMIFS('01_異動主檔'!$F:$F,'01_異動主檔'!$B:$B,109,'01_異動主檔'!$D:$D,A798,'01_異動主檔'!$E:$E,"移入")</f>
        <v/>
      </c>
      <c r="E798" s="4">
        <f>-SUMIFS('01_異動主檔'!$F:$F,'01_異動主檔'!$B:$B,109,'01_異動主檔'!$D:$D,A798,'01_異動主檔'!$E:$E,"移出")</f>
        <v/>
      </c>
      <c r="F798" s="4">
        <f>SUMIFS('01_異動主檔'!$F:$F,'01_異動主檔'!$B:$B,109,'01_異動主檔'!$D:$D,A798,'01_異動主檔'!$E:$E,"新增")</f>
        <v/>
      </c>
      <c r="G798" s="4">
        <f>-SUMIFS('01_異動主檔'!$F:$F,'01_異動主檔'!$B:$B,109,'01_異動主檔'!$D:$D,A798,'01_異動主檔'!$E:$E,"減列")</f>
        <v/>
      </c>
      <c r="H798" s="4">
        <f>-SUMIFS('01_異動主檔'!$F:$F,'01_異動主檔'!$B:$B,109,'01_異動主檔'!$D:$D,A798,'01_異動主檔'!$E:$E,"精簡")</f>
        <v/>
      </c>
      <c r="I798" s="8">
        <f>C798+D798+E798+F798+G798+H798</f>
        <v/>
      </c>
    </row>
    <row r="799" ht="18" customHeight="1">
      <c r="A799" s="3" t="inlineStr">
        <is>
          <t>採購科</t>
        </is>
      </c>
      <c r="B799" s="4" t="n">
        <v>110</v>
      </c>
      <c r="C799" s="8">
        <f>I798</f>
        <v/>
      </c>
      <c r="D799" s="4">
        <f>SUMIFS('01_異動主檔'!$F:$F,'01_異動主檔'!$B:$B,110,'01_異動主檔'!$D:$D,A799,'01_異動主檔'!$E:$E,"移入")</f>
        <v/>
      </c>
      <c r="E799" s="4">
        <f>-SUMIFS('01_異動主檔'!$F:$F,'01_異動主檔'!$B:$B,110,'01_異動主檔'!$D:$D,A799,'01_異動主檔'!$E:$E,"移出")</f>
        <v/>
      </c>
      <c r="F799" s="4">
        <f>SUMIFS('01_異動主檔'!$F:$F,'01_異動主檔'!$B:$B,110,'01_異動主檔'!$D:$D,A799,'01_異動主檔'!$E:$E,"新增")</f>
        <v/>
      </c>
      <c r="G799" s="4">
        <f>-SUMIFS('01_異動主檔'!$F:$F,'01_異動主檔'!$B:$B,110,'01_異動主檔'!$D:$D,A799,'01_異動主檔'!$E:$E,"減列")</f>
        <v/>
      </c>
      <c r="H799" s="4">
        <f>-SUMIFS('01_異動主檔'!$F:$F,'01_異動主檔'!$B:$B,110,'01_異動主檔'!$D:$D,A799,'01_異動主檔'!$E:$E,"精簡")</f>
        <v/>
      </c>
      <c r="I799" s="8">
        <f>C799+D799+E799+F799+G799+H799</f>
        <v/>
      </c>
    </row>
    <row r="800" ht="18" customHeight="1">
      <c r="A800" s="5" t="inlineStr">
        <is>
          <t>採購科</t>
        </is>
      </c>
      <c r="B800" s="6" t="n">
        <v>111</v>
      </c>
      <c r="C800" s="8">
        <f>I799</f>
        <v/>
      </c>
      <c r="D800" s="4">
        <f>SUMIFS('01_異動主檔'!$F:$F,'01_異動主檔'!$B:$B,111,'01_異動主檔'!$D:$D,A800,'01_異動主檔'!$E:$E,"移入")</f>
        <v/>
      </c>
      <c r="E800" s="4">
        <f>-SUMIFS('01_異動主檔'!$F:$F,'01_異動主檔'!$B:$B,111,'01_異動主檔'!$D:$D,A800,'01_異動主檔'!$E:$E,"移出")</f>
        <v/>
      </c>
      <c r="F800" s="4">
        <f>SUMIFS('01_異動主檔'!$F:$F,'01_異動主檔'!$B:$B,111,'01_異動主檔'!$D:$D,A800,'01_異動主檔'!$E:$E,"新增")</f>
        <v/>
      </c>
      <c r="G800" s="4">
        <f>-SUMIFS('01_異動主檔'!$F:$F,'01_異動主檔'!$B:$B,111,'01_異動主檔'!$D:$D,A800,'01_異動主檔'!$E:$E,"減列")</f>
        <v/>
      </c>
      <c r="H800" s="4">
        <f>-SUMIFS('01_異動主檔'!$F:$F,'01_異動主檔'!$B:$B,111,'01_異動主檔'!$D:$D,A800,'01_異動主檔'!$E:$E,"精簡")</f>
        <v/>
      </c>
      <c r="I800" s="8">
        <f>C800+D800+E800+F800+G800+H800</f>
        <v/>
      </c>
    </row>
    <row r="801" ht="18" customHeight="1">
      <c r="A801" s="3" t="inlineStr">
        <is>
          <t>採購科</t>
        </is>
      </c>
      <c r="B801" s="4" t="n">
        <v>112</v>
      </c>
      <c r="C801" s="8">
        <f>I800</f>
        <v/>
      </c>
      <c r="D801" s="4">
        <f>SUMIFS('01_異動主檔'!$F:$F,'01_異動主檔'!$B:$B,112,'01_異動主檔'!$D:$D,A801,'01_異動主檔'!$E:$E,"移入")</f>
        <v/>
      </c>
      <c r="E801" s="4">
        <f>-SUMIFS('01_異動主檔'!$F:$F,'01_異動主檔'!$B:$B,112,'01_異動主檔'!$D:$D,A801,'01_異動主檔'!$E:$E,"移出")</f>
        <v/>
      </c>
      <c r="F801" s="4">
        <f>SUMIFS('01_異動主檔'!$F:$F,'01_異動主檔'!$B:$B,112,'01_異動主檔'!$D:$D,A801,'01_異動主檔'!$E:$E,"新增")</f>
        <v/>
      </c>
      <c r="G801" s="4">
        <f>-SUMIFS('01_異動主檔'!$F:$F,'01_異動主檔'!$B:$B,112,'01_異動主檔'!$D:$D,A801,'01_異動主檔'!$E:$E,"減列")</f>
        <v/>
      </c>
      <c r="H801" s="4">
        <f>-SUMIFS('01_異動主檔'!$F:$F,'01_異動主檔'!$B:$B,112,'01_異動主檔'!$D:$D,A801,'01_異動主檔'!$E:$E,"精簡")</f>
        <v/>
      </c>
      <c r="I801" s="8">
        <f>C801+D801+E801+F801+G801+H801</f>
        <v/>
      </c>
    </row>
    <row r="802" ht="18" customHeight="1">
      <c r="A802" s="5" t="inlineStr">
        <is>
          <t>採購科</t>
        </is>
      </c>
      <c r="B802" s="6" t="n">
        <v>113</v>
      </c>
      <c r="C802" s="8">
        <f>I801</f>
        <v/>
      </c>
      <c r="D802" s="4">
        <f>SUMIFS('01_異動主檔'!$F:$F,'01_異動主檔'!$B:$B,113,'01_異動主檔'!$D:$D,A802,'01_異動主檔'!$E:$E,"移入")</f>
        <v/>
      </c>
      <c r="E802" s="4">
        <f>-SUMIFS('01_異動主檔'!$F:$F,'01_異動主檔'!$B:$B,113,'01_異動主檔'!$D:$D,A802,'01_異動主檔'!$E:$E,"移出")</f>
        <v/>
      </c>
      <c r="F802" s="4">
        <f>SUMIFS('01_異動主檔'!$F:$F,'01_異動主檔'!$B:$B,113,'01_異動主檔'!$D:$D,A802,'01_異動主檔'!$E:$E,"新增")</f>
        <v/>
      </c>
      <c r="G802" s="4">
        <f>-SUMIFS('01_異動主檔'!$F:$F,'01_異動主檔'!$B:$B,113,'01_異動主檔'!$D:$D,A802,'01_異動主檔'!$E:$E,"減列")</f>
        <v/>
      </c>
      <c r="H802" s="4">
        <f>-SUMIFS('01_異動主檔'!$F:$F,'01_異動主檔'!$B:$B,113,'01_異動主檔'!$D:$D,A802,'01_異動主檔'!$E:$E,"精簡")</f>
        <v/>
      </c>
      <c r="I802" s="8">
        <f>C802+D802+E802+F802+G802+H802</f>
        <v/>
      </c>
    </row>
    <row r="803" ht="18" customHeight="1">
      <c r="A803" s="3" t="inlineStr">
        <is>
          <t>採購科</t>
        </is>
      </c>
      <c r="B803" s="4" t="n">
        <v>114</v>
      </c>
      <c r="C803" s="8">
        <f>I802</f>
        <v/>
      </c>
      <c r="D803" s="4">
        <f>SUMIFS('01_異動主檔'!$F:$F,'01_異動主檔'!$B:$B,114,'01_異動主檔'!$D:$D,A803,'01_異動主檔'!$E:$E,"移入")</f>
        <v/>
      </c>
      <c r="E803" s="4">
        <f>-SUMIFS('01_異動主檔'!$F:$F,'01_異動主檔'!$B:$B,114,'01_異動主檔'!$D:$D,A803,'01_異動主檔'!$E:$E,"移出")</f>
        <v/>
      </c>
      <c r="F803" s="4">
        <f>SUMIFS('01_異動主檔'!$F:$F,'01_異動主檔'!$B:$B,114,'01_異動主檔'!$D:$D,A803,'01_異動主檔'!$E:$E,"新增")</f>
        <v/>
      </c>
      <c r="G803" s="4">
        <f>-SUMIFS('01_異動主檔'!$F:$F,'01_異動主檔'!$B:$B,114,'01_異動主檔'!$D:$D,A803,'01_異動主檔'!$E:$E,"減列")</f>
        <v/>
      </c>
      <c r="H803" s="4">
        <f>-SUMIFS('01_異動主檔'!$F:$F,'01_異動主檔'!$B:$B,114,'01_異動主檔'!$D:$D,A803,'01_異動主檔'!$E:$E,"精簡")</f>
        <v/>
      </c>
      <c r="I803" s="8">
        <f>C803+D803+E803+F803+G803+H803</f>
        <v/>
      </c>
    </row>
    <row r="804" ht="18" customHeight="1">
      <c r="A804" s="5" t="inlineStr">
        <is>
          <t>採購科</t>
        </is>
      </c>
      <c r="B804" s="6" t="n">
        <v>115</v>
      </c>
      <c r="C804" s="8">
        <f>I803</f>
        <v/>
      </c>
      <c r="D804" s="4">
        <f>SUMIFS('01_異動主檔'!$F:$F,'01_異動主檔'!$B:$B,115,'01_異動主檔'!$D:$D,A804,'01_異動主檔'!$E:$E,"移入")</f>
        <v/>
      </c>
      <c r="E804" s="4">
        <f>-SUMIFS('01_異動主檔'!$F:$F,'01_異動主檔'!$B:$B,115,'01_異動主檔'!$D:$D,A804,'01_異動主檔'!$E:$E,"移出")</f>
        <v/>
      </c>
      <c r="F804" s="4">
        <f>SUMIFS('01_異動主檔'!$F:$F,'01_異動主檔'!$B:$B,115,'01_異動主檔'!$D:$D,A804,'01_異動主檔'!$E:$E,"新增")</f>
        <v/>
      </c>
      <c r="G804" s="4">
        <f>-SUMIFS('01_異動主檔'!$F:$F,'01_異動主檔'!$B:$B,115,'01_異動主檔'!$D:$D,A804,'01_異動主檔'!$E:$E,"減列")</f>
        <v/>
      </c>
      <c r="H804" s="4">
        <f>-SUMIFS('01_異動主檔'!$F:$F,'01_異動主檔'!$B:$B,115,'01_異動主檔'!$D:$D,A804,'01_異動主檔'!$E:$E,"精簡")</f>
        <v/>
      </c>
      <c r="I804" s="8">
        <f>C804+D804+E804+F804+G804+H804</f>
        <v/>
      </c>
    </row>
    <row r="805" ht="18" customHeight="1">
      <c r="A805" s="3" t="inlineStr">
        <is>
          <t>採購科</t>
        </is>
      </c>
      <c r="B805" s="4" t="n">
        <v>116</v>
      </c>
      <c r="C805" s="8">
        <f>I804</f>
        <v/>
      </c>
      <c r="D805" s="4">
        <f>SUMIFS('01_異動主檔'!$F:$F,'01_異動主檔'!$B:$B,116,'01_異動主檔'!$D:$D,A805,'01_異動主檔'!$E:$E,"移入")</f>
        <v/>
      </c>
      <c r="E805" s="4">
        <f>-SUMIFS('01_異動主檔'!$F:$F,'01_異動主檔'!$B:$B,116,'01_異動主檔'!$D:$D,A805,'01_異動主檔'!$E:$E,"移出")</f>
        <v/>
      </c>
      <c r="F805" s="4">
        <f>SUMIFS('01_異動主檔'!$F:$F,'01_異動主檔'!$B:$B,116,'01_異動主檔'!$D:$D,A805,'01_異動主檔'!$E:$E,"新增")</f>
        <v/>
      </c>
      <c r="G805" s="4">
        <f>-SUMIFS('01_異動主檔'!$F:$F,'01_異動主檔'!$B:$B,116,'01_異動主檔'!$D:$D,A805,'01_異動主檔'!$E:$E,"減列")</f>
        <v/>
      </c>
      <c r="H805" s="4">
        <f>-SUMIFS('01_異動主檔'!$F:$F,'01_異動主檔'!$B:$B,116,'01_異動主檔'!$D:$D,A805,'01_異動主檔'!$E:$E,"精簡")</f>
        <v/>
      </c>
      <c r="I805" s="8">
        <f>C805+D805+E805+F805+G805+H805</f>
        <v/>
      </c>
    </row>
    <row r="806" ht="18" customHeight="1">
      <c r="A806" s="5" t="inlineStr">
        <is>
          <t>採購科</t>
        </is>
      </c>
      <c r="B806" s="6" t="n">
        <v>117</v>
      </c>
      <c r="C806" s="8">
        <f>I805</f>
        <v/>
      </c>
      <c r="D806" s="4">
        <f>SUMIFS('01_異動主檔'!$F:$F,'01_異動主檔'!$B:$B,117,'01_異動主檔'!$D:$D,A806,'01_異動主檔'!$E:$E,"移入")</f>
        <v/>
      </c>
      <c r="E806" s="4">
        <f>-SUMIFS('01_異動主檔'!$F:$F,'01_異動主檔'!$B:$B,117,'01_異動主檔'!$D:$D,A806,'01_異動主檔'!$E:$E,"移出")</f>
        <v/>
      </c>
      <c r="F806" s="4">
        <f>SUMIFS('01_異動主檔'!$F:$F,'01_異動主檔'!$B:$B,117,'01_異動主檔'!$D:$D,A806,'01_異動主檔'!$E:$E,"新增")</f>
        <v/>
      </c>
      <c r="G806" s="4">
        <f>-SUMIFS('01_異動主檔'!$F:$F,'01_異動主檔'!$B:$B,117,'01_異動主檔'!$D:$D,A806,'01_異動主檔'!$E:$E,"減列")</f>
        <v/>
      </c>
      <c r="H806" s="4">
        <f>-SUMIFS('01_異動主檔'!$F:$F,'01_異動主檔'!$B:$B,117,'01_異動主檔'!$D:$D,A806,'01_異動主檔'!$E:$E,"精簡")</f>
        <v/>
      </c>
      <c r="I806" s="8">
        <f>C806+D806+E806+F806+G806+H806</f>
        <v/>
      </c>
    </row>
    <row r="807" ht="18" customHeight="1">
      <c r="A807" s="3" t="inlineStr">
        <is>
          <t>採購科</t>
        </is>
      </c>
      <c r="B807" s="4" t="n">
        <v>118</v>
      </c>
      <c r="C807" s="8">
        <f>I806</f>
        <v/>
      </c>
      <c r="D807" s="4">
        <f>SUMIFS('01_異動主檔'!$F:$F,'01_異動主檔'!$B:$B,118,'01_異動主檔'!$D:$D,A807,'01_異動主檔'!$E:$E,"移入")</f>
        <v/>
      </c>
      <c r="E807" s="4">
        <f>-SUMIFS('01_異動主檔'!$F:$F,'01_異動主檔'!$B:$B,118,'01_異動主檔'!$D:$D,A807,'01_異動主檔'!$E:$E,"移出")</f>
        <v/>
      </c>
      <c r="F807" s="4">
        <f>SUMIFS('01_異動主檔'!$F:$F,'01_異動主檔'!$B:$B,118,'01_異動主檔'!$D:$D,A807,'01_異動主檔'!$E:$E,"新增")</f>
        <v/>
      </c>
      <c r="G807" s="4">
        <f>-SUMIFS('01_異動主檔'!$F:$F,'01_異動主檔'!$B:$B,118,'01_異動主檔'!$D:$D,A807,'01_異動主檔'!$E:$E,"減列")</f>
        <v/>
      </c>
      <c r="H807" s="4">
        <f>-SUMIFS('01_異動主檔'!$F:$F,'01_異動主檔'!$B:$B,118,'01_異動主檔'!$D:$D,A807,'01_異動主檔'!$E:$E,"精簡")</f>
        <v/>
      </c>
      <c r="I807" s="8">
        <f>C807+D807+E807+F807+G807+H807</f>
        <v/>
      </c>
    </row>
    <row r="808" ht="18" customHeight="1">
      <c r="A808" s="5" t="inlineStr">
        <is>
          <t>採購科</t>
        </is>
      </c>
      <c r="B808" s="6" t="n">
        <v>119</v>
      </c>
      <c r="C808" s="8">
        <f>I807</f>
        <v/>
      </c>
      <c r="D808" s="4">
        <f>SUMIFS('01_異動主檔'!$F:$F,'01_異動主檔'!$B:$B,119,'01_異動主檔'!$D:$D,A808,'01_異動主檔'!$E:$E,"移入")</f>
        <v/>
      </c>
      <c r="E808" s="4">
        <f>-SUMIFS('01_異動主檔'!$F:$F,'01_異動主檔'!$B:$B,119,'01_異動主檔'!$D:$D,A808,'01_異動主檔'!$E:$E,"移出")</f>
        <v/>
      </c>
      <c r="F808" s="4">
        <f>SUMIFS('01_異動主檔'!$F:$F,'01_異動主檔'!$B:$B,119,'01_異動主檔'!$D:$D,A808,'01_異動主檔'!$E:$E,"新增")</f>
        <v/>
      </c>
      <c r="G808" s="4">
        <f>-SUMIFS('01_異動主檔'!$F:$F,'01_異動主檔'!$B:$B,119,'01_異動主檔'!$D:$D,A808,'01_異動主檔'!$E:$E,"減列")</f>
        <v/>
      </c>
      <c r="H808" s="4">
        <f>-SUMIFS('01_異動主檔'!$F:$F,'01_異動主檔'!$B:$B,119,'01_異動主檔'!$D:$D,A808,'01_異動主檔'!$E:$E,"精簡")</f>
        <v/>
      </c>
      <c r="I808" s="8">
        <f>C808+D808+E808+F808+G808+H808</f>
        <v/>
      </c>
    </row>
    <row r="809" ht="18" customHeight="1">
      <c r="A809" s="3" t="inlineStr">
        <is>
          <t>採購科</t>
        </is>
      </c>
      <c r="B809" s="4" t="n">
        <v>120</v>
      </c>
      <c r="C809" s="8">
        <f>I808</f>
        <v/>
      </c>
      <c r="D809" s="4">
        <f>SUMIFS('01_異動主檔'!$F:$F,'01_異動主檔'!$B:$B,120,'01_異動主檔'!$D:$D,A809,'01_異動主檔'!$E:$E,"移入")</f>
        <v/>
      </c>
      <c r="E809" s="4">
        <f>-SUMIFS('01_異動主檔'!$F:$F,'01_異動主檔'!$B:$B,120,'01_異動主檔'!$D:$D,A809,'01_異動主檔'!$E:$E,"移出")</f>
        <v/>
      </c>
      <c r="F809" s="4">
        <f>SUMIFS('01_異動主檔'!$F:$F,'01_異動主檔'!$B:$B,120,'01_異動主檔'!$D:$D,A809,'01_異動主檔'!$E:$E,"新增")</f>
        <v/>
      </c>
      <c r="G809" s="4">
        <f>-SUMIFS('01_異動主檔'!$F:$F,'01_異動主檔'!$B:$B,120,'01_異動主檔'!$D:$D,A809,'01_異動主檔'!$E:$E,"減列")</f>
        <v/>
      </c>
      <c r="H809" s="4">
        <f>-SUMIFS('01_異動主檔'!$F:$F,'01_異動主檔'!$B:$B,120,'01_異動主檔'!$D:$D,A809,'01_異動主檔'!$E:$E,"精簡")</f>
        <v/>
      </c>
      <c r="I809" s="8">
        <f>C809+D809+E809+F809+G809+H809</f>
        <v/>
      </c>
    </row>
    <row r="810" ht="18" customHeight="1">
      <c r="A810" s="5" t="inlineStr">
        <is>
          <t>採購科</t>
        </is>
      </c>
      <c r="B810" s="6" t="n">
        <v>121</v>
      </c>
      <c r="C810" s="8">
        <f>I809</f>
        <v/>
      </c>
      <c r="D810" s="4">
        <f>SUMIFS('01_異動主檔'!$F:$F,'01_異動主檔'!$B:$B,121,'01_異動主檔'!$D:$D,A810,'01_異動主檔'!$E:$E,"移入")</f>
        <v/>
      </c>
      <c r="E810" s="4">
        <f>-SUMIFS('01_異動主檔'!$F:$F,'01_異動主檔'!$B:$B,121,'01_異動主檔'!$D:$D,A810,'01_異動主檔'!$E:$E,"移出")</f>
        <v/>
      </c>
      <c r="F810" s="4">
        <f>SUMIFS('01_異動主檔'!$F:$F,'01_異動主檔'!$B:$B,121,'01_異動主檔'!$D:$D,A810,'01_異動主檔'!$E:$E,"新增")</f>
        <v/>
      </c>
      <c r="G810" s="4">
        <f>-SUMIFS('01_異動主檔'!$F:$F,'01_異動主檔'!$B:$B,121,'01_異動主檔'!$D:$D,A810,'01_異動主檔'!$E:$E,"減列")</f>
        <v/>
      </c>
      <c r="H810" s="4">
        <f>-SUMIFS('01_異動主檔'!$F:$F,'01_異動主檔'!$B:$B,121,'01_異動主檔'!$D:$D,A810,'01_異動主檔'!$E:$E,"精簡")</f>
        <v/>
      </c>
      <c r="I810" s="8">
        <f>C810+D810+E810+F810+G810+H810</f>
        <v/>
      </c>
    </row>
    <row r="811" ht="18" customHeight="1">
      <c r="A811" s="3" t="inlineStr">
        <is>
          <t>採購科</t>
        </is>
      </c>
      <c r="B811" s="4" t="n">
        <v>122</v>
      </c>
      <c r="C811" s="8">
        <f>I810</f>
        <v/>
      </c>
      <c r="D811" s="4">
        <f>SUMIFS('01_異動主檔'!$F:$F,'01_異動主檔'!$B:$B,122,'01_異動主檔'!$D:$D,A811,'01_異動主檔'!$E:$E,"移入")</f>
        <v/>
      </c>
      <c r="E811" s="4">
        <f>-SUMIFS('01_異動主檔'!$F:$F,'01_異動主檔'!$B:$B,122,'01_異動主檔'!$D:$D,A811,'01_異動主檔'!$E:$E,"移出")</f>
        <v/>
      </c>
      <c r="F811" s="4">
        <f>SUMIFS('01_異動主檔'!$F:$F,'01_異動主檔'!$B:$B,122,'01_異動主檔'!$D:$D,A811,'01_異動主檔'!$E:$E,"新增")</f>
        <v/>
      </c>
      <c r="G811" s="4">
        <f>-SUMIFS('01_異動主檔'!$F:$F,'01_異動主檔'!$B:$B,122,'01_異動主檔'!$D:$D,A811,'01_異動主檔'!$E:$E,"減列")</f>
        <v/>
      </c>
      <c r="H811" s="4">
        <f>-SUMIFS('01_異動主檔'!$F:$F,'01_異動主檔'!$B:$B,122,'01_異動主檔'!$D:$D,A811,'01_異動主檔'!$E:$E,"精簡")</f>
        <v/>
      </c>
      <c r="I811" s="8">
        <f>C811+D811+E811+F811+G811+H811</f>
        <v/>
      </c>
    </row>
    <row r="812" ht="18" customHeight="1">
      <c r="A812" s="5" t="inlineStr">
        <is>
          <t>採購科</t>
        </is>
      </c>
      <c r="B812" s="6" t="n">
        <v>123</v>
      </c>
      <c r="C812" s="8">
        <f>I811</f>
        <v/>
      </c>
      <c r="D812" s="4">
        <f>SUMIFS('01_異動主檔'!$F:$F,'01_異動主檔'!$B:$B,123,'01_異動主檔'!$D:$D,A812,'01_異動主檔'!$E:$E,"移入")</f>
        <v/>
      </c>
      <c r="E812" s="4">
        <f>-SUMIFS('01_異動主檔'!$F:$F,'01_異動主檔'!$B:$B,123,'01_異動主檔'!$D:$D,A812,'01_異動主檔'!$E:$E,"移出")</f>
        <v/>
      </c>
      <c r="F812" s="4">
        <f>SUMIFS('01_異動主檔'!$F:$F,'01_異動主檔'!$B:$B,123,'01_異動主檔'!$D:$D,A812,'01_異動主檔'!$E:$E,"新增")</f>
        <v/>
      </c>
      <c r="G812" s="4">
        <f>-SUMIFS('01_異動主檔'!$F:$F,'01_異動主檔'!$B:$B,123,'01_異動主檔'!$D:$D,A812,'01_異動主檔'!$E:$E,"減列")</f>
        <v/>
      </c>
      <c r="H812" s="4">
        <f>-SUMIFS('01_異動主檔'!$F:$F,'01_異動主檔'!$B:$B,123,'01_異動主檔'!$D:$D,A812,'01_異動主檔'!$E:$E,"精簡")</f>
        <v/>
      </c>
      <c r="I812" s="8">
        <f>C812+D812+E812+F812+G812+H812</f>
        <v/>
      </c>
    </row>
    <row r="813" ht="18" customHeight="1">
      <c r="A813" s="3" t="inlineStr">
        <is>
          <t>採購科</t>
        </is>
      </c>
      <c r="B813" s="4" t="n">
        <v>124</v>
      </c>
      <c r="C813" s="8">
        <f>I812</f>
        <v/>
      </c>
      <c r="D813" s="4">
        <f>SUMIFS('01_異動主檔'!$F:$F,'01_異動主檔'!$B:$B,124,'01_異動主檔'!$D:$D,A813,'01_異動主檔'!$E:$E,"移入")</f>
        <v/>
      </c>
      <c r="E813" s="4">
        <f>-SUMIFS('01_異動主檔'!$F:$F,'01_異動主檔'!$B:$B,124,'01_異動主檔'!$D:$D,A813,'01_異動主檔'!$E:$E,"移出")</f>
        <v/>
      </c>
      <c r="F813" s="4">
        <f>SUMIFS('01_異動主檔'!$F:$F,'01_異動主檔'!$B:$B,124,'01_異動主檔'!$D:$D,A813,'01_異動主檔'!$E:$E,"新增")</f>
        <v/>
      </c>
      <c r="G813" s="4">
        <f>-SUMIFS('01_異動主檔'!$F:$F,'01_異動主檔'!$B:$B,124,'01_異動主檔'!$D:$D,A813,'01_異動主檔'!$E:$E,"減列")</f>
        <v/>
      </c>
      <c r="H813" s="4">
        <f>-SUMIFS('01_異動主檔'!$F:$F,'01_異動主檔'!$B:$B,124,'01_異動主檔'!$D:$D,A813,'01_異動主檔'!$E:$E,"精簡")</f>
        <v/>
      </c>
      <c r="I813" s="8">
        <f>C813+D813+E813+F813+G813+H813</f>
        <v/>
      </c>
    </row>
    <row r="814" ht="18" customHeight="1">
      <c r="A814" s="5" t="inlineStr">
        <is>
          <t>採購科</t>
        </is>
      </c>
      <c r="B814" s="6" t="n">
        <v>125</v>
      </c>
      <c r="C814" s="8">
        <f>I813</f>
        <v/>
      </c>
      <c r="D814" s="4">
        <f>SUMIFS('01_異動主檔'!$F:$F,'01_異動主檔'!$B:$B,125,'01_異動主檔'!$D:$D,A814,'01_異動主檔'!$E:$E,"移入")</f>
        <v/>
      </c>
      <c r="E814" s="4">
        <f>-SUMIFS('01_異動主檔'!$F:$F,'01_異動主檔'!$B:$B,125,'01_異動主檔'!$D:$D,A814,'01_異動主檔'!$E:$E,"移出")</f>
        <v/>
      </c>
      <c r="F814" s="4">
        <f>SUMIFS('01_異動主檔'!$F:$F,'01_異動主檔'!$B:$B,125,'01_異動主檔'!$D:$D,A814,'01_異動主檔'!$E:$E,"新增")</f>
        <v/>
      </c>
      <c r="G814" s="4">
        <f>-SUMIFS('01_異動主檔'!$F:$F,'01_異動主檔'!$B:$B,125,'01_異動主檔'!$D:$D,A814,'01_異動主檔'!$E:$E,"減列")</f>
        <v/>
      </c>
      <c r="H814" s="4">
        <f>-SUMIFS('01_異動主檔'!$F:$F,'01_異動主檔'!$B:$B,125,'01_異動主檔'!$D:$D,A814,'01_異動主檔'!$E:$E,"精簡")</f>
        <v/>
      </c>
      <c r="I814" s="8">
        <f>C814+D814+E814+F814+G814+H814</f>
        <v/>
      </c>
    </row>
    <row r="815" ht="18" customHeight="1">
      <c r="A815" s="3" t="inlineStr">
        <is>
          <t>稽查科</t>
        </is>
      </c>
      <c r="B815" s="4" t="n">
        <v>99</v>
      </c>
      <c r="C815" s="8">
        <f>'02_年初員額設定'!B35</f>
        <v/>
      </c>
      <c r="D815" s="4">
        <f>SUMIFS('01_異動主檔'!$F:$F,'01_異動主檔'!$B:$B,99,'01_異動主檔'!$D:$D,A815,'01_異動主檔'!$E:$E,"移入")</f>
        <v/>
      </c>
      <c r="E815" s="4">
        <f>-SUMIFS('01_異動主檔'!$F:$F,'01_異動主檔'!$B:$B,99,'01_異動主檔'!$D:$D,A815,'01_異動主檔'!$E:$E,"移出")</f>
        <v/>
      </c>
      <c r="F815" s="4">
        <f>SUMIFS('01_異動主檔'!$F:$F,'01_異動主檔'!$B:$B,99,'01_異動主檔'!$D:$D,A815,'01_異動主檔'!$E:$E,"新增")</f>
        <v/>
      </c>
      <c r="G815" s="4">
        <f>-SUMIFS('01_異動主檔'!$F:$F,'01_異動主檔'!$B:$B,99,'01_異動主檔'!$D:$D,A815,'01_異動主檔'!$E:$E,"減列")</f>
        <v/>
      </c>
      <c r="H815" s="4">
        <f>-SUMIFS('01_異動主檔'!$F:$F,'01_異動主檔'!$B:$B,99,'01_異動主檔'!$D:$D,A815,'01_異動主檔'!$E:$E,"精簡")</f>
        <v/>
      </c>
      <c r="I815" s="8">
        <f>C815+D815+E815+F815+G815+H815</f>
        <v/>
      </c>
    </row>
    <row r="816" ht="18" customHeight="1">
      <c r="A816" s="5" t="inlineStr">
        <is>
          <t>稽查科</t>
        </is>
      </c>
      <c r="B816" s="6" t="n">
        <v>100</v>
      </c>
      <c r="C816" s="8">
        <f>I815</f>
        <v/>
      </c>
      <c r="D816" s="4">
        <f>SUMIFS('01_異動主檔'!$F:$F,'01_異動主檔'!$B:$B,100,'01_異動主檔'!$D:$D,A816,'01_異動主檔'!$E:$E,"移入")</f>
        <v/>
      </c>
      <c r="E816" s="4">
        <f>-SUMIFS('01_異動主檔'!$F:$F,'01_異動主檔'!$B:$B,100,'01_異動主檔'!$D:$D,A816,'01_異動主檔'!$E:$E,"移出")</f>
        <v/>
      </c>
      <c r="F816" s="4">
        <f>SUMIFS('01_異動主檔'!$F:$F,'01_異動主檔'!$B:$B,100,'01_異動主檔'!$D:$D,A816,'01_異動主檔'!$E:$E,"新增")</f>
        <v/>
      </c>
      <c r="G816" s="4">
        <f>-SUMIFS('01_異動主檔'!$F:$F,'01_異動主檔'!$B:$B,100,'01_異動主檔'!$D:$D,A816,'01_異動主檔'!$E:$E,"減列")</f>
        <v/>
      </c>
      <c r="H816" s="4">
        <f>-SUMIFS('01_異動主檔'!$F:$F,'01_異動主檔'!$B:$B,100,'01_異動主檔'!$D:$D,A816,'01_異動主檔'!$E:$E,"精簡")</f>
        <v/>
      </c>
      <c r="I816" s="8">
        <f>C816+D816+E816+F816+G816+H816</f>
        <v/>
      </c>
    </row>
    <row r="817" ht="18" customHeight="1">
      <c r="A817" s="3" t="inlineStr">
        <is>
          <t>稽查科</t>
        </is>
      </c>
      <c r="B817" s="4" t="n">
        <v>101</v>
      </c>
      <c r="C817" s="8">
        <f>I816</f>
        <v/>
      </c>
      <c r="D817" s="4">
        <f>SUMIFS('01_異動主檔'!$F:$F,'01_異動主檔'!$B:$B,101,'01_異動主檔'!$D:$D,A817,'01_異動主檔'!$E:$E,"移入")</f>
        <v/>
      </c>
      <c r="E817" s="4">
        <f>-SUMIFS('01_異動主檔'!$F:$F,'01_異動主檔'!$B:$B,101,'01_異動主檔'!$D:$D,A817,'01_異動主檔'!$E:$E,"移出")</f>
        <v/>
      </c>
      <c r="F817" s="4">
        <f>SUMIFS('01_異動主檔'!$F:$F,'01_異動主檔'!$B:$B,101,'01_異動主檔'!$D:$D,A817,'01_異動主檔'!$E:$E,"新增")</f>
        <v/>
      </c>
      <c r="G817" s="4">
        <f>-SUMIFS('01_異動主檔'!$F:$F,'01_異動主檔'!$B:$B,101,'01_異動主檔'!$D:$D,A817,'01_異動主檔'!$E:$E,"減列")</f>
        <v/>
      </c>
      <c r="H817" s="4">
        <f>-SUMIFS('01_異動主檔'!$F:$F,'01_異動主檔'!$B:$B,101,'01_異動主檔'!$D:$D,A817,'01_異動主檔'!$E:$E,"精簡")</f>
        <v/>
      </c>
      <c r="I817" s="8">
        <f>C817+D817+E817+F817+G817+H817</f>
        <v/>
      </c>
    </row>
    <row r="818" ht="18" customHeight="1">
      <c r="A818" s="5" t="inlineStr">
        <is>
          <t>稽查科</t>
        </is>
      </c>
      <c r="B818" s="6" t="n">
        <v>102</v>
      </c>
      <c r="C818" s="8">
        <f>I817</f>
        <v/>
      </c>
      <c r="D818" s="4">
        <f>SUMIFS('01_異動主檔'!$F:$F,'01_異動主檔'!$B:$B,102,'01_異動主檔'!$D:$D,A818,'01_異動主檔'!$E:$E,"移入")</f>
        <v/>
      </c>
      <c r="E818" s="4">
        <f>-SUMIFS('01_異動主檔'!$F:$F,'01_異動主檔'!$B:$B,102,'01_異動主檔'!$D:$D,A818,'01_異動主檔'!$E:$E,"移出")</f>
        <v/>
      </c>
      <c r="F818" s="4">
        <f>SUMIFS('01_異動主檔'!$F:$F,'01_異動主檔'!$B:$B,102,'01_異動主檔'!$D:$D,A818,'01_異動主檔'!$E:$E,"新增")</f>
        <v/>
      </c>
      <c r="G818" s="4">
        <f>-SUMIFS('01_異動主檔'!$F:$F,'01_異動主檔'!$B:$B,102,'01_異動主檔'!$D:$D,A818,'01_異動主檔'!$E:$E,"減列")</f>
        <v/>
      </c>
      <c r="H818" s="4">
        <f>-SUMIFS('01_異動主檔'!$F:$F,'01_異動主檔'!$B:$B,102,'01_異動主檔'!$D:$D,A818,'01_異動主檔'!$E:$E,"精簡")</f>
        <v/>
      </c>
      <c r="I818" s="8">
        <f>C818+D818+E818+F818+G818+H818</f>
        <v/>
      </c>
    </row>
    <row r="819" ht="18" customHeight="1">
      <c r="A819" s="3" t="inlineStr">
        <is>
          <t>稽查科</t>
        </is>
      </c>
      <c r="B819" s="4" t="n">
        <v>103</v>
      </c>
      <c r="C819" s="8">
        <f>I818</f>
        <v/>
      </c>
      <c r="D819" s="4">
        <f>SUMIFS('01_異動主檔'!$F:$F,'01_異動主檔'!$B:$B,103,'01_異動主檔'!$D:$D,A819,'01_異動主檔'!$E:$E,"移入")</f>
        <v/>
      </c>
      <c r="E819" s="4">
        <f>-SUMIFS('01_異動主檔'!$F:$F,'01_異動主檔'!$B:$B,103,'01_異動主檔'!$D:$D,A819,'01_異動主檔'!$E:$E,"移出")</f>
        <v/>
      </c>
      <c r="F819" s="4">
        <f>SUMIFS('01_異動主檔'!$F:$F,'01_異動主檔'!$B:$B,103,'01_異動主檔'!$D:$D,A819,'01_異動主檔'!$E:$E,"新增")</f>
        <v/>
      </c>
      <c r="G819" s="4">
        <f>-SUMIFS('01_異動主檔'!$F:$F,'01_異動主檔'!$B:$B,103,'01_異動主檔'!$D:$D,A819,'01_異動主檔'!$E:$E,"減列")</f>
        <v/>
      </c>
      <c r="H819" s="4">
        <f>-SUMIFS('01_異動主檔'!$F:$F,'01_異動主檔'!$B:$B,103,'01_異動主檔'!$D:$D,A819,'01_異動主檔'!$E:$E,"精簡")</f>
        <v/>
      </c>
      <c r="I819" s="8">
        <f>C819+D819+E819+F819+G819+H819</f>
        <v/>
      </c>
    </row>
    <row r="820" ht="18" customHeight="1">
      <c r="A820" s="5" t="inlineStr">
        <is>
          <t>稽查科</t>
        </is>
      </c>
      <c r="B820" s="6" t="n">
        <v>104</v>
      </c>
      <c r="C820" s="8">
        <f>I819</f>
        <v/>
      </c>
      <c r="D820" s="4">
        <f>SUMIFS('01_異動主檔'!$F:$F,'01_異動主檔'!$B:$B,104,'01_異動主檔'!$D:$D,A820,'01_異動主檔'!$E:$E,"移入")</f>
        <v/>
      </c>
      <c r="E820" s="4">
        <f>-SUMIFS('01_異動主檔'!$F:$F,'01_異動主檔'!$B:$B,104,'01_異動主檔'!$D:$D,A820,'01_異動主檔'!$E:$E,"移出")</f>
        <v/>
      </c>
      <c r="F820" s="4">
        <f>SUMIFS('01_異動主檔'!$F:$F,'01_異動主檔'!$B:$B,104,'01_異動主檔'!$D:$D,A820,'01_異動主檔'!$E:$E,"新增")</f>
        <v/>
      </c>
      <c r="G820" s="4">
        <f>-SUMIFS('01_異動主檔'!$F:$F,'01_異動主檔'!$B:$B,104,'01_異動主檔'!$D:$D,A820,'01_異動主檔'!$E:$E,"減列")</f>
        <v/>
      </c>
      <c r="H820" s="4">
        <f>-SUMIFS('01_異動主檔'!$F:$F,'01_異動主檔'!$B:$B,104,'01_異動主檔'!$D:$D,A820,'01_異動主檔'!$E:$E,"精簡")</f>
        <v/>
      </c>
      <c r="I820" s="8">
        <f>C820+D820+E820+F820+G820+H820</f>
        <v/>
      </c>
    </row>
    <row r="821" ht="18" customHeight="1">
      <c r="A821" s="3" t="inlineStr">
        <is>
          <t>稽查科</t>
        </is>
      </c>
      <c r="B821" s="4" t="n">
        <v>105</v>
      </c>
      <c r="C821" s="8">
        <f>I820</f>
        <v/>
      </c>
      <c r="D821" s="4">
        <f>SUMIFS('01_異動主檔'!$F:$F,'01_異動主檔'!$B:$B,105,'01_異動主檔'!$D:$D,A821,'01_異動主檔'!$E:$E,"移入")</f>
        <v/>
      </c>
      <c r="E821" s="4">
        <f>-SUMIFS('01_異動主檔'!$F:$F,'01_異動主檔'!$B:$B,105,'01_異動主檔'!$D:$D,A821,'01_異動主檔'!$E:$E,"移出")</f>
        <v/>
      </c>
      <c r="F821" s="4">
        <f>SUMIFS('01_異動主檔'!$F:$F,'01_異動主檔'!$B:$B,105,'01_異動主檔'!$D:$D,A821,'01_異動主檔'!$E:$E,"新增")</f>
        <v/>
      </c>
      <c r="G821" s="4">
        <f>-SUMIFS('01_異動主檔'!$F:$F,'01_異動主檔'!$B:$B,105,'01_異動主檔'!$D:$D,A821,'01_異動主檔'!$E:$E,"減列")</f>
        <v/>
      </c>
      <c r="H821" s="4">
        <f>-SUMIFS('01_異動主檔'!$F:$F,'01_異動主檔'!$B:$B,105,'01_異動主檔'!$D:$D,A821,'01_異動主檔'!$E:$E,"精簡")</f>
        <v/>
      </c>
      <c r="I821" s="8">
        <f>C821+D821+E821+F821+G821+H821</f>
        <v/>
      </c>
    </row>
    <row r="822" ht="18" customHeight="1">
      <c r="A822" s="5" t="inlineStr">
        <is>
          <t>稽查科</t>
        </is>
      </c>
      <c r="B822" s="6" t="n">
        <v>106</v>
      </c>
      <c r="C822" s="8">
        <f>I821</f>
        <v/>
      </c>
      <c r="D822" s="4">
        <f>SUMIFS('01_異動主檔'!$F:$F,'01_異動主檔'!$B:$B,106,'01_異動主檔'!$D:$D,A822,'01_異動主檔'!$E:$E,"移入")</f>
        <v/>
      </c>
      <c r="E822" s="4">
        <f>-SUMIFS('01_異動主檔'!$F:$F,'01_異動主檔'!$B:$B,106,'01_異動主檔'!$D:$D,A822,'01_異動主檔'!$E:$E,"移出")</f>
        <v/>
      </c>
      <c r="F822" s="4">
        <f>SUMIFS('01_異動主檔'!$F:$F,'01_異動主檔'!$B:$B,106,'01_異動主檔'!$D:$D,A822,'01_異動主檔'!$E:$E,"新增")</f>
        <v/>
      </c>
      <c r="G822" s="4">
        <f>-SUMIFS('01_異動主檔'!$F:$F,'01_異動主檔'!$B:$B,106,'01_異動主檔'!$D:$D,A822,'01_異動主檔'!$E:$E,"減列")</f>
        <v/>
      </c>
      <c r="H822" s="4">
        <f>-SUMIFS('01_異動主檔'!$F:$F,'01_異動主檔'!$B:$B,106,'01_異動主檔'!$D:$D,A822,'01_異動主檔'!$E:$E,"精簡")</f>
        <v/>
      </c>
      <c r="I822" s="8">
        <f>C822+D822+E822+F822+G822+H822</f>
        <v/>
      </c>
    </row>
    <row r="823" ht="18" customHeight="1">
      <c r="A823" s="3" t="inlineStr">
        <is>
          <t>稽查科</t>
        </is>
      </c>
      <c r="B823" s="4" t="n">
        <v>107</v>
      </c>
      <c r="C823" s="8">
        <f>I822</f>
        <v/>
      </c>
      <c r="D823" s="4">
        <f>SUMIFS('01_異動主檔'!$F:$F,'01_異動主檔'!$B:$B,107,'01_異動主檔'!$D:$D,A823,'01_異動主檔'!$E:$E,"移入")</f>
        <v/>
      </c>
      <c r="E823" s="4">
        <f>-SUMIFS('01_異動主檔'!$F:$F,'01_異動主檔'!$B:$B,107,'01_異動主檔'!$D:$D,A823,'01_異動主檔'!$E:$E,"移出")</f>
        <v/>
      </c>
      <c r="F823" s="4">
        <f>SUMIFS('01_異動主檔'!$F:$F,'01_異動主檔'!$B:$B,107,'01_異動主檔'!$D:$D,A823,'01_異動主檔'!$E:$E,"新增")</f>
        <v/>
      </c>
      <c r="G823" s="4">
        <f>-SUMIFS('01_異動主檔'!$F:$F,'01_異動主檔'!$B:$B,107,'01_異動主檔'!$D:$D,A823,'01_異動主檔'!$E:$E,"減列")</f>
        <v/>
      </c>
      <c r="H823" s="4">
        <f>-SUMIFS('01_異動主檔'!$F:$F,'01_異動主檔'!$B:$B,107,'01_異動主檔'!$D:$D,A823,'01_異動主檔'!$E:$E,"精簡")</f>
        <v/>
      </c>
      <c r="I823" s="8">
        <f>C823+D823+E823+F823+G823+H823</f>
        <v/>
      </c>
    </row>
    <row r="824" ht="18" customHeight="1">
      <c r="A824" s="5" t="inlineStr">
        <is>
          <t>稽查科</t>
        </is>
      </c>
      <c r="B824" s="6" t="n">
        <v>108</v>
      </c>
      <c r="C824" s="8">
        <f>I823</f>
        <v/>
      </c>
      <c r="D824" s="4">
        <f>SUMIFS('01_異動主檔'!$F:$F,'01_異動主檔'!$B:$B,108,'01_異動主檔'!$D:$D,A824,'01_異動主檔'!$E:$E,"移入")</f>
        <v/>
      </c>
      <c r="E824" s="4">
        <f>-SUMIFS('01_異動主檔'!$F:$F,'01_異動主檔'!$B:$B,108,'01_異動主檔'!$D:$D,A824,'01_異動主檔'!$E:$E,"移出")</f>
        <v/>
      </c>
      <c r="F824" s="4">
        <f>SUMIFS('01_異動主檔'!$F:$F,'01_異動主檔'!$B:$B,108,'01_異動主檔'!$D:$D,A824,'01_異動主檔'!$E:$E,"新增")</f>
        <v/>
      </c>
      <c r="G824" s="4">
        <f>-SUMIFS('01_異動主檔'!$F:$F,'01_異動主檔'!$B:$B,108,'01_異動主檔'!$D:$D,A824,'01_異動主檔'!$E:$E,"減列")</f>
        <v/>
      </c>
      <c r="H824" s="4">
        <f>-SUMIFS('01_異動主檔'!$F:$F,'01_異動主檔'!$B:$B,108,'01_異動主檔'!$D:$D,A824,'01_異動主檔'!$E:$E,"精簡")</f>
        <v/>
      </c>
      <c r="I824" s="8">
        <f>C824+D824+E824+F824+G824+H824</f>
        <v/>
      </c>
    </row>
    <row r="825" ht="18" customHeight="1">
      <c r="A825" s="3" t="inlineStr">
        <is>
          <t>稽查科</t>
        </is>
      </c>
      <c r="B825" s="4" t="n">
        <v>109</v>
      </c>
      <c r="C825" s="8">
        <f>I824</f>
        <v/>
      </c>
      <c r="D825" s="4">
        <f>SUMIFS('01_異動主檔'!$F:$F,'01_異動主檔'!$B:$B,109,'01_異動主檔'!$D:$D,A825,'01_異動主檔'!$E:$E,"移入")</f>
        <v/>
      </c>
      <c r="E825" s="4">
        <f>-SUMIFS('01_異動主檔'!$F:$F,'01_異動主檔'!$B:$B,109,'01_異動主檔'!$D:$D,A825,'01_異動主檔'!$E:$E,"移出")</f>
        <v/>
      </c>
      <c r="F825" s="4">
        <f>SUMIFS('01_異動主檔'!$F:$F,'01_異動主檔'!$B:$B,109,'01_異動主檔'!$D:$D,A825,'01_異動主檔'!$E:$E,"新增")</f>
        <v/>
      </c>
      <c r="G825" s="4">
        <f>-SUMIFS('01_異動主檔'!$F:$F,'01_異動主檔'!$B:$B,109,'01_異動主檔'!$D:$D,A825,'01_異動主檔'!$E:$E,"減列")</f>
        <v/>
      </c>
      <c r="H825" s="4">
        <f>-SUMIFS('01_異動主檔'!$F:$F,'01_異動主檔'!$B:$B,109,'01_異動主檔'!$D:$D,A825,'01_異動主檔'!$E:$E,"精簡")</f>
        <v/>
      </c>
      <c r="I825" s="8">
        <f>C825+D825+E825+F825+G825+H825</f>
        <v/>
      </c>
    </row>
    <row r="826" ht="18" customHeight="1">
      <c r="A826" s="5" t="inlineStr">
        <is>
          <t>稽查科</t>
        </is>
      </c>
      <c r="B826" s="6" t="n">
        <v>110</v>
      </c>
      <c r="C826" s="8">
        <f>I825</f>
        <v/>
      </c>
      <c r="D826" s="4">
        <f>SUMIFS('01_異動主檔'!$F:$F,'01_異動主檔'!$B:$B,110,'01_異動主檔'!$D:$D,A826,'01_異動主檔'!$E:$E,"移入")</f>
        <v/>
      </c>
      <c r="E826" s="4">
        <f>-SUMIFS('01_異動主檔'!$F:$F,'01_異動主檔'!$B:$B,110,'01_異動主檔'!$D:$D,A826,'01_異動主檔'!$E:$E,"移出")</f>
        <v/>
      </c>
      <c r="F826" s="4">
        <f>SUMIFS('01_異動主檔'!$F:$F,'01_異動主檔'!$B:$B,110,'01_異動主檔'!$D:$D,A826,'01_異動主檔'!$E:$E,"新增")</f>
        <v/>
      </c>
      <c r="G826" s="4">
        <f>-SUMIFS('01_異動主檔'!$F:$F,'01_異動主檔'!$B:$B,110,'01_異動主檔'!$D:$D,A826,'01_異動主檔'!$E:$E,"減列")</f>
        <v/>
      </c>
      <c r="H826" s="4">
        <f>-SUMIFS('01_異動主檔'!$F:$F,'01_異動主檔'!$B:$B,110,'01_異動主檔'!$D:$D,A826,'01_異動主檔'!$E:$E,"精簡")</f>
        <v/>
      </c>
      <c r="I826" s="8">
        <f>C826+D826+E826+F826+G826+H826</f>
        <v/>
      </c>
    </row>
    <row r="827" ht="18" customHeight="1">
      <c r="A827" s="3" t="inlineStr">
        <is>
          <t>稽查科</t>
        </is>
      </c>
      <c r="B827" s="4" t="n">
        <v>111</v>
      </c>
      <c r="C827" s="8">
        <f>I826</f>
        <v/>
      </c>
      <c r="D827" s="4">
        <f>SUMIFS('01_異動主檔'!$F:$F,'01_異動主檔'!$B:$B,111,'01_異動主檔'!$D:$D,A827,'01_異動主檔'!$E:$E,"移入")</f>
        <v/>
      </c>
      <c r="E827" s="4">
        <f>-SUMIFS('01_異動主檔'!$F:$F,'01_異動主檔'!$B:$B,111,'01_異動主檔'!$D:$D,A827,'01_異動主檔'!$E:$E,"移出")</f>
        <v/>
      </c>
      <c r="F827" s="4">
        <f>SUMIFS('01_異動主檔'!$F:$F,'01_異動主檔'!$B:$B,111,'01_異動主檔'!$D:$D,A827,'01_異動主檔'!$E:$E,"新增")</f>
        <v/>
      </c>
      <c r="G827" s="4">
        <f>-SUMIFS('01_異動主檔'!$F:$F,'01_異動主檔'!$B:$B,111,'01_異動主檔'!$D:$D,A827,'01_異動主檔'!$E:$E,"減列")</f>
        <v/>
      </c>
      <c r="H827" s="4">
        <f>-SUMIFS('01_異動主檔'!$F:$F,'01_異動主檔'!$B:$B,111,'01_異動主檔'!$D:$D,A827,'01_異動主檔'!$E:$E,"精簡")</f>
        <v/>
      </c>
      <c r="I827" s="8">
        <f>C827+D827+E827+F827+G827+H827</f>
        <v/>
      </c>
    </row>
    <row r="828" ht="18" customHeight="1">
      <c r="A828" s="5" t="inlineStr">
        <is>
          <t>稽查科</t>
        </is>
      </c>
      <c r="B828" s="6" t="n">
        <v>112</v>
      </c>
      <c r="C828" s="8">
        <f>I827</f>
        <v/>
      </c>
      <c r="D828" s="4">
        <f>SUMIFS('01_異動主檔'!$F:$F,'01_異動主檔'!$B:$B,112,'01_異動主檔'!$D:$D,A828,'01_異動主檔'!$E:$E,"移入")</f>
        <v/>
      </c>
      <c r="E828" s="4">
        <f>-SUMIFS('01_異動主檔'!$F:$F,'01_異動主檔'!$B:$B,112,'01_異動主檔'!$D:$D,A828,'01_異動主檔'!$E:$E,"移出")</f>
        <v/>
      </c>
      <c r="F828" s="4">
        <f>SUMIFS('01_異動主檔'!$F:$F,'01_異動主檔'!$B:$B,112,'01_異動主檔'!$D:$D,A828,'01_異動主檔'!$E:$E,"新增")</f>
        <v/>
      </c>
      <c r="G828" s="4">
        <f>-SUMIFS('01_異動主檔'!$F:$F,'01_異動主檔'!$B:$B,112,'01_異動主檔'!$D:$D,A828,'01_異動主檔'!$E:$E,"減列")</f>
        <v/>
      </c>
      <c r="H828" s="4">
        <f>-SUMIFS('01_異動主檔'!$F:$F,'01_異動主檔'!$B:$B,112,'01_異動主檔'!$D:$D,A828,'01_異動主檔'!$E:$E,"精簡")</f>
        <v/>
      </c>
      <c r="I828" s="8">
        <f>C828+D828+E828+F828+G828+H828</f>
        <v/>
      </c>
    </row>
    <row r="829" ht="18" customHeight="1">
      <c r="A829" s="3" t="inlineStr">
        <is>
          <t>稽查科</t>
        </is>
      </c>
      <c r="B829" s="4" t="n">
        <v>113</v>
      </c>
      <c r="C829" s="8">
        <f>I828</f>
        <v/>
      </c>
      <c r="D829" s="4">
        <f>SUMIFS('01_異動主檔'!$F:$F,'01_異動主檔'!$B:$B,113,'01_異動主檔'!$D:$D,A829,'01_異動主檔'!$E:$E,"移入")</f>
        <v/>
      </c>
      <c r="E829" s="4">
        <f>-SUMIFS('01_異動主檔'!$F:$F,'01_異動主檔'!$B:$B,113,'01_異動主檔'!$D:$D,A829,'01_異動主檔'!$E:$E,"移出")</f>
        <v/>
      </c>
      <c r="F829" s="4">
        <f>SUMIFS('01_異動主檔'!$F:$F,'01_異動主檔'!$B:$B,113,'01_異動主檔'!$D:$D,A829,'01_異動主檔'!$E:$E,"新增")</f>
        <v/>
      </c>
      <c r="G829" s="4">
        <f>-SUMIFS('01_異動主檔'!$F:$F,'01_異動主檔'!$B:$B,113,'01_異動主檔'!$D:$D,A829,'01_異動主檔'!$E:$E,"減列")</f>
        <v/>
      </c>
      <c r="H829" s="4">
        <f>-SUMIFS('01_異動主檔'!$F:$F,'01_異動主檔'!$B:$B,113,'01_異動主檔'!$D:$D,A829,'01_異動主檔'!$E:$E,"精簡")</f>
        <v/>
      </c>
      <c r="I829" s="8">
        <f>C829+D829+E829+F829+G829+H829</f>
        <v/>
      </c>
    </row>
    <row r="830" ht="18" customHeight="1">
      <c r="A830" s="5" t="inlineStr">
        <is>
          <t>稽查科</t>
        </is>
      </c>
      <c r="B830" s="6" t="n">
        <v>114</v>
      </c>
      <c r="C830" s="8">
        <f>I829</f>
        <v/>
      </c>
      <c r="D830" s="4">
        <f>SUMIFS('01_異動主檔'!$F:$F,'01_異動主檔'!$B:$B,114,'01_異動主檔'!$D:$D,A830,'01_異動主檔'!$E:$E,"移入")</f>
        <v/>
      </c>
      <c r="E830" s="4">
        <f>-SUMIFS('01_異動主檔'!$F:$F,'01_異動主檔'!$B:$B,114,'01_異動主檔'!$D:$D,A830,'01_異動主檔'!$E:$E,"移出")</f>
        <v/>
      </c>
      <c r="F830" s="4">
        <f>SUMIFS('01_異動主檔'!$F:$F,'01_異動主檔'!$B:$B,114,'01_異動主檔'!$D:$D,A830,'01_異動主檔'!$E:$E,"新增")</f>
        <v/>
      </c>
      <c r="G830" s="4">
        <f>-SUMIFS('01_異動主檔'!$F:$F,'01_異動主檔'!$B:$B,114,'01_異動主檔'!$D:$D,A830,'01_異動主檔'!$E:$E,"減列")</f>
        <v/>
      </c>
      <c r="H830" s="4">
        <f>-SUMIFS('01_異動主檔'!$F:$F,'01_異動主檔'!$B:$B,114,'01_異動主檔'!$D:$D,A830,'01_異動主檔'!$E:$E,"精簡")</f>
        <v/>
      </c>
      <c r="I830" s="8">
        <f>C830+D830+E830+F830+G830+H830</f>
        <v/>
      </c>
    </row>
    <row r="831" ht="18" customHeight="1">
      <c r="A831" s="3" t="inlineStr">
        <is>
          <t>稽查科</t>
        </is>
      </c>
      <c r="B831" s="4" t="n">
        <v>115</v>
      </c>
      <c r="C831" s="8">
        <f>I830</f>
        <v/>
      </c>
      <c r="D831" s="4">
        <f>SUMIFS('01_異動主檔'!$F:$F,'01_異動主檔'!$B:$B,115,'01_異動主檔'!$D:$D,A831,'01_異動主檔'!$E:$E,"移入")</f>
        <v/>
      </c>
      <c r="E831" s="4">
        <f>-SUMIFS('01_異動主檔'!$F:$F,'01_異動主檔'!$B:$B,115,'01_異動主檔'!$D:$D,A831,'01_異動主檔'!$E:$E,"移出")</f>
        <v/>
      </c>
      <c r="F831" s="4">
        <f>SUMIFS('01_異動主檔'!$F:$F,'01_異動主檔'!$B:$B,115,'01_異動主檔'!$D:$D,A831,'01_異動主檔'!$E:$E,"新增")</f>
        <v/>
      </c>
      <c r="G831" s="4">
        <f>-SUMIFS('01_異動主檔'!$F:$F,'01_異動主檔'!$B:$B,115,'01_異動主檔'!$D:$D,A831,'01_異動主檔'!$E:$E,"減列")</f>
        <v/>
      </c>
      <c r="H831" s="4">
        <f>-SUMIFS('01_異動主檔'!$F:$F,'01_異動主檔'!$B:$B,115,'01_異動主檔'!$D:$D,A831,'01_異動主檔'!$E:$E,"精簡")</f>
        <v/>
      </c>
      <c r="I831" s="8">
        <f>C831+D831+E831+F831+G831+H831</f>
        <v/>
      </c>
    </row>
    <row r="832" ht="18" customHeight="1">
      <c r="A832" s="5" t="inlineStr">
        <is>
          <t>稽查科</t>
        </is>
      </c>
      <c r="B832" s="6" t="n">
        <v>116</v>
      </c>
      <c r="C832" s="8">
        <f>I831</f>
        <v/>
      </c>
      <c r="D832" s="4">
        <f>SUMIFS('01_異動主檔'!$F:$F,'01_異動主檔'!$B:$B,116,'01_異動主檔'!$D:$D,A832,'01_異動主檔'!$E:$E,"移入")</f>
        <v/>
      </c>
      <c r="E832" s="4">
        <f>-SUMIFS('01_異動主檔'!$F:$F,'01_異動主檔'!$B:$B,116,'01_異動主檔'!$D:$D,A832,'01_異動主檔'!$E:$E,"移出")</f>
        <v/>
      </c>
      <c r="F832" s="4">
        <f>SUMIFS('01_異動主檔'!$F:$F,'01_異動主檔'!$B:$B,116,'01_異動主檔'!$D:$D,A832,'01_異動主檔'!$E:$E,"新增")</f>
        <v/>
      </c>
      <c r="G832" s="4">
        <f>-SUMIFS('01_異動主檔'!$F:$F,'01_異動主檔'!$B:$B,116,'01_異動主檔'!$D:$D,A832,'01_異動主檔'!$E:$E,"減列")</f>
        <v/>
      </c>
      <c r="H832" s="4">
        <f>-SUMIFS('01_異動主檔'!$F:$F,'01_異動主檔'!$B:$B,116,'01_異動主檔'!$D:$D,A832,'01_異動主檔'!$E:$E,"精簡")</f>
        <v/>
      </c>
      <c r="I832" s="8">
        <f>C832+D832+E832+F832+G832+H832</f>
        <v/>
      </c>
    </row>
    <row r="833" ht="18" customHeight="1">
      <c r="A833" s="3" t="inlineStr">
        <is>
          <t>稽查科</t>
        </is>
      </c>
      <c r="B833" s="4" t="n">
        <v>117</v>
      </c>
      <c r="C833" s="8">
        <f>I832</f>
        <v/>
      </c>
      <c r="D833" s="4">
        <f>SUMIFS('01_異動主檔'!$F:$F,'01_異動主檔'!$B:$B,117,'01_異動主檔'!$D:$D,A833,'01_異動主檔'!$E:$E,"移入")</f>
        <v/>
      </c>
      <c r="E833" s="4">
        <f>-SUMIFS('01_異動主檔'!$F:$F,'01_異動主檔'!$B:$B,117,'01_異動主檔'!$D:$D,A833,'01_異動主檔'!$E:$E,"移出")</f>
        <v/>
      </c>
      <c r="F833" s="4">
        <f>SUMIFS('01_異動主檔'!$F:$F,'01_異動主檔'!$B:$B,117,'01_異動主檔'!$D:$D,A833,'01_異動主檔'!$E:$E,"新增")</f>
        <v/>
      </c>
      <c r="G833" s="4">
        <f>-SUMIFS('01_異動主檔'!$F:$F,'01_異動主檔'!$B:$B,117,'01_異動主檔'!$D:$D,A833,'01_異動主檔'!$E:$E,"減列")</f>
        <v/>
      </c>
      <c r="H833" s="4">
        <f>-SUMIFS('01_異動主檔'!$F:$F,'01_異動主檔'!$B:$B,117,'01_異動主檔'!$D:$D,A833,'01_異動主檔'!$E:$E,"精簡")</f>
        <v/>
      </c>
      <c r="I833" s="8">
        <f>C833+D833+E833+F833+G833+H833</f>
        <v/>
      </c>
    </row>
    <row r="834" ht="18" customHeight="1">
      <c r="A834" s="5" t="inlineStr">
        <is>
          <t>稽查科</t>
        </is>
      </c>
      <c r="B834" s="6" t="n">
        <v>118</v>
      </c>
      <c r="C834" s="8">
        <f>I833</f>
        <v/>
      </c>
      <c r="D834" s="4">
        <f>SUMIFS('01_異動主檔'!$F:$F,'01_異動主檔'!$B:$B,118,'01_異動主檔'!$D:$D,A834,'01_異動主檔'!$E:$E,"移入")</f>
        <v/>
      </c>
      <c r="E834" s="4">
        <f>-SUMIFS('01_異動主檔'!$F:$F,'01_異動主檔'!$B:$B,118,'01_異動主檔'!$D:$D,A834,'01_異動主檔'!$E:$E,"移出")</f>
        <v/>
      </c>
      <c r="F834" s="4">
        <f>SUMIFS('01_異動主檔'!$F:$F,'01_異動主檔'!$B:$B,118,'01_異動主檔'!$D:$D,A834,'01_異動主檔'!$E:$E,"新增")</f>
        <v/>
      </c>
      <c r="G834" s="4">
        <f>-SUMIFS('01_異動主檔'!$F:$F,'01_異動主檔'!$B:$B,118,'01_異動主檔'!$D:$D,A834,'01_異動主檔'!$E:$E,"減列")</f>
        <v/>
      </c>
      <c r="H834" s="4">
        <f>-SUMIFS('01_異動主檔'!$F:$F,'01_異動主檔'!$B:$B,118,'01_異動主檔'!$D:$D,A834,'01_異動主檔'!$E:$E,"精簡")</f>
        <v/>
      </c>
      <c r="I834" s="8">
        <f>C834+D834+E834+F834+G834+H834</f>
        <v/>
      </c>
    </row>
    <row r="835" ht="18" customHeight="1">
      <c r="A835" s="3" t="inlineStr">
        <is>
          <t>稽查科</t>
        </is>
      </c>
      <c r="B835" s="4" t="n">
        <v>119</v>
      </c>
      <c r="C835" s="8">
        <f>I834</f>
        <v/>
      </c>
      <c r="D835" s="4">
        <f>SUMIFS('01_異動主檔'!$F:$F,'01_異動主檔'!$B:$B,119,'01_異動主檔'!$D:$D,A835,'01_異動主檔'!$E:$E,"移入")</f>
        <v/>
      </c>
      <c r="E835" s="4">
        <f>-SUMIFS('01_異動主檔'!$F:$F,'01_異動主檔'!$B:$B,119,'01_異動主檔'!$D:$D,A835,'01_異動主檔'!$E:$E,"移出")</f>
        <v/>
      </c>
      <c r="F835" s="4">
        <f>SUMIFS('01_異動主檔'!$F:$F,'01_異動主檔'!$B:$B,119,'01_異動主檔'!$D:$D,A835,'01_異動主檔'!$E:$E,"新增")</f>
        <v/>
      </c>
      <c r="G835" s="4">
        <f>-SUMIFS('01_異動主檔'!$F:$F,'01_異動主檔'!$B:$B,119,'01_異動主檔'!$D:$D,A835,'01_異動主檔'!$E:$E,"減列")</f>
        <v/>
      </c>
      <c r="H835" s="4">
        <f>-SUMIFS('01_異動主檔'!$F:$F,'01_異動主檔'!$B:$B,119,'01_異動主檔'!$D:$D,A835,'01_異動主檔'!$E:$E,"精簡")</f>
        <v/>
      </c>
      <c r="I835" s="8">
        <f>C835+D835+E835+F835+G835+H835</f>
        <v/>
      </c>
    </row>
    <row r="836" ht="18" customHeight="1">
      <c r="A836" s="5" t="inlineStr">
        <is>
          <t>稽查科</t>
        </is>
      </c>
      <c r="B836" s="6" t="n">
        <v>120</v>
      </c>
      <c r="C836" s="8">
        <f>I835</f>
        <v/>
      </c>
      <c r="D836" s="4">
        <f>SUMIFS('01_異動主檔'!$F:$F,'01_異動主檔'!$B:$B,120,'01_異動主檔'!$D:$D,A836,'01_異動主檔'!$E:$E,"移入")</f>
        <v/>
      </c>
      <c r="E836" s="4">
        <f>-SUMIFS('01_異動主檔'!$F:$F,'01_異動主檔'!$B:$B,120,'01_異動主檔'!$D:$D,A836,'01_異動主檔'!$E:$E,"移出")</f>
        <v/>
      </c>
      <c r="F836" s="4">
        <f>SUMIFS('01_異動主檔'!$F:$F,'01_異動主檔'!$B:$B,120,'01_異動主檔'!$D:$D,A836,'01_異動主檔'!$E:$E,"新增")</f>
        <v/>
      </c>
      <c r="G836" s="4">
        <f>-SUMIFS('01_異動主檔'!$F:$F,'01_異動主檔'!$B:$B,120,'01_異動主檔'!$D:$D,A836,'01_異動主檔'!$E:$E,"減列")</f>
        <v/>
      </c>
      <c r="H836" s="4">
        <f>-SUMIFS('01_異動主檔'!$F:$F,'01_異動主檔'!$B:$B,120,'01_異動主檔'!$D:$D,A836,'01_異動主檔'!$E:$E,"精簡")</f>
        <v/>
      </c>
      <c r="I836" s="8">
        <f>C836+D836+E836+F836+G836+H836</f>
        <v/>
      </c>
    </row>
    <row r="837" ht="18" customHeight="1">
      <c r="A837" s="3" t="inlineStr">
        <is>
          <t>稽查科</t>
        </is>
      </c>
      <c r="B837" s="4" t="n">
        <v>121</v>
      </c>
      <c r="C837" s="8">
        <f>I836</f>
        <v/>
      </c>
      <c r="D837" s="4">
        <f>SUMIFS('01_異動主檔'!$F:$F,'01_異動主檔'!$B:$B,121,'01_異動主檔'!$D:$D,A837,'01_異動主檔'!$E:$E,"移入")</f>
        <v/>
      </c>
      <c r="E837" s="4">
        <f>-SUMIFS('01_異動主檔'!$F:$F,'01_異動主檔'!$B:$B,121,'01_異動主檔'!$D:$D,A837,'01_異動主檔'!$E:$E,"移出")</f>
        <v/>
      </c>
      <c r="F837" s="4">
        <f>SUMIFS('01_異動主檔'!$F:$F,'01_異動主檔'!$B:$B,121,'01_異動主檔'!$D:$D,A837,'01_異動主檔'!$E:$E,"新增")</f>
        <v/>
      </c>
      <c r="G837" s="4">
        <f>-SUMIFS('01_異動主檔'!$F:$F,'01_異動主檔'!$B:$B,121,'01_異動主檔'!$D:$D,A837,'01_異動主檔'!$E:$E,"減列")</f>
        <v/>
      </c>
      <c r="H837" s="4">
        <f>-SUMIFS('01_異動主檔'!$F:$F,'01_異動主檔'!$B:$B,121,'01_異動主檔'!$D:$D,A837,'01_異動主檔'!$E:$E,"精簡")</f>
        <v/>
      </c>
      <c r="I837" s="8">
        <f>C837+D837+E837+F837+G837+H837</f>
        <v/>
      </c>
    </row>
    <row r="838" ht="18" customHeight="1">
      <c r="A838" s="5" t="inlineStr">
        <is>
          <t>稽查科</t>
        </is>
      </c>
      <c r="B838" s="6" t="n">
        <v>122</v>
      </c>
      <c r="C838" s="8">
        <f>I837</f>
        <v/>
      </c>
      <c r="D838" s="4">
        <f>SUMIFS('01_異動主檔'!$F:$F,'01_異動主檔'!$B:$B,122,'01_異動主檔'!$D:$D,A838,'01_異動主檔'!$E:$E,"移入")</f>
        <v/>
      </c>
      <c r="E838" s="4">
        <f>-SUMIFS('01_異動主檔'!$F:$F,'01_異動主檔'!$B:$B,122,'01_異動主檔'!$D:$D,A838,'01_異動主檔'!$E:$E,"移出")</f>
        <v/>
      </c>
      <c r="F838" s="4">
        <f>SUMIFS('01_異動主檔'!$F:$F,'01_異動主檔'!$B:$B,122,'01_異動主檔'!$D:$D,A838,'01_異動主檔'!$E:$E,"新增")</f>
        <v/>
      </c>
      <c r="G838" s="4">
        <f>-SUMIFS('01_異動主檔'!$F:$F,'01_異動主檔'!$B:$B,122,'01_異動主檔'!$D:$D,A838,'01_異動主檔'!$E:$E,"減列")</f>
        <v/>
      </c>
      <c r="H838" s="4">
        <f>-SUMIFS('01_異動主檔'!$F:$F,'01_異動主檔'!$B:$B,122,'01_異動主檔'!$D:$D,A838,'01_異動主檔'!$E:$E,"精簡")</f>
        <v/>
      </c>
      <c r="I838" s="8">
        <f>C838+D838+E838+F838+G838+H838</f>
        <v/>
      </c>
    </row>
    <row r="839" ht="18" customHeight="1">
      <c r="A839" s="3" t="inlineStr">
        <is>
          <t>稽查科</t>
        </is>
      </c>
      <c r="B839" s="4" t="n">
        <v>123</v>
      </c>
      <c r="C839" s="8">
        <f>I838</f>
        <v/>
      </c>
      <c r="D839" s="4">
        <f>SUMIFS('01_異動主檔'!$F:$F,'01_異動主檔'!$B:$B,123,'01_異動主檔'!$D:$D,A839,'01_異動主檔'!$E:$E,"移入")</f>
        <v/>
      </c>
      <c r="E839" s="4">
        <f>-SUMIFS('01_異動主檔'!$F:$F,'01_異動主檔'!$B:$B,123,'01_異動主檔'!$D:$D,A839,'01_異動主檔'!$E:$E,"移出")</f>
        <v/>
      </c>
      <c r="F839" s="4">
        <f>SUMIFS('01_異動主檔'!$F:$F,'01_異動主檔'!$B:$B,123,'01_異動主檔'!$D:$D,A839,'01_異動主檔'!$E:$E,"新增")</f>
        <v/>
      </c>
      <c r="G839" s="4">
        <f>-SUMIFS('01_異動主檔'!$F:$F,'01_異動主檔'!$B:$B,123,'01_異動主檔'!$D:$D,A839,'01_異動主檔'!$E:$E,"減列")</f>
        <v/>
      </c>
      <c r="H839" s="4">
        <f>-SUMIFS('01_異動主檔'!$F:$F,'01_異動主檔'!$B:$B,123,'01_異動主檔'!$D:$D,A839,'01_異動主檔'!$E:$E,"精簡")</f>
        <v/>
      </c>
      <c r="I839" s="8">
        <f>C839+D839+E839+F839+G839+H839</f>
        <v/>
      </c>
    </row>
    <row r="840" ht="18" customHeight="1">
      <c r="A840" s="5" t="inlineStr">
        <is>
          <t>稽查科</t>
        </is>
      </c>
      <c r="B840" s="6" t="n">
        <v>124</v>
      </c>
      <c r="C840" s="8">
        <f>I839</f>
        <v/>
      </c>
      <c r="D840" s="4">
        <f>SUMIFS('01_異動主檔'!$F:$F,'01_異動主檔'!$B:$B,124,'01_異動主檔'!$D:$D,A840,'01_異動主檔'!$E:$E,"移入")</f>
        <v/>
      </c>
      <c r="E840" s="4">
        <f>-SUMIFS('01_異動主檔'!$F:$F,'01_異動主檔'!$B:$B,124,'01_異動主檔'!$D:$D,A840,'01_異動主檔'!$E:$E,"移出")</f>
        <v/>
      </c>
      <c r="F840" s="4">
        <f>SUMIFS('01_異動主檔'!$F:$F,'01_異動主檔'!$B:$B,124,'01_異動主檔'!$D:$D,A840,'01_異動主檔'!$E:$E,"新增")</f>
        <v/>
      </c>
      <c r="G840" s="4">
        <f>-SUMIFS('01_異動主檔'!$F:$F,'01_異動主檔'!$B:$B,124,'01_異動主檔'!$D:$D,A840,'01_異動主檔'!$E:$E,"減列")</f>
        <v/>
      </c>
      <c r="H840" s="4">
        <f>-SUMIFS('01_異動主檔'!$F:$F,'01_異動主檔'!$B:$B,124,'01_異動主檔'!$D:$D,A840,'01_異動主檔'!$E:$E,"精簡")</f>
        <v/>
      </c>
      <c r="I840" s="8">
        <f>C840+D840+E840+F840+G840+H840</f>
        <v/>
      </c>
    </row>
    <row r="841" ht="18" customHeight="1">
      <c r="A841" s="3" t="inlineStr">
        <is>
          <t>稽查科</t>
        </is>
      </c>
      <c r="B841" s="4" t="n">
        <v>125</v>
      </c>
      <c r="C841" s="8">
        <f>I840</f>
        <v/>
      </c>
      <c r="D841" s="4">
        <f>SUMIFS('01_異動主檔'!$F:$F,'01_異動主檔'!$B:$B,125,'01_異動主檔'!$D:$D,A841,'01_異動主檔'!$E:$E,"移入")</f>
        <v/>
      </c>
      <c r="E841" s="4">
        <f>-SUMIFS('01_異動主檔'!$F:$F,'01_異動主檔'!$B:$B,125,'01_異動主檔'!$D:$D,A841,'01_異動主檔'!$E:$E,"移出")</f>
        <v/>
      </c>
      <c r="F841" s="4">
        <f>SUMIFS('01_異動主檔'!$F:$F,'01_異動主檔'!$B:$B,125,'01_異動主檔'!$D:$D,A841,'01_異動主檔'!$E:$E,"新增")</f>
        <v/>
      </c>
      <c r="G841" s="4">
        <f>-SUMIFS('01_異動主檔'!$F:$F,'01_異動主檔'!$B:$B,125,'01_異動主檔'!$D:$D,A841,'01_異動主檔'!$E:$E,"減列")</f>
        <v/>
      </c>
      <c r="H841" s="4">
        <f>-SUMIFS('01_異動主檔'!$F:$F,'01_異動主檔'!$B:$B,125,'01_異動主檔'!$D:$D,A841,'01_異動主檔'!$E:$E,"精簡")</f>
        <v/>
      </c>
      <c r="I841" s="8">
        <f>C841+D841+E841+F841+G841+H841</f>
        <v/>
      </c>
    </row>
    <row r="842" ht="18" customHeight="1">
      <c r="A842" s="5" t="inlineStr">
        <is>
          <t>核稿科</t>
        </is>
      </c>
      <c r="B842" s="6" t="n">
        <v>99</v>
      </c>
      <c r="C842" s="8">
        <f>'02_年初員額設定'!B36</f>
        <v/>
      </c>
      <c r="D842" s="4">
        <f>SUMIFS('01_異動主檔'!$F:$F,'01_異動主檔'!$B:$B,99,'01_異動主檔'!$D:$D,A842,'01_異動主檔'!$E:$E,"移入")</f>
        <v/>
      </c>
      <c r="E842" s="4">
        <f>-SUMIFS('01_異動主檔'!$F:$F,'01_異動主檔'!$B:$B,99,'01_異動主檔'!$D:$D,A842,'01_異動主檔'!$E:$E,"移出")</f>
        <v/>
      </c>
      <c r="F842" s="4">
        <f>SUMIFS('01_異動主檔'!$F:$F,'01_異動主檔'!$B:$B,99,'01_異動主檔'!$D:$D,A842,'01_異動主檔'!$E:$E,"新增")</f>
        <v/>
      </c>
      <c r="G842" s="4">
        <f>-SUMIFS('01_異動主檔'!$F:$F,'01_異動主檔'!$B:$B,99,'01_異動主檔'!$D:$D,A842,'01_異動主檔'!$E:$E,"減列")</f>
        <v/>
      </c>
      <c r="H842" s="4">
        <f>-SUMIFS('01_異動主檔'!$F:$F,'01_異動主檔'!$B:$B,99,'01_異動主檔'!$D:$D,A842,'01_異動主檔'!$E:$E,"精簡")</f>
        <v/>
      </c>
      <c r="I842" s="8">
        <f>C842+D842+E842+F842+G842+H842</f>
        <v/>
      </c>
    </row>
    <row r="843" ht="18" customHeight="1">
      <c r="A843" s="3" t="inlineStr">
        <is>
          <t>核稿科</t>
        </is>
      </c>
      <c r="B843" s="4" t="n">
        <v>100</v>
      </c>
      <c r="C843" s="8">
        <f>I842</f>
        <v/>
      </c>
      <c r="D843" s="4">
        <f>SUMIFS('01_異動主檔'!$F:$F,'01_異動主檔'!$B:$B,100,'01_異動主檔'!$D:$D,A843,'01_異動主檔'!$E:$E,"移入")</f>
        <v/>
      </c>
      <c r="E843" s="4">
        <f>-SUMIFS('01_異動主檔'!$F:$F,'01_異動主檔'!$B:$B,100,'01_異動主檔'!$D:$D,A843,'01_異動主檔'!$E:$E,"移出")</f>
        <v/>
      </c>
      <c r="F843" s="4">
        <f>SUMIFS('01_異動主檔'!$F:$F,'01_異動主檔'!$B:$B,100,'01_異動主檔'!$D:$D,A843,'01_異動主檔'!$E:$E,"新增")</f>
        <v/>
      </c>
      <c r="G843" s="4">
        <f>-SUMIFS('01_異動主檔'!$F:$F,'01_異動主檔'!$B:$B,100,'01_異動主檔'!$D:$D,A843,'01_異動主檔'!$E:$E,"減列")</f>
        <v/>
      </c>
      <c r="H843" s="4">
        <f>-SUMIFS('01_異動主檔'!$F:$F,'01_異動主檔'!$B:$B,100,'01_異動主檔'!$D:$D,A843,'01_異動主檔'!$E:$E,"精簡")</f>
        <v/>
      </c>
      <c r="I843" s="8">
        <f>C843+D843+E843+F843+G843+H843</f>
        <v/>
      </c>
    </row>
    <row r="844" ht="18" customHeight="1">
      <c r="A844" s="5" t="inlineStr">
        <is>
          <t>核稿科</t>
        </is>
      </c>
      <c r="B844" s="6" t="n">
        <v>101</v>
      </c>
      <c r="C844" s="8">
        <f>I843</f>
        <v/>
      </c>
      <c r="D844" s="4">
        <f>SUMIFS('01_異動主檔'!$F:$F,'01_異動主檔'!$B:$B,101,'01_異動主檔'!$D:$D,A844,'01_異動主檔'!$E:$E,"移入")</f>
        <v/>
      </c>
      <c r="E844" s="4">
        <f>-SUMIFS('01_異動主檔'!$F:$F,'01_異動主檔'!$B:$B,101,'01_異動主檔'!$D:$D,A844,'01_異動主檔'!$E:$E,"移出")</f>
        <v/>
      </c>
      <c r="F844" s="4">
        <f>SUMIFS('01_異動主檔'!$F:$F,'01_異動主檔'!$B:$B,101,'01_異動主檔'!$D:$D,A844,'01_異動主檔'!$E:$E,"新增")</f>
        <v/>
      </c>
      <c r="G844" s="4">
        <f>-SUMIFS('01_異動主檔'!$F:$F,'01_異動主檔'!$B:$B,101,'01_異動主檔'!$D:$D,A844,'01_異動主檔'!$E:$E,"減列")</f>
        <v/>
      </c>
      <c r="H844" s="4">
        <f>-SUMIFS('01_異動主檔'!$F:$F,'01_異動主檔'!$B:$B,101,'01_異動主檔'!$D:$D,A844,'01_異動主檔'!$E:$E,"精簡")</f>
        <v/>
      </c>
      <c r="I844" s="8">
        <f>C844+D844+E844+F844+G844+H844</f>
        <v/>
      </c>
    </row>
    <row r="845" ht="18" customHeight="1">
      <c r="A845" s="3" t="inlineStr">
        <is>
          <t>核稿科</t>
        </is>
      </c>
      <c r="B845" s="4" t="n">
        <v>102</v>
      </c>
      <c r="C845" s="8">
        <f>I844</f>
        <v/>
      </c>
      <c r="D845" s="4">
        <f>SUMIFS('01_異動主檔'!$F:$F,'01_異動主檔'!$B:$B,102,'01_異動主檔'!$D:$D,A845,'01_異動主檔'!$E:$E,"移入")</f>
        <v/>
      </c>
      <c r="E845" s="4">
        <f>-SUMIFS('01_異動主檔'!$F:$F,'01_異動主檔'!$B:$B,102,'01_異動主檔'!$D:$D,A845,'01_異動主檔'!$E:$E,"移出")</f>
        <v/>
      </c>
      <c r="F845" s="4">
        <f>SUMIFS('01_異動主檔'!$F:$F,'01_異動主檔'!$B:$B,102,'01_異動主檔'!$D:$D,A845,'01_異動主檔'!$E:$E,"新增")</f>
        <v/>
      </c>
      <c r="G845" s="4">
        <f>-SUMIFS('01_異動主檔'!$F:$F,'01_異動主檔'!$B:$B,102,'01_異動主檔'!$D:$D,A845,'01_異動主檔'!$E:$E,"減列")</f>
        <v/>
      </c>
      <c r="H845" s="4">
        <f>-SUMIFS('01_異動主檔'!$F:$F,'01_異動主檔'!$B:$B,102,'01_異動主檔'!$D:$D,A845,'01_異動主檔'!$E:$E,"精簡")</f>
        <v/>
      </c>
      <c r="I845" s="8">
        <f>C845+D845+E845+F845+G845+H845</f>
        <v/>
      </c>
    </row>
    <row r="846" ht="18" customHeight="1">
      <c r="A846" s="5" t="inlineStr">
        <is>
          <t>核稿科</t>
        </is>
      </c>
      <c r="B846" s="6" t="n">
        <v>103</v>
      </c>
      <c r="C846" s="8">
        <f>I845</f>
        <v/>
      </c>
      <c r="D846" s="4">
        <f>SUMIFS('01_異動主檔'!$F:$F,'01_異動主檔'!$B:$B,103,'01_異動主檔'!$D:$D,A846,'01_異動主檔'!$E:$E,"移入")</f>
        <v/>
      </c>
      <c r="E846" s="4">
        <f>-SUMIFS('01_異動主檔'!$F:$F,'01_異動主檔'!$B:$B,103,'01_異動主檔'!$D:$D,A846,'01_異動主檔'!$E:$E,"移出")</f>
        <v/>
      </c>
      <c r="F846" s="4">
        <f>SUMIFS('01_異動主檔'!$F:$F,'01_異動主檔'!$B:$B,103,'01_異動主檔'!$D:$D,A846,'01_異動主檔'!$E:$E,"新增")</f>
        <v/>
      </c>
      <c r="G846" s="4">
        <f>-SUMIFS('01_異動主檔'!$F:$F,'01_異動主檔'!$B:$B,103,'01_異動主檔'!$D:$D,A846,'01_異動主檔'!$E:$E,"減列")</f>
        <v/>
      </c>
      <c r="H846" s="4">
        <f>-SUMIFS('01_異動主檔'!$F:$F,'01_異動主檔'!$B:$B,103,'01_異動主檔'!$D:$D,A846,'01_異動主檔'!$E:$E,"精簡")</f>
        <v/>
      </c>
      <c r="I846" s="8">
        <f>C846+D846+E846+F846+G846+H846</f>
        <v/>
      </c>
    </row>
    <row r="847" ht="18" customHeight="1">
      <c r="A847" s="3" t="inlineStr">
        <is>
          <t>核稿科</t>
        </is>
      </c>
      <c r="B847" s="4" t="n">
        <v>104</v>
      </c>
      <c r="C847" s="8">
        <f>I846</f>
        <v/>
      </c>
      <c r="D847" s="4">
        <f>SUMIFS('01_異動主檔'!$F:$F,'01_異動主檔'!$B:$B,104,'01_異動主檔'!$D:$D,A847,'01_異動主檔'!$E:$E,"移入")</f>
        <v/>
      </c>
      <c r="E847" s="4">
        <f>-SUMIFS('01_異動主檔'!$F:$F,'01_異動主檔'!$B:$B,104,'01_異動主檔'!$D:$D,A847,'01_異動主檔'!$E:$E,"移出")</f>
        <v/>
      </c>
      <c r="F847" s="4">
        <f>SUMIFS('01_異動主檔'!$F:$F,'01_異動主檔'!$B:$B,104,'01_異動主檔'!$D:$D,A847,'01_異動主檔'!$E:$E,"新增")</f>
        <v/>
      </c>
      <c r="G847" s="4">
        <f>-SUMIFS('01_異動主檔'!$F:$F,'01_異動主檔'!$B:$B,104,'01_異動主檔'!$D:$D,A847,'01_異動主檔'!$E:$E,"減列")</f>
        <v/>
      </c>
      <c r="H847" s="4">
        <f>-SUMIFS('01_異動主檔'!$F:$F,'01_異動主檔'!$B:$B,104,'01_異動主檔'!$D:$D,A847,'01_異動主檔'!$E:$E,"精簡")</f>
        <v/>
      </c>
      <c r="I847" s="8">
        <f>C847+D847+E847+F847+G847+H847</f>
        <v/>
      </c>
    </row>
    <row r="848" ht="18" customHeight="1">
      <c r="A848" s="5" t="inlineStr">
        <is>
          <t>核稿科</t>
        </is>
      </c>
      <c r="B848" s="6" t="n">
        <v>105</v>
      </c>
      <c r="C848" s="8">
        <f>I847</f>
        <v/>
      </c>
      <c r="D848" s="4">
        <f>SUMIFS('01_異動主檔'!$F:$F,'01_異動主檔'!$B:$B,105,'01_異動主檔'!$D:$D,A848,'01_異動主檔'!$E:$E,"移入")</f>
        <v/>
      </c>
      <c r="E848" s="4">
        <f>-SUMIFS('01_異動主檔'!$F:$F,'01_異動主檔'!$B:$B,105,'01_異動主檔'!$D:$D,A848,'01_異動主檔'!$E:$E,"移出")</f>
        <v/>
      </c>
      <c r="F848" s="4">
        <f>SUMIFS('01_異動主檔'!$F:$F,'01_異動主檔'!$B:$B,105,'01_異動主檔'!$D:$D,A848,'01_異動主檔'!$E:$E,"新增")</f>
        <v/>
      </c>
      <c r="G848" s="4">
        <f>-SUMIFS('01_異動主檔'!$F:$F,'01_異動主檔'!$B:$B,105,'01_異動主檔'!$D:$D,A848,'01_異動主檔'!$E:$E,"減列")</f>
        <v/>
      </c>
      <c r="H848" s="4">
        <f>-SUMIFS('01_異動主檔'!$F:$F,'01_異動主檔'!$B:$B,105,'01_異動主檔'!$D:$D,A848,'01_異動主檔'!$E:$E,"精簡")</f>
        <v/>
      </c>
      <c r="I848" s="8">
        <f>C848+D848+E848+F848+G848+H848</f>
        <v/>
      </c>
    </row>
    <row r="849" ht="18" customHeight="1">
      <c r="A849" s="3" t="inlineStr">
        <is>
          <t>核稿科</t>
        </is>
      </c>
      <c r="B849" s="4" t="n">
        <v>106</v>
      </c>
      <c r="C849" s="8">
        <f>I848</f>
        <v/>
      </c>
      <c r="D849" s="4">
        <f>SUMIFS('01_異動主檔'!$F:$F,'01_異動主檔'!$B:$B,106,'01_異動主檔'!$D:$D,A849,'01_異動主檔'!$E:$E,"移入")</f>
        <v/>
      </c>
      <c r="E849" s="4">
        <f>-SUMIFS('01_異動主檔'!$F:$F,'01_異動主檔'!$B:$B,106,'01_異動主檔'!$D:$D,A849,'01_異動主檔'!$E:$E,"移出")</f>
        <v/>
      </c>
      <c r="F849" s="4">
        <f>SUMIFS('01_異動主檔'!$F:$F,'01_異動主檔'!$B:$B,106,'01_異動主檔'!$D:$D,A849,'01_異動主檔'!$E:$E,"新增")</f>
        <v/>
      </c>
      <c r="G849" s="4">
        <f>-SUMIFS('01_異動主檔'!$F:$F,'01_異動主檔'!$B:$B,106,'01_異動主檔'!$D:$D,A849,'01_異動主檔'!$E:$E,"減列")</f>
        <v/>
      </c>
      <c r="H849" s="4">
        <f>-SUMIFS('01_異動主檔'!$F:$F,'01_異動主檔'!$B:$B,106,'01_異動主檔'!$D:$D,A849,'01_異動主檔'!$E:$E,"精簡")</f>
        <v/>
      </c>
      <c r="I849" s="8">
        <f>C849+D849+E849+F849+G849+H849</f>
        <v/>
      </c>
    </row>
    <row r="850" ht="18" customHeight="1">
      <c r="A850" s="5" t="inlineStr">
        <is>
          <t>核稿科</t>
        </is>
      </c>
      <c r="B850" s="6" t="n">
        <v>107</v>
      </c>
      <c r="C850" s="8">
        <f>I849</f>
        <v/>
      </c>
      <c r="D850" s="4">
        <f>SUMIFS('01_異動主檔'!$F:$F,'01_異動主檔'!$B:$B,107,'01_異動主檔'!$D:$D,A850,'01_異動主檔'!$E:$E,"移入")</f>
        <v/>
      </c>
      <c r="E850" s="4">
        <f>-SUMIFS('01_異動主檔'!$F:$F,'01_異動主檔'!$B:$B,107,'01_異動主檔'!$D:$D,A850,'01_異動主檔'!$E:$E,"移出")</f>
        <v/>
      </c>
      <c r="F850" s="4">
        <f>SUMIFS('01_異動主檔'!$F:$F,'01_異動主檔'!$B:$B,107,'01_異動主檔'!$D:$D,A850,'01_異動主檔'!$E:$E,"新增")</f>
        <v/>
      </c>
      <c r="G850" s="4">
        <f>-SUMIFS('01_異動主檔'!$F:$F,'01_異動主檔'!$B:$B,107,'01_異動主檔'!$D:$D,A850,'01_異動主檔'!$E:$E,"減列")</f>
        <v/>
      </c>
      <c r="H850" s="4">
        <f>-SUMIFS('01_異動主檔'!$F:$F,'01_異動主檔'!$B:$B,107,'01_異動主檔'!$D:$D,A850,'01_異動主檔'!$E:$E,"精簡")</f>
        <v/>
      </c>
      <c r="I850" s="8">
        <f>C850+D850+E850+F850+G850+H850</f>
        <v/>
      </c>
    </row>
    <row r="851" ht="18" customHeight="1">
      <c r="A851" s="3" t="inlineStr">
        <is>
          <t>核稿科</t>
        </is>
      </c>
      <c r="B851" s="4" t="n">
        <v>108</v>
      </c>
      <c r="C851" s="8">
        <f>I850</f>
        <v/>
      </c>
      <c r="D851" s="4">
        <f>SUMIFS('01_異動主檔'!$F:$F,'01_異動主檔'!$B:$B,108,'01_異動主檔'!$D:$D,A851,'01_異動主檔'!$E:$E,"移入")</f>
        <v/>
      </c>
      <c r="E851" s="4">
        <f>-SUMIFS('01_異動主檔'!$F:$F,'01_異動主檔'!$B:$B,108,'01_異動主檔'!$D:$D,A851,'01_異動主檔'!$E:$E,"移出")</f>
        <v/>
      </c>
      <c r="F851" s="4">
        <f>SUMIFS('01_異動主檔'!$F:$F,'01_異動主檔'!$B:$B,108,'01_異動主檔'!$D:$D,A851,'01_異動主檔'!$E:$E,"新增")</f>
        <v/>
      </c>
      <c r="G851" s="4">
        <f>-SUMIFS('01_異動主檔'!$F:$F,'01_異動主檔'!$B:$B,108,'01_異動主檔'!$D:$D,A851,'01_異動主檔'!$E:$E,"減列")</f>
        <v/>
      </c>
      <c r="H851" s="4">
        <f>-SUMIFS('01_異動主檔'!$F:$F,'01_異動主檔'!$B:$B,108,'01_異動主檔'!$D:$D,A851,'01_異動主檔'!$E:$E,"精簡")</f>
        <v/>
      </c>
      <c r="I851" s="8">
        <f>C851+D851+E851+F851+G851+H851</f>
        <v/>
      </c>
    </row>
    <row r="852" ht="18" customHeight="1">
      <c r="A852" s="5" t="inlineStr">
        <is>
          <t>核稿科</t>
        </is>
      </c>
      <c r="B852" s="6" t="n">
        <v>109</v>
      </c>
      <c r="C852" s="8">
        <f>I851</f>
        <v/>
      </c>
      <c r="D852" s="4">
        <f>SUMIFS('01_異動主檔'!$F:$F,'01_異動主檔'!$B:$B,109,'01_異動主檔'!$D:$D,A852,'01_異動主檔'!$E:$E,"移入")</f>
        <v/>
      </c>
      <c r="E852" s="4">
        <f>-SUMIFS('01_異動主檔'!$F:$F,'01_異動主檔'!$B:$B,109,'01_異動主檔'!$D:$D,A852,'01_異動主檔'!$E:$E,"移出")</f>
        <v/>
      </c>
      <c r="F852" s="4">
        <f>SUMIFS('01_異動主檔'!$F:$F,'01_異動主檔'!$B:$B,109,'01_異動主檔'!$D:$D,A852,'01_異動主檔'!$E:$E,"新增")</f>
        <v/>
      </c>
      <c r="G852" s="4">
        <f>-SUMIFS('01_異動主檔'!$F:$F,'01_異動主檔'!$B:$B,109,'01_異動主檔'!$D:$D,A852,'01_異動主檔'!$E:$E,"減列")</f>
        <v/>
      </c>
      <c r="H852" s="4">
        <f>-SUMIFS('01_異動主檔'!$F:$F,'01_異動主檔'!$B:$B,109,'01_異動主檔'!$D:$D,A852,'01_異動主檔'!$E:$E,"精簡")</f>
        <v/>
      </c>
      <c r="I852" s="8">
        <f>C852+D852+E852+F852+G852+H852</f>
        <v/>
      </c>
    </row>
    <row r="853" ht="18" customHeight="1">
      <c r="A853" s="3" t="inlineStr">
        <is>
          <t>核稿科</t>
        </is>
      </c>
      <c r="B853" s="4" t="n">
        <v>110</v>
      </c>
      <c r="C853" s="8">
        <f>I852</f>
        <v/>
      </c>
      <c r="D853" s="4">
        <f>SUMIFS('01_異動主檔'!$F:$F,'01_異動主檔'!$B:$B,110,'01_異動主檔'!$D:$D,A853,'01_異動主檔'!$E:$E,"移入")</f>
        <v/>
      </c>
      <c r="E853" s="4">
        <f>-SUMIFS('01_異動主檔'!$F:$F,'01_異動主檔'!$B:$B,110,'01_異動主檔'!$D:$D,A853,'01_異動主檔'!$E:$E,"移出")</f>
        <v/>
      </c>
      <c r="F853" s="4">
        <f>SUMIFS('01_異動主檔'!$F:$F,'01_異動主檔'!$B:$B,110,'01_異動主檔'!$D:$D,A853,'01_異動主檔'!$E:$E,"新增")</f>
        <v/>
      </c>
      <c r="G853" s="4">
        <f>-SUMIFS('01_異動主檔'!$F:$F,'01_異動主檔'!$B:$B,110,'01_異動主檔'!$D:$D,A853,'01_異動主檔'!$E:$E,"減列")</f>
        <v/>
      </c>
      <c r="H853" s="4">
        <f>-SUMIFS('01_異動主檔'!$F:$F,'01_異動主檔'!$B:$B,110,'01_異動主檔'!$D:$D,A853,'01_異動主檔'!$E:$E,"精簡")</f>
        <v/>
      </c>
      <c r="I853" s="8">
        <f>C853+D853+E853+F853+G853+H853</f>
        <v/>
      </c>
    </row>
    <row r="854" ht="18" customHeight="1">
      <c r="A854" s="5" t="inlineStr">
        <is>
          <t>核稿科</t>
        </is>
      </c>
      <c r="B854" s="6" t="n">
        <v>111</v>
      </c>
      <c r="C854" s="8">
        <f>I853</f>
        <v/>
      </c>
      <c r="D854" s="4">
        <f>SUMIFS('01_異動主檔'!$F:$F,'01_異動主檔'!$B:$B,111,'01_異動主檔'!$D:$D,A854,'01_異動主檔'!$E:$E,"移入")</f>
        <v/>
      </c>
      <c r="E854" s="4">
        <f>-SUMIFS('01_異動主檔'!$F:$F,'01_異動主檔'!$B:$B,111,'01_異動主檔'!$D:$D,A854,'01_異動主檔'!$E:$E,"移出")</f>
        <v/>
      </c>
      <c r="F854" s="4">
        <f>SUMIFS('01_異動主檔'!$F:$F,'01_異動主檔'!$B:$B,111,'01_異動主檔'!$D:$D,A854,'01_異動主檔'!$E:$E,"新增")</f>
        <v/>
      </c>
      <c r="G854" s="4">
        <f>-SUMIFS('01_異動主檔'!$F:$F,'01_異動主檔'!$B:$B,111,'01_異動主檔'!$D:$D,A854,'01_異動主檔'!$E:$E,"減列")</f>
        <v/>
      </c>
      <c r="H854" s="4">
        <f>-SUMIFS('01_異動主檔'!$F:$F,'01_異動主檔'!$B:$B,111,'01_異動主檔'!$D:$D,A854,'01_異動主檔'!$E:$E,"精簡")</f>
        <v/>
      </c>
      <c r="I854" s="8">
        <f>C854+D854+E854+F854+G854+H854</f>
        <v/>
      </c>
    </row>
    <row r="855" ht="18" customHeight="1">
      <c r="A855" s="3" t="inlineStr">
        <is>
          <t>核稿科</t>
        </is>
      </c>
      <c r="B855" s="4" t="n">
        <v>112</v>
      </c>
      <c r="C855" s="8">
        <f>I854</f>
        <v/>
      </c>
      <c r="D855" s="4">
        <f>SUMIFS('01_異動主檔'!$F:$F,'01_異動主檔'!$B:$B,112,'01_異動主檔'!$D:$D,A855,'01_異動主檔'!$E:$E,"移入")</f>
        <v/>
      </c>
      <c r="E855" s="4">
        <f>-SUMIFS('01_異動主檔'!$F:$F,'01_異動主檔'!$B:$B,112,'01_異動主檔'!$D:$D,A855,'01_異動主檔'!$E:$E,"移出")</f>
        <v/>
      </c>
      <c r="F855" s="4">
        <f>SUMIFS('01_異動主檔'!$F:$F,'01_異動主檔'!$B:$B,112,'01_異動主檔'!$D:$D,A855,'01_異動主檔'!$E:$E,"新增")</f>
        <v/>
      </c>
      <c r="G855" s="4">
        <f>-SUMIFS('01_異動主檔'!$F:$F,'01_異動主檔'!$B:$B,112,'01_異動主檔'!$D:$D,A855,'01_異動主檔'!$E:$E,"減列")</f>
        <v/>
      </c>
      <c r="H855" s="4">
        <f>-SUMIFS('01_異動主檔'!$F:$F,'01_異動主檔'!$B:$B,112,'01_異動主檔'!$D:$D,A855,'01_異動主檔'!$E:$E,"精簡")</f>
        <v/>
      </c>
      <c r="I855" s="8">
        <f>C855+D855+E855+F855+G855+H855</f>
        <v/>
      </c>
    </row>
    <row r="856" ht="18" customHeight="1">
      <c r="A856" s="5" t="inlineStr">
        <is>
          <t>核稿科</t>
        </is>
      </c>
      <c r="B856" s="6" t="n">
        <v>113</v>
      </c>
      <c r="C856" s="8">
        <f>I855</f>
        <v/>
      </c>
      <c r="D856" s="4">
        <f>SUMIFS('01_異動主檔'!$F:$F,'01_異動主檔'!$B:$B,113,'01_異動主檔'!$D:$D,A856,'01_異動主檔'!$E:$E,"移入")</f>
        <v/>
      </c>
      <c r="E856" s="4">
        <f>-SUMIFS('01_異動主檔'!$F:$F,'01_異動主檔'!$B:$B,113,'01_異動主檔'!$D:$D,A856,'01_異動主檔'!$E:$E,"移出")</f>
        <v/>
      </c>
      <c r="F856" s="4">
        <f>SUMIFS('01_異動主檔'!$F:$F,'01_異動主檔'!$B:$B,113,'01_異動主檔'!$D:$D,A856,'01_異動主檔'!$E:$E,"新增")</f>
        <v/>
      </c>
      <c r="G856" s="4">
        <f>-SUMIFS('01_異動主檔'!$F:$F,'01_異動主檔'!$B:$B,113,'01_異動主檔'!$D:$D,A856,'01_異動主檔'!$E:$E,"減列")</f>
        <v/>
      </c>
      <c r="H856" s="4">
        <f>-SUMIFS('01_異動主檔'!$F:$F,'01_異動主檔'!$B:$B,113,'01_異動主檔'!$D:$D,A856,'01_異動主檔'!$E:$E,"精簡")</f>
        <v/>
      </c>
      <c r="I856" s="8">
        <f>C856+D856+E856+F856+G856+H856</f>
        <v/>
      </c>
    </row>
    <row r="857" ht="18" customHeight="1">
      <c r="A857" s="3" t="inlineStr">
        <is>
          <t>核稿科</t>
        </is>
      </c>
      <c r="B857" s="4" t="n">
        <v>114</v>
      </c>
      <c r="C857" s="8">
        <f>I856</f>
        <v/>
      </c>
      <c r="D857" s="4">
        <f>SUMIFS('01_異動主檔'!$F:$F,'01_異動主檔'!$B:$B,114,'01_異動主檔'!$D:$D,A857,'01_異動主檔'!$E:$E,"移入")</f>
        <v/>
      </c>
      <c r="E857" s="4">
        <f>-SUMIFS('01_異動主檔'!$F:$F,'01_異動主檔'!$B:$B,114,'01_異動主檔'!$D:$D,A857,'01_異動主檔'!$E:$E,"移出")</f>
        <v/>
      </c>
      <c r="F857" s="4">
        <f>SUMIFS('01_異動主檔'!$F:$F,'01_異動主檔'!$B:$B,114,'01_異動主檔'!$D:$D,A857,'01_異動主檔'!$E:$E,"新增")</f>
        <v/>
      </c>
      <c r="G857" s="4">
        <f>-SUMIFS('01_異動主檔'!$F:$F,'01_異動主檔'!$B:$B,114,'01_異動主檔'!$D:$D,A857,'01_異動主檔'!$E:$E,"減列")</f>
        <v/>
      </c>
      <c r="H857" s="4">
        <f>-SUMIFS('01_異動主檔'!$F:$F,'01_異動主檔'!$B:$B,114,'01_異動主檔'!$D:$D,A857,'01_異動主檔'!$E:$E,"精簡")</f>
        <v/>
      </c>
      <c r="I857" s="8">
        <f>C857+D857+E857+F857+G857+H857</f>
        <v/>
      </c>
    </row>
    <row r="858" ht="18" customHeight="1">
      <c r="A858" s="5" t="inlineStr">
        <is>
          <t>核稿科</t>
        </is>
      </c>
      <c r="B858" s="6" t="n">
        <v>115</v>
      </c>
      <c r="C858" s="8">
        <f>I857</f>
        <v/>
      </c>
      <c r="D858" s="4">
        <f>SUMIFS('01_異動主檔'!$F:$F,'01_異動主檔'!$B:$B,115,'01_異動主檔'!$D:$D,A858,'01_異動主檔'!$E:$E,"移入")</f>
        <v/>
      </c>
      <c r="E858" s="4">
        <f>-SUMIFS('01_異動主檔'!$F:$F,'01_異動主檔'!$B:$B,115,'01_異動主檔'!$D:$D,A858,'01_異動主檔'!$E:$E,"移出")</f>
        <v/>
      </c>
      <c r="F858" s="4">
        <f>SUMIFS('01_異動主檔'!$F:$F,'01_異動主檔'!$B:$B,115,'01_異動主檔'!$D:$D,A858,'01_異動主檔'!$E:$E,"新增")</f>
        <v/>
      </c>
      <c r="G858" s="4">
        <f>-SUMIFS('01_異動主檔'!$F:$F,'01_異動主檔'!$B:$B,115,'01_異動主檔'!$D:$D,A858,'01_異動主檔'!$E:$E,"減列")</f>
        <v/>
      </c>
      <c r="H858" s="4">
        <f>-SUMIFS('01_異動主檔'!$F:$F,'01_異動主檔'!$B:$B,115,'01_異動主檔'!$D:$D,A858,'01_異動主檔'!$E:$E,"精簡")</f>
        <v/>
      </c>
      <c r="I858" s="8">
        <f>C858+D858+E858+F858+G858+H858</f>
        <v/>
      </c>
    </row>
    <row r="859" ht="18" customHeight="1">
      <c r="A859" s="3" t="inlineStr">
        <is>
          <t>核稿科</t>
        </is>
      </c>
      <c r="B859" s="4" t="n">
        <v>116</v>
      </c>
      <c r="C859" s="8">
        <f>I858</f>
        <v/>
      </c>
      <c r="D859" s="4">
        <f>SUMIFS('01_異動主檔'!$F:$F,'01_異動主檔'!$B:$B,116,'01_異動主檔'!$D:$D,A859,'01_異動主檔'!$E:$E,"移入")</f>
        <v/>
      </c>
      <c r="E859" s="4">
        <f>-SUMIFS('01_異動主檔'!$F:$F,'01_異動主檔'!$B:$B,116,'01_異動主檔'!$D:$D,A859,'01_異動主檔'!$E:$E,"移出")</f>
        <v/>
      </c>
      <c r="F859" s="4">
        <f>SUMIFS('01_異動主檔'!$F:$F,'01_異動主檔'!$B:$B,116,'01_異動主檔'!$D:$D,A859,'01_異動主檔'!$E:$E,"新增")</f>
        <v/>
      </c>
      <c r="G859" s="4">
        <f>-SUMIFS('01_異動主檔'!$F:$F,'01_異動主檔'!$B:$B,116,'01_異動主檔'!$D:$D,A859,'01_異動主檔'!$E:$E,"減列")</f>
        <v/>
      </c>
      <c r="H859" s="4">
        <f>-SUMIFS('01_異動主檔'!$F:$F,'01_異動主檔'!$B:$B,116,'01_異動主檔'!$D:$D,A859,'01_異動主檔'!$E:$E,"精簡")</f>
        <v/>
      </c>
      <c r="I859" s="8">
        <f>C859+D859+E859+F859+G859+H859</f>
        <v/>
      </c>
    </row>
    <row r="860" ht="18" customHeight="1">
      <c r="A860" s="5" t="inlineStr">
        <is>
          <t>核稿科</t>
        </is>
      </c>
      <c r="B860" s="6" t="n">
        <v>117</v>
      </c>
      <c r="C860" s="8">
        <f>I859</f>
        <v/>
      </c>
      <c r="D860" s="4">
        <f>SUMIFS('01_異動主檔'!$F:$F,'01_異動主檔'!$B:$B,117,'01_異動主檔'!$D:$D,A860,'01_異動主檔'!$E:$E,"移入")</f>
        <v/>
      </c>
      <c r="E860" s="4">
        <f>-SUMIFS('01_異動主檔'!$F:$F,'01_異動主檔'!$B:$B,117,'01_異動主檔'!$D:$D,A860,'01_異動主檔'!$E:$E,"移出")</f>
        <v/>
      </c>
      <c r="F860" s="4">
        <f>SUMIFS('01_異動主檔'!$F:$F,'01_異動主檔'!$B:$B,117,'01_異動主檔'!$D:$D,A860,'01_異動主檔'!$E:$E,"新增")</f>
        <v/>
      </c>
      <c r="G860" s="4">
        <f>-SUMIFS('01_異動主檔'!$F:$F,'01_異動主檔'!$B:$B,117,'01_異動主檔'!$D:$D,A860,'01_異動主檔'!$E:$E,"減列")</f>
        <v/>
      </c>
      <c r="H860" s="4">
        <f>-SUMIFS('01_異動主檔'!$F:$F,'01_異動主檔'!$B:$B,117,'01_異動主檔'!$D:$D,A860,'01_異動主檔'!$E:$E,"精簡")</f>
        <v/>
      </c>
      <c r="I860" s="8">
        <f>C860+D860+E860+F860+G860+H860</f>
        <v/>
      </c>
    </row>
    <row r="861" ht="18" customHeight="1">
      <c r="A861" s="3" t="inlineStr">
        <is>
          <t>核稿科</t>
        </is>
      </c>
      <c r="B861" s="4" t="n">
        <v>118</v>
      </c>
      <c r="C861" s="8">
        <f>I860</f>
        <v/>
      </c>
      <c r="D861" s="4">
        <f>SUMIFS('01_異動主檔'!$F:$F,'01_異動主檔'!$B:$B,118,'01_異動主檔'!$D:$D,A861,'01_異動主檔'!$E:$E,"移入")</f>
        <v/>
      </c>
      <c r="E861" s="4">
        <f>-SUMIFS('01_異動主檔'!$F:$F,'01_異動主檔'!$B:$B,118,'01_異動主檔'!$D:$D,A861,'01_異動主檔'!$E:$E,"移出")</f>
        <v/>
      </c>
      <c r="F861" s="4">
        <f>SUMIFS('01_異動主檔'!$F:$F,'01_異動主檔'!$B:$B,118,'01_異動主檔'!$D:$D,A861,'01_異動主檔'!$E:$E,"新增")</f>
        <v/>
      </c>
      <c r="G861" s="4">
        <f>-SUMIFS('01_異動主檔'!$F:$F,'01_異動主檔'!$B:$B,118,'01_異動主檔'!$D:$D,A861,'01_異動主檔'!$E:$E,"減列")</f>
        <v/>
      </c>
      <c r="H861" s="4">
        <f>-SUMIFS('01_異動主檔'!$F:$F,'01_異動主檔'!$B:$B,118,'01_異動主檔'!$D:$D,A861,'01_異動主檔'!$E:$E,"精簡")</f>
        <v/>
      </c>
      <c r="I861" s="8">
        <f>C861+D861+E861+F861+G861+H861</f>
        <v/>
      </c>
    </row>
    <row r="862" ht="18" customHeight="1">
      <c r="A862" s="5" t="inlineStr">
        <is>
          <t>核稿科</t>
        </is>
      </c>
      <c r="B862" s="6" t="n">
        <v>119</v>
      </c>
      <c r="C862" s="8">
        <f>I861</f>
        <v/>
      </c>
      <c r="D862" s="4">
        <f>SUMIFS('01_異動主檔'!$F:$F,'01_異動主檔'!$B:$B,119,'01_異動主檔'!$D:$D,A862,'01_異動主檔'!$E:$E,"移入")</f>
        <v/>
      </c>
      <c r="E862" s="4">
        <f>-SUMIFS('01_異動主檔'!$F:$F,'01_異動主檔'!$B:$B,119,'01_異動主檔'!$D:$D,A862,'01_異動主檔'!$E:$E,"移出")</f>
        <v/>
      </c>
      <c r="F862" s="4">
        <f>SUMIFS('01_異動主檔'!$F:$F,'01_異動主檔'!$B:$B,119,'01_異動主檔'!$D:$D,A862,'01_異動主檔'!$E:$E,"新增")</f>
        <v/>
      </c>
      <c r="G862" s="4">
        <f>-SUMIFS('01_異動主檔'!$F:$F,'01_異動主檔'!$B:$B,119,'01_異動主檔'!$D:$D,A862,'01_異動主檔'!$E:$E,"減列")</f>
        <v/>
      </c>
      <c r="H862" s="4">
        <f>-SUMIFS('01_異動主檔'!$F:$F,'01_異動主檔'!$B:$B,119,'01_異動主檔'!$D:$D,A862,'01_異動主檔'!$E:$E,"精簡")</f>
        <v/>
      </c>
      <c r="I862" s="8">
        <f>C862+D862+E862+F862+G862+H862</f>
        <v/>
      </c>
    </row>
    <row r="863" ht="18" customHeight="1">
      <c r="A863" s="3" t="inlineStr">
        <is>
          <t>核稿科</t>
        </is>
      </c>
      <c r="B863" s="4" t="n">
        <v>120</v>
      </c>
      <c r="C863" s="8">
        <f>I862</f>
        <v/>
      </c>
      <c r="D863" s="4">
        <f>SUMIFS('01_異動主檔'!$F:$F,'01_異動主檔'!$B:$B,120,'01_異動主檔'!$D:$D,A863,'01_異動主檔'!$E:$E,"移入")</f>
        <v/>
      </c>
      <c r="E863" s="4">
        <f>-SUMIFS('01_異動主檔'!$F:$F,'01_異動主檔'!$B:$B,120,'01_異動主檔'!$D:$D,A863,'01_異動主檔'!$E:$E,"移出")</f>
        <v/>
      </c>
      <c r="F863" s="4">
        <f>SUMIFS('01_異動主檔'!$F:$F,'01_異動主檔'!$B:$B,120,'01_異動主檔'!$D:$D,A863,'01_異動主檔'!$E:$E,"新增")</f>
        <v/>
      </c>
      <c r="G863" s="4">
        <f>-SUMIFS('01_異動主檔'!$F:$F,'01_異動主檔'!$B:$B,120,'01_異動主檔'!$D:$D,A863,'01_異動主檔'!$E:$E,"減列")</f>
        <v/>
      </c>
      <c r="H863" s="4">
        <f>-SUMIFS('01_異動主檔'!$F:$F,'01_異動主檔'!$B:$B,120,'01_異動主檔'!$D:$D,A863,'01_異動主檔'!$E:$E,"精簡")</f>
        <v/>
      </c>
      <c r="I863" s="8">
        <f>C863+D863+E863+F863+G863+H863</f>
        <v/>
      </c>
    </row>
    <row r="864" ht="18" customHeight="1">
      <c r="A864" s="5" t="inlineStr">
        <is>
          <t>核稿科</t>
        </is>
      </c>
      <c r="B864" s="6" t="n">
        <v>121</v>
      </c>
      <c r="C864" s="8">
        <f>I863</f>
        <v/>
      </c>
      <c r="D864" s="4">
        <f>SUMIFS('01_異動主檔'!$F:$F,'01_異動主檔'!$B:$B,121,'01_異動主檔'!$D:$D,A864,'01_異動主檔'!$E:$E,"移入")</f>
        <v/>
      </c>
      <c r="E864" s="4">
        <f>-SUMIFS('01_異動主檔'!$F:$F,'01_異動主檔'!$B:$B,121,'01_異動主檔'!$D:$D,A864,'01_異動主檔'!$E:$E,"移出")</f>
        <v/>
      </c>
      <c r="F864" s="4">
        <f>SUMIFS('01_異動主檔'!$F:$F,'01_異動主檔'!$B:$B,121,'01_異動主檔'!$D:$D,A864,'01_異動主檔'!$E:$E,"新增")</f>
        <v/>
      </c>
      <c r="G864" s="4">
        <f>-SUMIFS('01_異動主檔'!$F:$F,'01_異動主檔'!$B:$B,121,'01_異動主檔'!$D:$D,A864,'01_異動主檔'!$E:$E,"減列")</f>
        <v/>
      </c>
      <c r="H864" s="4">
        <f>-SUMIFS('01_異動主檔'!$F:$F,'01_異動主檔'!$B:$B,121,'01_異動主檔'!$D:$D,A864,'01_異動主檔'!$E:$E,"精簡")</f>
        <v/>
      </c>
      <c r="I864" s="8">
        <f>C864+D864+E864+F864+G864+H864</f>
        <v/>
      </c>
    </row>
    <row r="865" ht="18" customHeight="1">
      <c r="A865" s="3" t="inlineStr">
        <is>
          <t>核稿科</t>
        </is>
      </c>
      <c r="B865" s="4" t="n">
        <v>122</v>
      </c>
      <c r="C865" s="8">
        <f>I864</f>
        <v/>
      </c>
      <c r="D865" s="4">
        <f>SUMIFS('01_異動主檔'!$F:$F,'01_異動主檔'!$B:$B,122,'01_異動主檔'!$D:$D,A865,'01_異動主檔'!$E:$E,"移入")</f>
        <v/>
      </c>
      <c r="E865" s="4">
        <f>-SUMIFS('01_異動主檔'!$F:$F,'01_異動主檔'!$B:$B,122,'01_異動主檔'!$D:$D,A865,'01_異動主檔'!$E:$E,"移出")</f>
        <v/>
      </c>
      <c r="F865" s="4">
        <f>SUMIFS('01_異動主檔'!$F:$F,'01_異動主檔'!$B:$B,122,'01_異動主檔'!$D:$D,A865,'01_異動主檔'!$E:$E,"新增")</f>
        <v/>
      </c>
      <c r="G865" s="4">
        <f>-SUMIFS('01_異動主檔'!$F:$F,'01_異動主檔'!$B:$B,122,'01_異動主檔'!$D:$D,A865,'01_異動主檔'!$E:$E,"減列")</f>
        <v/>
      </c>
      <c r="H865" s="4">
        <f>-SUMIFS('01_異動主檔'!$F:$F,'01_異動主檔'!$B:$B,122,'01_異動主檔'!$D:$D,A865,'01_異動主檔'!$E:$E,"精簡")</f>
        <v/>
      </c>
      <c r="I865" s="8">
        <f>C865+D865+E865+F865+G865+H865</f>
        <v/>
      </c>
    </row>
    <row r="866" ht="18" customHeight="1">
      <c r="A866" s="5" t="inlineStr">
        <is>
          <t>核稿科</t>
        </is>
      </c>
      <c r="B866" s="6" t="n">
        <v>123</v>
      </c>
      <c r="C866" s="8">
        <f>I865</f>
        <v/>
      </c>
      <c r="D866" s="4">
        <f>SUMIFS('01_異動主檔'!$F:$F,'01_異動主檔'!$B:$B,123,'01_異動主檔'!$D:$D,A866,'01_異動主檔'!$E:$E,"移入")</f>
        <v/>
      </c>
      <c r="E866" s="4">
        <f>-SUMIFS('01_異動主檔'!$F:$F,'01_異動主檔'!$B:$B,123,'01_異動主檔'!$D:$D,A866,'01_異動主檔'!$E:$E,"移出")</f>
        <v/>
      </c>
      <c r="F866" s="4">
        <f>SUMIFS('01_異動主檔'!$F:$F,'01_異動主檔'!$B:$B,123,'01_異動主檔'!$D:$D,A866,'01_異動主檔'!$E:$E,"新增")</f>
        <v/>
      </c>
      <c r="G866" s="4">
        <f>-SUMIFS('01_異動主檔'!$F:$F,'01_異動主檔'!$B:$B,123,'01_異動主檔'!$D:$D,A866,'01_異動主檔'!$E:$E,"減列")</f>
        <v/>
      </c>
      <c r="H866" s="4">
        <f>-SUMIFS('01_異動主檔'!$F:$F,'01_異動主檔'!$B:$B,123,'01_異動主檔'!$D:$D,A866,'01_異動主檔'!$E:$E,"精簡")</f>
        <v/>
      </c>
      <c r="I866" s="8">
        <f>C866+D866+E866+F866+G866+H866</f>
        <v/>
      </c>
    </row>
    <row r="867" ht="18" customHeight="1">
      <c r="A867" s="3" t="inlineStr">
        <is>
          <t>核稿科</t>
        </is>
      </c>
      <c r="B867" s="4" t="n">
        <v>124</v>
      </c>
      <c r="C867" s="8">
        <f>I866</f>
        <v/>
      </c>
      <c r="D867" s="4">
        <f>SUMIFS('01_異動主檔'!$F:$F,'01_異動主檔'!$B:$B,124,'01_異動主檔'!$D:$D,A867,'01_異動主檔'!$E:$E,"移入")</f>
        <v/>
      </c>
      <c r="E867" s="4">
        <f>-SUMIFS('01_異動主檔'!$F:$F,'01_異動主檔'!$B:$B,124,'01_異動主檔'!$D:$D,A867,'01_異動主檔'!$E:$E,"移出")</f>
        <v/>
      </c>
      <c r="F867" s="4">
        <f>SUMIFS('01_異動主檔'!$F:$F,'01_異動主檔'!$B:$B,124,'01_異動主檔'!$D:$D,A867,'01_異動主檔'!$E:$E,"新增")</f>
        <v/>
      </c>
      <c r="G867" s="4">
        <f>-SUMIFS('01_異動主檔'!$F:$F,'01_異動主檔'!$B:$B,124,'01_異動主檔'!$D:$D,A867,'01_異動主檔'!$E:$E,"減列")</f>
        <v/>
      </c>
      <c r="H867" s="4">
        <f>-SUMIFS('01_異動主檔'!$F:$F,'01_異動主檔'!$B:$B,124,'01_異動主檔'!$D:$D,A867,'01_異動主檔'!$E:$E,"精簡")</f>
        <v/>
      </c>
      <c r="I867" s="8">
        <f>C867+D867+E867+F867+G867+H867</f>
        <v/>
      </c>
    </row>
    <row r="868" ht="18" customHeight="1">
      <c r="A868" s="5" t="inlineStr">
        <is>
          <t>核稿科</t>
        </is>
      </c>
      <c r="B868" s="6" t="n">
        <v>125</v>
      </c>
      <c r="C868" s="8">
        <f>I867</f>
        <v/>
      </c>
      <c r="D868" s="4">
        <f>SUMIFS('01_異動主檔'!$F:$F,'01_異動主檔'!$B:$B,125,'01_異動主檔'!$D:$D,A868,'01_異動主檔'!$E:$E,"移入")</f>
        <v/>
      </c>
      <c r="E868" s="4">
        <f>-SUMIFS('01_異動主檔'!$F:$F,'01_異動主檔'!$B:$B,125,'01_異動主檔'!$D:$D,A868,'01_異動主檔'!$E:$E,"移出")</f>
        <v/>
      </c>
      <c r="F868" s="4">
        <f>SUMIFS('01_異動主檔'!$F:$F,'01_異動主檔'!$B:$B,125,'01_異動主檔'!$D:$D,A868,'01_異動主檔'!$E:$E,"新增")</f>
        <v/>
      </c>
      <c r="G868" s="4">
        <f>-SUMIFS('01_異動主檔'!$F:$F,'01_異動主檔'!$B:$B,125,'01_異動主檔'!$D:$D,A868,'01_異動主檔'!$E:$E,"減列")</f>
        <v/>
      </c>
      <c r="H868" s="4">
        <f>-SUMIFS('01_異動主檔'!$F:$F,'01_異動主檔'!$B:$B,125,'01_異動主檔'!$D:$D,A868,'01_異動主檔'!$E:$E,"精簡")</f>
        <v/>
      </c>
      <c r="I868" s="8">
        <f>C868+D868+E868+F868+G868+H868</f>
        <v/>
      </c>
    </row>
    <row r="869" ht="18" customHeight="1">
      <c r="A869" s="3" t="inlineStr">
        <is>
          <t>訓練中心</t>
        </is>
      </c>
      <c r="B869" s="4" t="n">
        <v>99</v>
      </c>
      <c r="C869" s="8">
        <f>'02_年初員額設定'!B37</f>
        <v/>
      </c>
      <c r="D869" s="4">
        <f>SUMIFS('01_異動主檔'!$F:$F,'01_異動主檔'!$B:$B,99,'01_異動主檔'!$D:$D,A869,'01_異動主檔'!$E:$E,"移入")</f>
        <v/>
      </c>
      <c r="E869" s="4">
        <f>-SUMIFS('01_異動主檔'!$F:$F,'01_異動主檔'!$B:$B,99,'01_異動主檔'!$D:$D,A869,'01_異動主檔'!$E:$E,"移出")</f>
        <v/>
      </c>
      <c r="F869" s="4">
        <f>SUMIFS('01_異動主檔'!$F:$F,'01_異動主檔'!$B:$B,99,'01_異動主檔'!$D:$D,A869,'01_異動主檔'!$E:$E,"新增")</f>
        <v/>
      </c>
      <c r="G869" s="4">
        <f>-SUMIFS('01_異動主檔'!$F:$F,'01_異動主檔'!$B:$B,99,'01_異動主檔'!$D:$D,A869,'01_異動主檔'!$E:$E,"減列")</f>
        <v/>
      </c>
      <c r="H869" s="4">
        <f>-SUMIFS('01_異動主檔'!$F:$F,'01_異動主檔'!$B:$B,99,'01_異動主檔'!$D:$D,A869,'01_異動主檔'!$E:$E,"精簡")</f>
        <v/>
      </c>
      <c r="I869" s="8">
        <f>C869+D869+E869+F869+G869+H869</f>
        <v/>
      </c>
    </row>
    <row r="870" ht="18" customHeight="1">
      <c r="A870" s="5" t="inlineStr">
        <is>
          <t>訓練中心</t>
        </is>
      </c>
      <c r="B870" s="6" t="n">
        <v>100</v>
      </c>
      <c r="C870" s="8">
        <f>I869</f>
        <v/>
      </c>
      <c r="D870" s="4">
        <f>SUMIFS('01_異動主檔'!$F:$F,'01_異動主檔'!$B:$B,100,'01_異動主檔'!$D:$D,A870,'01_異動主檔'!$E:$E,"移入")</f>
        <v/>
      </c>
      <c r="E870" s="4">
        <f>-SUMIFS('01_異動主檔'!$F:$F,'01_異動主檔'!$B:$B,100,'01_異動主檔'!$D:$D,A870,'01_異動主檔'!$E:$E,"移出")</f>
        <v/>
      </c>
      <c r="F870" s="4">
        <f>SUMIFS('01_異動主檔'!$F:$F,'01_異動主檔'!$B:$B,100,'01_異動主檔'!$D:$D,A870,'01_異動主檔'!$E:$E,"新增")</f>
        <v/>
      </c>
      <c r="G870" s="4">
        <f>-SUMIFS('01_異動主檔'!$F:$F,'01_異動主檔'!$B:$B,100,'01_異動主檔'!$D:$D,A870,'01_異動主檔'!$E:$E,"減列")</f>
        <v/>
      </c>
      <c r="H870" s="4">
        <f>-SUMIFS('01_異動主檔'!$F:$F,'01_異動主檔'!$B:$B,100,'01_異動主檔'!$D:$D,A870,'01_異動主檔'!$E:$E,"精簡")</f>
        <v/>
      </c>
      <c r="I870" s="8">
        <f>C870+D870+E870+F870+G870+H870</f>
        <v/>
      </c>
    </row>
    <row r="871" ht="18" customHeight="1">
      <c r="A871" s="3" t="inlineStr">
        <is>
          <t>訓練中心</t>
        </is>
      </c>
      <c r="B871" s="4" t="n">
        <v>101</v>
      </c>
      <c r="C871" s="8">
        <f>I870</f>
        <v/>
      </c>
      <c r="D871" s="4">
        <f>SUMIFS('01_異動主檔'!$F:$F,'01_異動主檔'!$B:$B,101,'01_異動主檔'!$D:$D,A871,'01_異動主檔'!$E:$E,"移入")</f>
        <v/>
      </c>
      <c r="E871" s="4">
        <f>-SUMIFS('01_異動主檔'!$F:$F,'01_異動主檔'!$B:$B,101,'01_異動主檔'!$D:$D,A871,'01_異動主檔'!$E:$E,"移出")</f>
        <v/>
      </c>
      <c r="F871" s="4">
        <f>SUMIFS('01_異動主檔'!$F:$F,'01_異動主檔'!$B:$B,101,'01_異動主檔'!$D:$D,A871,'01_異動主檔'!$E:$E,"新增")</f>
        <v/>
      </c>
      <c r="G871" s="4">
        <f>-SUMIFS('01_異動主檔'!$F:$F,'01_異動主檔'!$B:$B,101,'01_異動主檔'!$D:$D,A871,'01_異動主檔'!$E:$E,"減列")</f>
        <v/>
      </c>
      <c r="H871" s="4">
        <f>-SUMIFS('01_異動主檔'!$F:$F,'01_異動主檔'!$B:$B,101,'01_異動主檔'!$D:$D,A871,'01_異動主檔'!$E:$E,"精簡")</f>
        <v/>
      </c>
      <c r="I871" s="8">
        <f>C871+D871+E871+F871+G871+H871</f>
        <v/>
      </c>
    </row>
    <row r="872" ht="18" customHeight="1">
      <c r="A872" s="5" t="inlineStr">
        <is>
          <t>訓練中心</t>
        </is>
      </c>
      <c r="B872" s="6" t="n">
        <v>102</v>
      </c>
      <c r="C872" s="8">
        <f>I871</f>
        <v/>
      </c>
      <c r="D872" s="4">
        <f>SUMIFS('01_異動主檔'!$F:$F,'01_異動主檔'!$B:$B,102,'01_異動主檔'!$D:$D,A872,'01_異動主檔'!$E:$E,"移入")</f>
        <v/>
      </c>
      <c r="E872" s="4">
        <f>-SUMIFS('01_異動主檔'!$F:$F,'01_異動主檔'!$B:$B,102,'01_異動主檔'!$D:$D,A872,'01_異動主檔'!$E:$E,"移出")</f>
        <v/>
      </c>
      <c r="F872" s="4">
        <f>SUMIFS('01_異動主檔'!$F:$F,'01_異動主檔'!$B:$B,102,'01_異動主檔'!$D:$D,A872,'01_異動主檔'!$E:$E,"新增")</f>
        <v/>
      </c>
      <c r="G872" s="4">
        <f>-SUMIFS('01_異動主檔'!$F:$F,'01_異動主檔'!$B:$B,102,'01_異動主檔'!$D:$D,A872,'01_異動主檔'!$E:$E,"減列")</f>
        <v/>
      </c>
      <c r="H872" s="4">
        <f>-SUMIFS('01_異動主檔'!$F:$F,'01_異動主檔'!$B:$B,102,'01_異動主檔'!$D:$D,A872,'01_異動主檔'!$E:$E,"精簡")</f>
        <v/>
      </c>
      <c r="I872" s="8">
        <f>C872+D872+E872+F872+G872+H872</f>
        <v/>
      </c>
    </row>
    <row r="873" ht="18" customHeight="1">
      <c r="A873" s="3" t="inlineStr">
        <is>
          <t>訓練中心</t>
        </is>
      </c>
      <c r="B873" s="4" t="n">
        <v>103</v>
      </c>
      <c r="C873" s="8">
        <f>I872</f>
        <v/>
      </c>
      <c r="D873" s="4">
        <f>SUMIFS('01_異動主檔'!$F:$F,'01_異動主檔'!$B:$B,103,'01_異動主檔'!$D:$D,A873,'01_異動主檔'!$E:$E,"移入")</f>
        <v/>
      </c>
      <c r="E873" s="4">
        <f>-SUMIFS('01_異動主檔'!$F:$F,'01_異動主檔'!$B:$B,103,'01_異動主檔'!$D:$D,A873,'01_異動主檔'!$E:$E,"移出")</f>
        <v/>
      </c>
      <c r="F873" s="4">
        <f>SUMIFS('01_異動主檔'!$F:$F,'01_異動主檔'!$B:$B,103,'01_異動主檔'!$D:$D,A873,'01_異動主檔'!$E:$E,"新增")</f>
        <v/>
      </c>
      <c r="G873" s="4">
        <f>-SUMIFS('01_異動主檔'!$F:$F,'01_異動主檔'!$B:$B,103,'01_異動主檔'!$D:$D,A873,'01_異動主檔'!$E:$E,"減列")</f>
        <v/>
      </c>
      <c r="H873" s="4">
        <f>-SUMIFS('01_異動主檔'!$F:$F,'01_異動主檔'!$B:$B,103,'01_異動主檔'!$D:$D,A873,'01_異動主檔'!$E:$E,"精簡")</f>
        <v/>
      </c>
      <c r="I873" s="8">
        <f>C873+D873+E873+F873+G873+H873</f>
        <v/>
      </c>
    </row>
    <row r="874" ht="18" customHeight="1">
      <c r="A874" s="5" t="inlineStr">
        <is>
          <t>訓練中心</t>
        </is>
      </c>
      <c r="B874" s="6" t="n">
        <v>104</v>
      </c>
      <c r="C874" s="8">
        <f>I873</f>
        <v/>
      </c>
      <c r="D874" s="4">
        <f>SUMIFS('01_異動主檔'!$F:$F,'01_異動主檔'!$B:$B,104,'01_異動主檔'!$D:$D,A874,'01_異動主檔'!$E:$E,"移入")</f>
        <v/>
      </c>
      <c r="E874" s="4">
        <f>-SUMIFS('01_異動主檔'!$F:$F,'01_異動主檔'!$B:$B,104,'01_異動主檔'!$D:$D,A874,'01_異動主檔'!$E:$E,"移出")</f>
        <v/>
      </c>
      <c r="F874" s="4">
        <f>SUMIFS('01_異動主檔'!$F:$F,'01_異動主檔'!$B:$B,104,'01_異動主檔'!$D:$D,A874,'01_異動主檔'!$E:$E,"新增")</f>
        <v/>
      </c>
      <c r="G874" s="4">
        <f>-SUMIFS('01_異動主檔'!$F:$F,'01_異動主檔'!$B:$B,104,'01_異動主檔'!$D:$D,A874,'01_異動主檔'!$E:$E,"減列")</f>
        <v/>
      </c>
      <c r="H874" s="4">
        <f>-SUMIFS('01_異動主檔'!$F:$F,'01_異動主檔'!$B:$B,104,'01_異動主檔'!$D:$D,A874,'01_異動主檔'!$E:$E,"精簡")</f>
        <v/>
      </c>
      <c r="I874" s="8">
        <f>C874+D874+E874+F874+G874+H874</f>
        <v/>
      </c>
    </row>
    <row r="875" ht="18" customHeight="1">
      <c r="A875" s="3" t="inlineStr">
        <is>
          <t>訓練中心</t>
        </is>
      </c>
      <c r="B875" s="4" t="n">
        <v>105</v>
      </c>
      <c r="C875" s="8">
        <f>I874</f>
        <v/>
      </c>
      <c r="D875" s="4">
        <f>SUMIFS('01_異動主檔'!$F:$F,'01_異動主檔'!$B:$B,105,'01_異動主檔'!$D:$D,A875,'01_異動主檔'!$E:$E,"移入")</f>
        <v/>
      </c>
      <c r="E875" s="4">
        <f>-SUMIFS('01_異動主檔'!$F:$F,'01_異動主檔'!$B:$B,105,'01_異動主檔'!$D:$D,A875,'01_異動主檔'!$E:$E,"移出")</f>
        <v/>
      </c>
      <c r="F875" s="4">
        <f>SUMIFS('01_異動主檔'!$F:$F,'01_異動主檔'!$B:$B,105,'01_異動主檔'!$D:$D,A875,'01_異動主檔'!$E:$E,"新增")</f>
        <v/>
      </c>
      <c r="G875" s="4">
        <f>-SUMIFS('01_異動主檔'!$F:$F,'01_異動主檔'!$B:$B,105,'01_異動主檔'!$D:$D,A875,'01_異動主檔'!$E:$E,"減列")</f>
        <v/>
      </c>
      <c r="H875" s="4">
        <f>-SUMIFS('01_異動主檔'!$F:$F,'01_異動主檔'!$B:$B,105,'01_異動主檔'!$D:$D,A875,'01_異動主檔'!$E:$E,"精簡")</f>
        <v/>
      </c>
      <c r="I875" s="8">
        <f>C875+D875+E875+F875+G875+H875</f>
        <v/>
      </c>
    </row>
    <row r="876" ht="18" customHeight="1">
      <c r="A876" s="5" t="inlineStr">
        <is>
          <t>訓練中心</t>
        </is>
      </c>
      <c r="B876" s="6" t="n">
        <v>106</v>
      </c>
      <c r="C876" s="8">
        <f>I875</f>
        <v/>
      </c>
      <c r="D876" s="4">
        <f>SUMIFS('01_異動主檔'!$F:$F,'01_異動主檔'!$B:$B,106,'01_異動主檔'!$D:$D,A876,'01_異動主檔'!$E:$E,"移入")</f>
        <v/>
      </c>
      <c r="E876" s="4">
        <f>-SUMIFS('01_異動主檔'!$F:$F,'01_異動主檔'!$B:$B,106,'01_異動主檔'!$D:$D,A876,'01_異動主檔'!$E:$E,"移出")</f>
        <v/>
      </c>
      <c r="F876" s="4">
        <f>SUMIFS('01_異動主檔'!$F:$F,'01_異動主檔'!$B:$B,106,'01_異動主檔'!$D:$D,A876,'01_異動主檔'!$E:$E,"新增")</f>
        <v/>
      </c>
      <c r="G876" s="4">
        <f>-SUMIFS('01_異動主檔'!$F:$F,'01_異動主檔'!$B:$B,106,'01_異動主檔'!$D:$D,A876,'01_異動主檔'!$E:$E,"減列")</f>
        <v/>
      </c>
      <c r="H876" s="4">
        <f>-SUMIFS('01_異動主檔'!$F:$F,'01_異動主檔'!$B:$B,106,'01_異動主檔'!$D:$D,A876,'01_異動主檔'!$E:$E,"精簡")</f>
        <v/>
      </c>
      <c r="I876" s="8">
        <f>C876+D876+E876+F876+G876+H876</f>
        <v/>
      </c>
    </row>
    <row r="877" ht="18" customHeight="1">
      <c r="A877" s="3" t="inlineStr">
        <is>
          <t>訓練中心</t>
        </is>
      </c>
      <c r="B877" s="4" t="n">
        <v>107</v>
      </c>
      <c r="C877" s="8">
        <f>I876</f>
        <v/>
      </c>
      <c r="D877" s="4">
        <f>SUMIFS('01_異動主檔'!$F:$F,'01_異動主檔'!$B:$B,107,'01_異動主檔'!$D:$D,A877,'01_異動主檔'!$E:$E,"移入")</f>
        <v/>
      </c>
      <c r="E877" s="4">
        <f>-SUMIFS('01_異動主檔'!$F:$F,'01_異動主檔'!$B:$B,107,'01_異動主檔'!$D:$D,A877,'01_異動主檔'!$E:$E,"移出")</f>
        <v/>
      </c>
      <c r="F877" s="4">
        <f>SUMIFS('01_異動主檔'!$F:$F,'01_異動主檔'!$B:$B,107,'01_異動主檔'!$D:$D,A877,'01_異動主檔'!$E:$E,"新增")</f>
        <v/>
      </c>
      <c r="G877" s="4">
        <f>-SUMIFS('01_異動主檔'!$F:$F,'01_異動主檔'!$B:$B,107,'01_異動主檔'!$D:$D,A877,'01_異動主檔'!$E:$E,"減列")</f>
        <v/>
      </c>
      <c r="H877" s="4">
        <f>-SUMIFS('01_異動主檔'!$F:$F,'01_異動主檔'!$B:$B,107,'01_異動主檔'!$D:$D,A877,'01_異動主檔'!$E:$E,"精簡")</f>
        <v/>
      </c>
      <c r="I877" s="8">
        <f>C877+D877+E877+F877+G877+H877</f>
        <v/>
      </c>
    </row>
    <row r="878" ht="18" customHeight="1">
      <c r="A878" s="5" t="inlineStr">
        <is>
          <t>訓練中心</t>
        </is>
      </c>
      <c r="B878" s="6" t="n">
        <v>108</v>
      </c>
      <c r="C878" s="8">
        <f>I877</f>
        <v/>
      </c>
      <c r="D878" s="4">
        <f>SUMIFS('01_異動主檔'!$F:$F,'01_異動主檔'!$B:$B,108,'01_異動主檔'!$D:$D,A878,'01_異動主檔'!$E:$E,"移入")</f>
        <v/>
      </c>
      <c r="E878" s="4">
        <f>-SUMIFS('01_異動主檔'!$F:$F,'01_異動主檔'!$B:$B,108,'01_異動主檔'!$D:$D,A878,'01_異動主檔'!$E:$E,"移出")</f>
        <v/>
      </c>
      <c r="F878" s="4">
        <f>SUMIFS('01_異動主檔'!$F:$F,'01_異動主檔'!$B:$B,108,'01_異動主檔'!$D:$D,A878,'01_異動主檔'!$E:$E,"新增")</f>
        <v/>
      </c>
      <c r="G878" s="4">
        <f>-SUMIFS('01_異動主檔'!$F:$F,'01_異動主檔'!$B:$B,108,'01_異動主檔'!$D:$D,A878,'01_異動主檔'!$E:$E,"減列")</f>
        <v/>
      </c>
      <c r="H878" s="4">
        <f>-SUMIFS('01_異動主檔'!$F:$F,'01_異動主檔'!$B:$B,108,'01_異動主檔'!$D:$D,A878,'01_異動主檔'!$E:$E,"精簡")</f>
        <v/>
      </c>
      <c r="I878" s="8">
        <f>C878+D878+E878+F878+G878+H878</f>
        <v/>
      </c>
    </row>
    <row r="879" ht="18" customHeight="1">
      <c r="A879" s="3" t="inlineStr">
        <is>
          <t>訓練中心</t>
        </is>
      </c>
      <c r="B879" s="4" t="n">
        <v>109</v>
      </c>
      <c r="C879" s="8">
        <f>I878</f>
        <v/>
      </c>
      <c r="D879" s="4">
        <f>SUMIFS('01_異動主檔'!$F:$F,'01_異動主檔'!$B:$B,109,'01_異動主檔'!$D:$D,A879,'01_異動主檔'!$E:$E,"移入")</f>
        <v/>
      </c>
      <c r="E879" s="4">
        <f>-SUMIFS('01_異動主檔'!$F:$F,'01_異動主檔'!$B:$B,109,'01_異動主檔'!$D:$D,A879,'01_異動主檔'!$E:$E,"移出")</f>
        <v/>
      </c>
      <c r="F879" s="4">
        <f>SUMIFS('01_異動主檔'!$F:$F,'01_異動主檔'!$B:$B,109,'01_異動主檔'!$D:$D,A879,'01_異動主檔'!$E:$E,"新增")</f>
        <v/>
      </c>
      <c r="G879" s="4">
        <f>-SUMIFS('01_異動主檔'!$F:$F,'01_異動主檔'!$B:$B,109,'01_異動主檔'!$D:$D,A879,'01_異動主檔'!$E:$E,"減列")</f>
        <v/>
      </c>
      <c r="H879" s="4">
        <f>-SUMIFS('01_異動主檔'!$F:$F,'01_異動主檔'!$B:$B,109,'01_異動主檔'!$D:$D,A879,'01_異動主檔'!$E:$E,"精簡")</f>
        <v/>
      </c>
      <c r="I879" s="8">
        <f>C879+D879+E879+F879+G879+H879</f>
        <v/>
      </c>
    </row>
    <row r="880" ht="18" customHeight="1">
      <c r="A880" s="5" t="inlineStr">
        <is>
          <t>訓練中心</t>
        </is>
      </c>
      <c r="B880" s="6" t="n">
        <v>110</v>
      </c>
      <c r="C880" s="8">
        <f>I879</f>
        <v/>
      </c>
      <c r="D880" s="4">
        <f>SUMIFS('01_異動主檔'!$F:$F,'01_異動主檔'!$B:$B,110,'01_異動主檔'!$D:$D,A880,'01_異動主檔'!$E:$E,"移入")</f>
        <v/>
      </c>
      <c r="E880" s="4">
        <f>-SUMIFS('01_異動主檔'!$F:$F,'01_異動主檔'!$B:$B,110,'01_異動主檔'!$D:$D,A880,'01_異動主檔'!$E:$E,"移出")</f>
        <v/>
      </c>
      <c r="F880" s="4">
        <f>SUMIFS('01_異動主檔'!$F:$F,'01_異動主檔'!$B:$B,110,'01_異動主檔'!$D:$D,A880,'01_異動主檔'!$E:$E,"新增")</f>
        <v/>
      </c>
      <c r="G880" s="4">
        <f>-SUMIFS('01_異動主檔'!$F:$F,'01_異動主檔'!$B:$B,110,'01_異動主檔'!$D:$D,A880,'01_異動主檔'!$E:$E,"減列")</f>
        <v/>
      </c>
      <c r="H880" s="4">
        <f>-SUMIFS('01_異動主檔'!$F:$F,'01_異動主檔'!$B:$B,110,'01_異動主檔'!$D:$D,A880,'01_異動主檔'!$E:$E,"精簡")</f>
        <v/>
      </c>
      <c r="I880" s="8">
        <f>C880+D880+E880+F880+G880+H880</f>
        <v/>
      </c>
    </row>
    <row r="881" ht="18" customHeight="1">
      <c r="A881" s="3" t="inlineStr">
        <is>
          <t>訓練中心</t>
        </is>
      </c>
      <c r="B881" s="4" t="n">
        <v>111</v>
      </c>
      <c r="C881" s="8">
        <f>I880</f>
        <v/>
      </c>
      <c r="D881" s="4">
        <f>SUMIFS('01_異動主檔'!$F:$F,'01_異動主檔'!$B:$B,111,'01_異動主檔'!$D:$D,A881,'01_異動主檔'!$E:$E,"移入")</f>
        <v/>
      </c>
      <c r="E881" s="4">
        <f>-SUMIFS('01_異動主檔'!$F:$F,'01_異動主檔'!$B:$B,111,'01_異動主檔'!$D:$D,A881,'01_異動主檔'!$E:$E,"移出")</f>
        <v/>
      </c>
      <c r="F881" s="4">
        <f>SUMIFS('01_異動主檔'!$F:$F,'01_異動主檔'!$B:$B,111,'01_異動主檔'!$D:$D,A881,'01_異動主檔'!$E:$E,"新增")</f>
        <v/>
      </c>
      <c r="G881" s="4">
        <f>-SUMIFS('01_異動主檔'!$F:$F,'01_異動主檔'!$B:$B,111,'01_異動主檔'!$D:$D,A881,'01_異動主檔'!$E:$E,"減列")</f>
        <v/>
      </c>
      <c r="H881" s="4">
        <f>-SUMIFS('01_異動主檔'!$F:$F,'01_異動主檔'!$B:$B,111,'01_異動主檔'!$D:$D,A881,'01_異動主檔'!$E:$E,"精簡")</f>
        <v/>
      </c>
      <c r="I881" s="8">
        <f>C881+D881+E881+F881+G881+H881</f>
        <v/>
      </c>
    </row>
    <row r="882" ht="18" customHeight="1">
      <c r="A882" s="5" t="inlineStr">
        <is>
          <t>訓練中心</t>
        </is>
      </c>
      <c r="B882" s="6" t="n">
        <v>112</v>
      </c>
      <c r="C882" s="8">
        <f>I881</f>
        <v/>
      </c>
      <c r="D882" s="4">
        <f>SUMIFS('01_異動主檔'!$F:$F,'01_異動主檔'!$B:$B,112,'01_異動主檔'!$D:$D,A882,'01_異動主檔'!$E:$E,"移入")</f>
        <v/>
      </c>
      <c r="E882" s="4">
        <f>-SUMIFS('01_異動主檔'!$F:$F,'01_異動主檔'!$B:$B,112,'01_異動主檔'!$D:$D,A882,'01_異動主檔'!$E:$E,"移出")</f>
        <v/>
      </c>
      <c r="F882" s="4">
        <f>SUMIFS('01_異動主檔'!$F:$F,'01_異動主檔'!$B:$B,112,'01_異動主檔'!$D:$D,A882,'01_異動主檔'!$E:$E,"新增")</f>
        <v/>
      </c>
      <c r="G882" s="4">
        <f>-SUMIFS('01_異動主檔'!$F:$F,'01_異動主檔'!$B:$B,112,'01_異動主檔'!$D:$D,A882,'01_異動主檔'!$E:$E,"減列")</f>
        <v/>
      </c>
      <c r="H882" s="4">
        <f>-SUMIFS('01_異動主檔'!$F:$F,'01_異動主檔'!$B:$B,112,'01_異動主檔'!$D:$D,A882,'01_異動主檔'!$E:$E,"精簡")</f>
        <v/>
      </c>
      <c r="I882" s="8">
        <f>C882+D882+E882+F882+G882+H882</f>
        <v/>
      </c>
    </row>
    <row r="883" ht="18" customHeight="1">
      <c r="A883" s="3" t="inlineStr">
        <is>
          <t>訓練中心</t>
        </is>
      </c>
      <c r="B883" s="4" t="n">
        <v>113</v>
      </c>
      <c r="C883" s="8">
        <f>I882</f>
        <v/>
      </c>
      <c r="D883" s="4">
        <f>SUMIFS('01_異動主檔'!$F:$F,'01_異動主檔'!$B:$B,113,'01_異動主檔'!$D:$D,A883,'01_異動主檔'!$E:$E,"移入")</f>
        <v/>
      </c>
      <c r="E883" s="4">
        <f>-SUMIFS('01_異動主檔'!$F:$F,'01_異動主檔'!$B:$B,113,'01_異動主檔'!$D:$D,A883,'01_異動主檔'!$E:$E,"移出")</f>
        <v/>
      </c>
      <c r="F883" s="4">
        <f>SUMIFS('01_異動主檔'!$F:$F,'01_異動主檔'!$B:$B,113,'01_異動主檔'!$D:$D,A883,'01_異動主檔'!$E:$E,"新增")</f>
        <v/>
      </c>
      <c r="G883" s="4">
        <f>-SUMIFS('01_異動主檔'!$F:$F,'01_異動主檔'!$B:$B,113,'01_異動主檔'!$D:$D,A883,'01_異動主檔'!$E:$E,"減列")</f>
        <v/>
      </c>
      <c r="H883" s="4">
        <f>-SUMIFS('01_異動主檔'!$F:$F,'01_異動主檔'!$B:$B,113,'01_異動主檔'!$D:$D,A883,'01_異動主檔'!$E:$E,"精簡")</f>
        <v/>
      </c>
      <c r="I883" s="8">
        <f>C883+D883+E883+F883+G883+H883</f>
        <v/>
      </c>
    </row>
    <row r="884" ht="18" customHeight="1">
      <c r="A884" s="5" t="inlineStr">
        <is>
          <t>訓練中心</t>
        </is>
      </c>
      <c r="B884" s="6" t="n">
        <v>114</v>
      </c>
      <c r="C884" s="8">
        <f>I883</f>
        <v/>
      </c>
      <c r="D884" s="4">
        <f>SUMIFS('01_異動主檔'!$F:$F,'01_異動主檔'!$B:$B,114,'01_異動主檔'!$D:$D,A884,'01_異動主檔'!$E:$E,"移入")</f>
        <v/>
      </c>
      <c r="E884" s="4">
        <f>-SUMIFS('01_異動主檔'!$F:$F,'01_異動主檔'!$B:$B,114,'01_異動主檔'!$D:$D,A884,'01_異動主檔'!$E:$E,"移出")</f>
        <v/>
      </c>
      <c r="F884" s="4">
        <f>SUMIFS('01_異動主檔'!$F:$F,'01_異動主檔'!$B:$B,114,'01_異動主檔'!$D:$D,A884,'01_異動主檔'!$E:$E,"新增")</f>
        <v/>
      </c>
      <c r="G884" s="4">
        <f>-SUMIFS('01_異動主檔'!$F:$F,'01_異動主檔'!$B:$B,114,'01_異動主檔'!$D:$D,A884,'01_異動主檔'!$E:$E,"減列")</f>
        <v/>
      </c>
      <c r="H884" s="4">
        <f>-SUMIFS('01_異動主檔'!$F:$F,'01_異動主檔'!$B:$B,114,'01_異動主檔'!$D:$D,A884,'01_異動主檔'!$E:$E,"精簡")</f>
        <v/>
      </c>
      <c r="I884" s="8">
        <f>C884+D884+E884+F884+G884+H884</f>
        <v/>
      </c>
    </row>
    <row r="885" ht="18" customHeight="1">
      <c r="A885" s="3" t="inlineStr">
        <is>
          <t>訓練中心</t>
        </is>
      </c>
      <c r="B885" s="4" t="n">
        <v>115</v>
      </c>
      <c r="C885" s="8">
        <f>I884</f>
        <v/>
      </c>
      <c r="D885" s="4">
        <f>SUMIFS('01_異動主檔'!$F:$F,'01_異動主檔'!$B:$B,115,'01_異動主檔'!$D:$D,A885,'01_異動主檔'!$E:$E,"移入")</f>
        <v/>
      </c>
      <c r="E885" s="4">
        <f>-SUMIFS('01_異動主檔'!$F:$F,'01_異動主檔'!$B:$B,115,'01_異動主檔'!$D:$D,A885,'01_異動主檔'!$E:$E,"移出")</f>
        <v/>
      </c>
      <c r="F885" s="4">
        <f>SUMIFS('01_異動主檔'!$F:$F,'01_異動主檔'!$B:$B,115,'01_異動主檔'!$D:$D,A885,'01_異動主檔'!$E:$E,"新增")</f>
        <v/>
      </c>
      <c r="G885" s="4">
        <f>-SUMIFS('01_異動主檔'!$F:$F,'01_異動主檔'!$B:$B,115,'01_異動主檔'!$D:$D,A885,'01_異動主檔'!$E:$E,"減列")</f>
        <v/>
      </c>
      <c r="H885" s="4">
        <f>-SUMIFS('01_異動主檔'!$F:$F,'01_異動主檔'!$B:$B,115,'01_異動主檔'!$D:$D,A885,'01_異動主檔'!$E:$E,"精簡")</f>
        <v/>
      </c>
      <c r="I885" s="8">
        <f>C885+D885+E885+F885+G885+H885</f>
        <v/>
      </c>
    </row>
    <row r="886" ht="18" customHeight="1">
      <c r="A886" s="5" t="inlineStr">
        <is>
          <t>訓練中心</t>
        </is>
      </c>
      <c r="B886" s="6" t="n">
        <v>116</v>
      </c>
      <c r="C886" s="8">
        <f>I885</f>
        <v/>
      </c>
      <c r="D886" s="4">
        <f>SUMIFS('01_異動主檔'!$F:$F,'01_異動主檔'!$B:$B,116,'01_異動主檔'!$D:$D,A886,'01_異動主檔'!$E:$E,"移入")</f>
        <v/>
      </c>
      <c r="E886" s="4">
        <f>-SUMIFS('01_異動主檔'!$F:$F,'01_異動主檔'!$B:$B,116,'01_異動主檔'!$D:$D,A886,'01_異動主檔'!$E:$E,"移出")</f>
        <v/>
      </c>
      <c r="F886" s="4">
        <f>SUMIFS('01_異動主檔'!$F:$F,'01_異動主檔'!$B:$B,116,'01_異動主檔'!$D:$D,A886,'01_異動主檔'!$E:$E,"新增")</f>
        <v/>
      </c>
      <c r="G886" s="4">
        <f>-SUMIFS('01_異動主檔'!$F:$F,'01_異動主檔'!$B:$B,116,'01_異動主檔'!$D:$D,A886,'01_異動主檔'!$E:$E,"減列")</f>
        <v/>
      </c>
      <c r="H886" s="4">
        <f>-SUMIFS('01_異動主檔'!$F:$F,'01_異動主檔'!$B:$B,116,'01_異動主檔'!$D:$D,A886,'01_異動主檔'!$E:$E,"精簡")</f>
        <v/>
      </c>
      <c r="I886" s="8">
        <f>C886+D886+E886+F886+G886+H886</f>
        <v/>
      </c>
    </row>
    <row r="887" ht="18" customHeight="1">
      <c r="A887" s="3" t="inlineStr">
        <is>
          <t>訓練中心</t>
        </is>
      </c>
      <c r="B887" s="4" t="n">
        <v>117</v>
      </c>
      <c r="C887" s="8">
        <f>I886</f>
        <v/>
      </c>
      <c r="D887" s="4">
        <f>SUMIFS('01_異動主檔'!$F:$F,'01_異動主檔'!$B:$B,117,'01_異動主檔'!$D:$D,A887,'01_異動主檔'!$E:$E,"移入")</f>
        <v/>
      </c>
      <c r="E887" s="4">
        <f>-SUMIFS('01_異動主檔'!$F:$F,'01_異動主檔'!$B:$B,117,'01_異動主檔'!$D:$D,A887,'01_異動主檔'!$E:$E,"移出")</f>
        <v/>
      </c>
      <c r="F887" s="4">
        <f>SUMIFS('01_異動主檔'!$F:$F,'01_異動主檔'!$B:$B,117,'01_異動主檔'!$D:$D,A887,'01_異動主檔'!$E:$E,"新增")</f>
        <v/>
      </c>
      <c r="G887" s="4">
        <f>-SUMIFS('01_異動主檔'!$F:$F,'01_異動主檔'!$B:$B,117,'01_異動主檔'!$D:$D,A887,'01_異動主檔'!$E:$E,"減列")</f>
        <v/>
      </c>
      <c r="H887" s="4">
        <f>-SUMIFS('01_異動主檔'!$F:$F,'01_異動主檔'!$B:$B,117,'01_異動主檔'!$D:$D,A887,'01_異動主檔'!$E:$E,"精簡")</f>
        <v/>
      </c>
      <c r="I887" s="8">
        <f>C887+D887+E887+F887+G887+H887</f>
        <v/>
      </c>
    </row>
    <row r="888" ht="18" customHeight="1">
      <c r="A888" s="5" t="inlineStr">
        <is>
          <t>訓練中心</t>
        </is>
      </c>
      <c r="B888" s="6" t="n">
        <v>118</v>
      </c>
      <c r="C888" s="8">
        <f>I887</f>
        <v/>
      </c>
      <c r="D888" s="4">
        <f>SUMIFS('01_異動主檔'!$F:$F,'01_異動主檔'!$B:$B,118,'01_異動主檔'!$D:$D,A888,'01_異動主檔'!$E:$E,"移入")</f>
        <v/>
      </c>
      <c r="E888" s="4">
        <f>-SUMIFS('01_異動主檔'!$F:$F,'01_異動主檔'!$B:$B,118,'01_異動主檔'!$D:$D,A888,'01_異動主檔'!$E:$E,"移出")</f>
        <v/>
      </c>
      <c r="F888" s="4">
        <f>SUMIFS('01_異動主檔'!$F:$F,'01_異動主檔'!$B:$B,118,'01_異動主檔'!$D:$D,A888,'01_異動主檔'!$E:$E,"新增")</f>
        <v/>
      </c>
      <c r="G888" s="4">
        <f>-SUMIFS('01_異動主檔'!$F:$F,'01_異動主檔'!$B:$B,118,'01_異動主檔'!$D:$D,A888,'01_異動主檔'!$E:$E,"減列")</f>
        <v/>
      </c>
      <c r="H888" s="4">
        <f>-SUMIFS('01_異動主檔'!$F:$F,'01_異動主檔'!$B:$B,118,'01_異動主檔'!$D:$D,A888,'01_異動主檔'!$E:$E,"精簡")</f>
        <v/>
      </c>
      <c r="I888" s="8">
        <f>C888+D888+E888+F888+G888+H888</f>
        <v/>
      </c>
    </row>
    <row r="889" ht="18" customHeight="1">
      <c r="A889" s="3" t="inlineStr">
        <is>
          <t>訓練中心</t>
        </is>
      </c>
      <c r="B889" s="4" t="n">
        <v>119</v>
      </c>
      <c r="C889" s="8">
        <f>I888</f>
        <v/>
      </c>
      <c r="D889" s="4">
        <f>SUMIFS('01_異動主檔'!$F:$F,'01_異動主檔'!$B:$B,119,'01_異動主檔'!$D:$D,A889,'01_異動主檔'!$E:$E,"移入")</f>
        <v/>
      </c>
      <c r="E889" s="4">
        <f>-SUMIFS('01_異動主檔'!$F:$F,'01_異動主檔'!$B:$B,119,'01_異動主檔'!$D:$D,A889,'01_異動主檔'!$E:$E,"移出")</f>
        <v/>
      </c>
      <c r="F889" s="4">
        <f>SUMIFS('01_異動主檔'!$F:$F,'01_異動主檔'!$B:$B,119,'01_異動主檔'!$D:$D,A889,'01_異動主檔'!$E:$E,"新增")</f>
        <v/>
      </c>
      <c r="G889" s="4">
        <f>-SUMIFS('01_異動主檔'!$F:$F,'01_異動主檔'!$B:$B,119,'01_異動主檔'!$D:$D,A889,'01_異動主檔'!$E:$E,"減列")</f>
        <v/>
      </c>
      <c r="H889" s="4">
        <f>-SUMIFS('01_異動主檔'!$F:$F,'01_異動主檔'!$B:$B,119,'01_異動主檔'!$D:$D,A889,'01_異動主檔'!$E:$E,"精簡")</f>
        <v/>
      </c>
      <c r="I889" s="8">
        <f>C889+D889+E889+F889+G889+H889</f>
        <v/>
      </c>
    </row>
    <row r="890" ht="18" customHeight="1">
      <c r="A890" s="5" t="inlineStr">
        <is>
          <t>訓練中心</t>
        </is>
      </c>
      <c r="B890" s="6" t="n">
        <v>120</v>
      </c>
      <c r="C890" s="8">
        <f>I889</f>
        <v/>
      </c>
      <c r="D890" s="4">
        <f>SUMIFS('01_異動主檔'!$F:$F,'01_異動主檔'!$B:$B,120,'01_異動主檔'!$D:$D,A890,'01_異動主檔'!$E:$E,"移入")</f>
        <v/>
      </c>
      <c r="E890" s="4">
        <f>-SUMIFS('01_異動主檔'!$F:$F,'01_異動主檔'!$B:$B,120,'01_異動主檔'!$D:$D,A890,'01_異動主檔'!$E:$E,"移出")</f>
        <v/>
      </c>
      <c r="F890" s="4">
        <f>SUMIFS('01_異動主檔'!$F:$F,'01_異動主檔'!$B:$B,120,'01_異動主檔'!$D:$D,A890,'01_異動主檔'!$E:$E,"新增")</f>
        <v/>
      </c>
      <c r="G890" s="4">
        <f>-SUMIFS('01_異動主檔'!$F:$F,'01_異動主檔'!$B:$B,120,'01_異動主檔'!$D:$D,A890,'01_異動主檔'!$E:$E,"減列")</f>
        <v/>
      </c>
      <c r="H890" s="4">
        <f>-SUMIFS('01_異動主檔'!$F:$F,'01_異動主檔'!$B:$B,120,'01_異動主檔'!$D:$D,A890,'01_異動主檔'!$E:$E,"精簡")</f>
        <v/>
      </c>
      <c r="I890" s="8">
        <f>C890+D890+E890+F890+G890+H890</f>
        <v/>
      </c>
    </row>
    <row r="891" ht="18" customHeight="1">
      <c r="A891" s="3" t="inlineStr">
        <is>
          <t>訓練中心</t>
        </is>
      </c>
      <c r="B891" s="4" t="n">
        <v>121</v>
      </c>
      <c r="C891" s="8">
        <f>I890</f>
        <v/>
      </c>
      <c r="D891" s="4">
        <f>SUMIFS('01_異動主檔'!$F:$F,'01_異動主檔'!$B:$B,121,'01_異動主檔'!$D:$D,A891,'01_異動主檔'!$E:$E,"移入")</f>
        <v/>
      </c>
      <c r="E891" s="4">
        <f>-SUMIFS('01_異動主檔'!$F:$F,'01_異動主檔'!$B:$B,121,'01_異動主檔'!$D:$D,A891,'01_異動主檔'!$E:$E,"移出")</f>
        <v/>
      </c>
      <c r="F891" s="4">
        <f>SUMIFS('01_異動主檔'!$F:$F,'01_異動主檔'!$B:$B,121,'01_異動主檔'!$D:$D,A891,'01_異動主檔'!$E:$E,"新增")</f>
        <v/>
      </c>
      <c r="G891" s="4">
        <f>-SUMIFS('01_異動主檔'!$F:$F,'01_異動主檔'!$B:$B,121,'01_異動主檔'!$D:$D,A891,'01_異動主檔'!$E:$E,"減列")</f>
        <v/>
      </c>
      <c r="H891" s="4">
        <f>-SUMIFS('01_異動主檔'!$F:$F,'01_異動主檔'!$B:$B,121,'01_異動主檔'!$D:$D,A891,'01_異動主檔'!$E:$E,"精簡")</f>
        <v/>
      </c>
      <c r="I891" s="8">
        <f>C891+D891+E891+F891+G891+H891</f>
        <v/>
      </c>
    </row>
    <row r="892" ht="18" customHeight="1">
      <c r="A892" s="5" t="inlineStr">
        <is>
          <t>訓練中心</t>
        </is>
      </c>
      <c r="B892" s="6" t="n">
        <v>122</v>
      </c>
      <c r="C892" s="8">
        <f>I891</f>
        <v/>
      </c>
      <c r="D892" s="4">
        <f>SUMIFS('01_異動主檔'!$F:$F,'01_異動主檔'!$B:$B,122,'01_異動主檔'!$D:$D,A892,'01_異動主檔'!$E:$E,"移入")</f>
        <v/>
      </c>
      <c r="E892" s="4">
        <f>-SUMIFS('01_異動主檔'!$F:$F,'01_異動主檔'!$B:$B,122,'01_異動主檔'!$D:$D,A892,'01_異動主檔'!$E:$E,"移出")</f>
        <v/>
      </c>
      <c r="F892" s="4">
        <f>SUMIFS('01_異動主檔'!$F:$F,'01_異動主檔'!$B:$B,122,'01_異動主檔'!$D:$D,A892,'01_異動主檔'!$E:$E,"新增")</f>
        <v/>
      </c>
      <c r="G892" s="4">
        <f>-SUMIFS('01_異動主檔'!$F:$F,'01_異動主檔'!$B:$B,122,'01_異動主檔'!$D:$D,A892,'01_異動主檔'!$E:$E,"減列")</f>
        <v/>
      </c>
      <c r="H892" s="4">
        <f>-SUMIFS('01_異動主檔'!$F:$F,'01_異動主檔'!$B:$B,122,'01_異動主檔'!$D:$D,A892,'01_異動主檔'!$E:$E,"精簡")</f>
        <v/>
      </c>
      <c r="I892" s="8">
        <f>C892+D892+E892+F892+G892+H892</f>
        <v/>
      </c>
    </row>
    <row r="893" ht="18" customHeight="1">
      <c r="A893" s="3" t="inlineStr">
        <is>
          <t>訓練中心</t>
        </is>
      </c>
      <c r="B893" s="4" t="n">
        <v>123</v>
      </c>
      <c r="C893" s="8">
        <f>I892</f>
        <v/>
      </c>
      <c r="D893" s="4">
        <f>SUMIFS('01_異動主檔'!$F:$F,'01_異動主檔'!$B:$B,123,'01_異動主檔'!$D:$D,A893,'01_異動主檔'!$E:$E,"移入")</f>
        <v/>
      </c>
      <c r="E893" s="4">
        <f>-SUMIFS('01_異動主檔'!$F:$F,'01_異動主檔'!$B:$B,123,'01_異動主檔'!$D:$D,A893,'01_異動主檔'!$E:$E,"移出")</f>
        <v/>
      </c>
      <c r="F893" s="4">
        <f>SUMIFS('01_異動主檔'!$F:$F,'01_異動主檔'!$B:$B,123,'01_異動主檔'!$D:$D,A893,'01_異動主檔'!$E:$E,"新增")</f>
        <v/>
      </c>
      <c r="G893" s="4">
        <f>-SUMIFS('01_異動主檔'!$F:$F,'01_異動主檔'!$B:$B,123,'01_異動主檔'!$D:$D,A893,'01_異動主檔'!$E:$E,"減列")</f>
        <v/>
      </c>
      <c r="H893" s="4">
        <f>-SUMIFS('01_異動主檔'!$F:$F,'01_異動主檔'!$B:$B,123,'01_異動主檔'!$D:$D,A893,'01_異動主檔'!$E:$E,"精簡")</f>
        <v/>
      </c>
      <c r="I893" s="8">
        <f>C893+D893+E893+F893+G893+H893</f>
        <v/>
      </c>
    </row>
    <row r="894" ht="18" customHeight="1">
      <c r="A894" s="5" t="inlineStr">
        <is>
          <t>訓練中心</t>
        </is>
      </c>
      <c r="B894" s="6" t="n">
        <v>124</v>
      </c>
      <c r="C894" s="8">
        <f>I893</f>
        <v/>
      </c>
      <c r="D894" s="4">
        <f>SUMIFS('01_異動主檔'!$F:$F,'01_異動主檔'!$B:$B,124,'01_異動主檔'!$D:$D,A894,'01_異動主檔'!$E:$E,"移入")</f>
        <v/>
      </c>
      <c r="E894" s="4">
        <f>-SUMIFS('01_異動主檔'!$F:$F,'01_異動主檔'!$B:$B,124,'01_異動主檔'!$D:$D,A894,'01_異動主檔'!$E:$E,"移出")</f>
        <v/>
      </c>
      <c r="F894" s="4">
        <f>SUMIFS('01_異動主檔'!$F:$F,'01_異動主檔'!$B:$B,124,'01_異動主檔'!$D:$D,A894,'01_異動主檔'!$E:$E,"新增")</f>
        <v/>
      </c>
      <c r="G894" s="4">
        <f>-SUMIFS('01_異動主檔'!$F:$F,'01_異動主檔'!$B:$B,124,'01_異動主檔'!$D:$D,A894,'01_異動主檔'!$E:$E,"減列")</f>
        <v/>
      </c>
      <c r="H894" s="4">
        <f>-SUMIFS('01_異動主檔'!$F:$F,'01_異動主檔'!$B:$B,124,'01_異動主檔'!$D:$D,A894,'01_異動主檔'!$E:$E,"精簡")</f>
        <v/>
      </c>
      <c r="I894" s="8">
        <f>C894+D894+E894+F894+G894+H894</f>
        <v/>
      </c>
    </row>
    <row r="895" ht="18" customHeight="1">
      <c r="A895" s="3" t="inlineStr">
        <is>
          <t>訓練中心</t>
        </is>
      </c>
      <c r="B895" s="4" t="n">
        <v>125</v>
      </c>
      <c r="C895" s="8">
        <f>I894</f>
        <v/>
      </c>
      <c r="D895" s="4">
        <f>SUMIFS('01_異動主檔'!$F:$F,'01_異動主檔'!$B:$B,125,'01_異動主檔'!$D:$D,A895,'01_異動主檔'!$E:$E,"移入")</f>
        <v/>
      </c>
      <c r="E895" s="4">
        <f>-SUMIFS('01_異動主檔'!$F:$F,'01_異動主檔'!$B:$B,125,'01_異動主檔'!$D:$D,A895,'01_異動主檔'!$E:$E,"移出")</f>
        <v/>
      </c>
      <c r="F895" s="4">
        <f>SUMIFS('01_異動主檔'!$F:$F,'01_異動主檔'!$B:$B,125,'01_異動主檔'!$D:$D,A895,'01_異動主檔'!$E:$E,"新增")</f>
        <v/>
      </c>
      <c r="G895" s="4">
        <f>-SUMIFS('01_異動主檔'!$F:$F,'01_異動主檔'!$B:$B,125,'01_異動主檔'!$D:$D,A895,'01_異動主檔'!$E:$E,"減列")</f>
        <v/>
      </c>
      <c r="H895" s="4">
        <f>-SUMIFS('01_異動主檔'!$F:$F,'01_異動主檔'!$B:$B,125,'01_異動主檔'!$D:$D,A895,'01_異動主檔'!$E:$E,"精簡")</f>
        <v/>
      </c>
      <c r="I895" s="8">
        <f>C895+D895+E895+F895+G895+H895</f>
        <v/>
      </c>
    </row>
    <row r="896" ht="18" customHeight="1">
      <c r="A896" s="5" t="inlineStr">
        <is>
          <t>研發中心</t>
        </is>
      </c>
      <c r="B896" s="6" t="n">
        <v>99</v>
      </c>
      <c r="C896" s="8">
        <f>'02_年初員額設定'!B38</f>
        <v/>
      </c>
      <c r="D896" s="4">
        <f>SUMIFS('01_異動主檔'!$F:$F,'01_異動主檔'!$B:$B,99,'01_異動主檔'!$D:$D,A896,'01_異動主檔'!$E:$E,"移入")</f>
        <v/>
      </c>
      <c r="E896" s="4">
        <f>-SUMIFS('01_異動主檔'!$F:$F,'01_異動主檔'!$B:$B,99,'01_異動主檔'!$D:$D,A896,'01_異動主檔'!$E:$E,"移出")</f>
        <v/>
      </c>
      <c r="F896" s="4">
        <f>SUMIFS('01_異動主檔'!$F:$F,'01_異動主檔'!$B:$B,99,'01_異動主檔'!$D:$D,A896,'01_異動主檔'!$E:$E,"新增")</f>
        <v/>
      </c>
      <c r="G896" s="4">
        <f>-SUMIFS('01_異動主檔'!$F:$F,'01_異動主檔'!$B:$B,99,'01_異動主檔'!$D:$D,A896,'01_異動主檔'!$E:$E,"減列")</f>
        <v/>
      </c>
      <c r="H896" s="4">
        <f>-SUMIFS('01_異動主檔'!$F:$F,'01_異動主檔'!$B:$B,99,'01_異動主檔'!$D:$D,A896,'01_異動主檔'!$E:$E,"精簡")</f>
        <v/>
      </c>
      <c r="I896" s="8">
        <f>C896+D896+E896+F896+G896+H896</f>
        <v/>
      </c>
    </row>
    <row r="897" ht="18" customHeight="1">
      <c r="A897" s="3" t="inlineStr">
        <is>
          <t>研發中心</t>
        </is>
      </c>
      <c r="B897" s="4" t="n">
        <v>100</v>
      </c>
      <c r="C897" s="8">
        <f>I896</f>
        <v/>
      </c>
      <c r="D897" s="4">
        <f>SUMIFS('01_異動主檔'!$F:$F,'01_異動主檔'!$B:$B,100,'01_異動主檔'!$D:$D,A897,'01_異動主檔'!$E:$E,"移入")</f>
        <v/>
      </c>
      <c r="E897" s="4">
        <f>-SUMIFS('01_異動主檔'!$F:$F,'01_異動主檔'!$B:$B,100,'01_異動主檔'!$D:$D,A897,'01_異動主檔'!$E:$E,"移出")</f>
        <v/>
      </c>
      <c r="F897" s="4">
        <f>SUMIFS('01_異動主檔'!$F:$F,'01_異動主檔'!$B:$B,100,'01_異動主檔'!$D:$D,A897,'01_異動主檔'!$E:$E,"新增")</f>
        <v/>
      </c>
      <c r="G897" s="4">
        <f>-SUMIFS('01_異動主檔'!$F:$F,'01_異動主檔'!$B:$B,100,'01_異動主檔'!$D:$D,A897,'01_異動主檔'!$E:$E,"減列")</f>
        <v/>
      </c>
      <c r="H897" s="4">
        <f>-SUMIFS('01_異動主檔'!$F:$F,'01_異動主檔'!$B:$B,100,'01_異動主檔'!$D:$D,A897,'01_異動主檔'!$E:$E,"精簡")</f>
        <v/>
      </c>
      <c r="I897" s="8">
        <f>C897+D897+E897+F897+G897+H897</f>
        <v/>
      </c>
    </row>
    <row r="898" ht="18" customHeight="1">
      <c r="A898" s="5" t="inlineStr">
        <is>
          <t>研發中心</t>
        </is>
      </c>
      <c r="B898" s="6" t="n">
        <v>101</v>
      </c>
      <c r="C898" s="8">
        <f>I897</f>
        <v/>
      </c>
      <c r="D898" s="4">
        <f>SUMIFS('01_異動主檔'!$F:$F,'01_異動主檔'!$B:$B,101,'01_異動主檔'!$D:$D,A898,'01_異動主檔'!$E:$E,"移入")</f>
        <v/>
      </c>
      <c r="E898" s="4">
        <f>-SUMIFS('01_異動主檔'!$F:$F,'01_異動主檔'!$B:$B,101,'01_異動主檔'!$D:$D,A898,'01_異動主檔'!$E:$E,"移出")</f>
        <v/>
      </c>
      <c r="F898" s="4">
        <f>SUMIFS('01_異動主檔'!$F:$F,'01_異動主檔'!$B:$B,101,'01_異動主檔'!$D:$D,A898,'01_異動主檔'!$E:$E,"新增")</f>
        <v/>
      </c>
      <c r="G898" s="4">
        <f>-SUMIFS('01_異動主檔'!$F:$F,'01_異動主檔'!$B:$B,101,'01_異動主檔'!$D:$D,A898,'01_異動主檔'!$E:$E,"減列")</f>
        <v/>
      </c>
      <c r="H898" s="4">
        <f>-SUMIFS('01_異動主檔'!$F:$F,'01_異動主檔'!$B:$B,101,'01_異動主檔'!$D:$D,A898,'01_異動主檔'!$E:$E,"精簡")</f>
        <v/>
      </c>
      <c r="I898" s="8">
        <f>C898+D898+E898+F898+G898+H898</f>
        <v/>
      </c>
    </row>
    <row r="899" ht="18" customHeight="1">
      <c r="A899" s="3" t="inlineStr">
        <is>
          <t>研發中心</t>
        </is>
      </c>
      <c r="B899" s="4" t="n">
        <v>102</v>
      </c>
      <c r="C899" s="8">
        <f>I898</f>
        <v/>
      </c>
      <c r="D899" s="4">
        <f>SUMIFS('01_異動主檔'!$F:$F,'01_異動主檔'!$B:$B,102,'01_異動主檔'!$D:$D,A899,'01_異動主檔'!$E:$E,"移入")</f>
        <v/>
      </c>
      <c r="E899" s="4">
        <f>-SUMIFS('01_異動主檔'!$F:$F,'01_異動主檔'!$B:$B,102,'01_異動主檔'!$D:$D,A899,'01_異動主檔'!$E:$E,"移出")</f>
        <v/>
      </c>
      <c r="F899" s="4">
        <f>SUMIFS('01_異動主檔'!$F:$F,'01_異動主檔'!$B:$B,102,'01_異動主檔'!$D:$D,A899,'01_異動主檔'!$E:$E,"新增")</f>
        <v/>
      </c>
      <c r="G899" s="4">
        <f>-SUMIFS('01_異動主檔'!$F:$F,'01_異動主檔'!$B:$B,102,'01_異動主檔'!$D:$D,A899,'01_異動主檔'!$E:$E,"減列")</f>
        <v/>
      </c>
      <c r="H899" s="4">
        <f>-SUMIFS('01_異動主檔'!$F:$F,'01_異動主檔'!$B:$B,102,'01_異動主檔'!$D:$D,A899,'01_異動主檔'!$E:$E,"精簡")</f>
        <v/>
      </c>
      <c r="I899" s="8">
        <f>C899+D899+E899+F899+G899+H899</f>
        <v/>
      </c>
    </row>
    <row r="900" ht="18" customHeight="1">
      <c r="A900" s="5" t="inlineStr">
        <is>
          <t>研發中心</t>
        </is>
      </c>
      <c r="B900" s="6" t="n">
        <v>103</v>
      </c>
      <c r="C900" s="8">
        <f>I899</f>
        <v/>
      </c>
      <c r="D900" s="4">
        <f>SUMIFS('01_異動主檔'!$F:$F,'01_異動主檔'!$B:$B,103,'01_異動主檔'!$D:$D,A900,'01_異動主檔'!$E:$E,"移入")</f>
        <v/>
      </c>
      <c r="E900" s="4">
        <f>-SUMIFS('01_異動主檔'!$F:$F,'01_異動主檔'!$B:$B,103,'01_異動主檔'!$D:$D,A900,'01_異動主檔'!$E:$E,"移出")</f>
        <v/>
      </c>
      <c r="F900" s="4">
        <f>SUMIFS('01_異動主檔'!$F:$F,'01_異動主檔'!$B:$B,103,'01_異動主檔'!$D:$D,A900,'01_異動主檔'!$E:$E,"新增")</f>
        <v/>
      </c>
      <c r="G900" s="4">
        <f>-SUMIFS('01_異動主檔'!$F:$F,'01_異動主檔'!$B:$B,103,'01_異動主檔'!$D:$D,A900,'01_異動主檔'!$E:$E,"減列")</f>
        <v/>
      </c>
      <c r="H900" s="4">
        <f>-SUMIFS('01_異動主檔'!$F:$F,'01_異動主檔'!$B:$B,103,'01_異動主檔'!$D:$D,A900,'01_異動主檔'!$E:$E,"精簡")</f>
        <v/>
      </c>
      <c r="I900" s="8">
        <f>C900+D900+E900+F900+G900+H900</f>
        <v/>
      </c>
    </row>
    <row r="901" ht="18" customHeight="1">
      <c r="A901" s="3" t="inlineStr">
        <is>
          <t>研發中心</t>
        </is>
      </c>
      <c r="B901" s="4" t="n">
        <v>104</v>
      </c>
      <c r="C901" s="8">
        <f>I900</f>
        <v/>
      </c>
      <c r="D901" s="4">
        <f>SUMIFS('01_異動主檔'!$F:$F,'01_異動主檔'!$B:$B,104,'01_異動主檔'!$D:$D,A901,'01_異動主檔'!$E:$E,"移入")</f>
        <v/>
      </c>
      <c r="E901" s="4">
        <f>-SUMIFS('01_異動主檔'!$F:$F,'01_異動主檔'!$B:$B,104,'01_異動主檔'!$D:$D,A901,'01_異動主檔'!$E:$E,"移出")</f>
        <v/>
      </c>
      <c r="F901" s="4">
        <f>SUMIFS('01_異動主檔'!$F:$F,'01_異動主檔'!$B:$B,104,'01_異動主檔'!$D:$D,A901,'01_異動主檔'!$E:$E,"新增")</f>
        <v/>
      </c>
      <c r="G901" s="4">
        <f>-SUMIFS('01_異動主檔'!$F:$F,'01_異動主檔'!$B:$B,104,'01_異動主檔'!$D:$D,A901,'01_異動主檔'!$E:$E,"減列")</f>
        <v/>
      </c>
      <c r="H901" s="4">
        <f>-SUMIFS('01_異動主檔'!$F:$F,'01_異動主檔'!$B:$B,104,'01_異動主檔'!$D:$D,A901,'01_異動主檔'!$E:$E,"精簡")</f>
        <v/>
      </c>
      <c r="I901" s="8">
        <f>C901+D901+E901+F901+G901+H901</f>
        <v/>
      </c>
    </row>
    <row r="902" ht="18" customHeight="1">
      <c r="A902" s="5" t="inlineStr">
        <is>
          <t>研發中心</t>
        </is>
      </c>
      <c r="B902" s="6" t="n">
        <v>105</v>
      </c>
      <c r="C902" s="8">
        <f>I901</f>
        <v/>
      </c>
      <c r="D902" s="4">
        <f>SUMIFS('01_異動主檔'!$F:$F,'01_異動主檔'!$B:$B,105,'01_異動主檔'!$D:$D,A902,'01_異動主檔'!$E:$E,"移入")</f>
        <v/>
      </c>
      <c r="E902" s="4">
        <f>-SUMIFS('01_異動主檔'!$F:$F,'01_異動主檔'!$B:$B,105,'01_異動主檔'!$D:$D,A902,'01_異動主檔'!$E:$E,"移出")</f>
        <v/>
      </c>
      <c r="F902" s="4">
        <f>SUMIFS('01_異動主檔'!$F:$F,'01_異動主檔'!$B:$B,105,'01_異動主檔'!$D:$D,A902,'01_異動主檔'!$E:$E,"新增")</f>
        <v/>
      </c>
      <c r="G902" s="4">
        <f>-SUMIFS('01_異動主檔'!$F:$F,'01_異動主檔'!$B:$B,105,'01_異動主檔'!$D:$D,A902,'01_異動主檔'!$E:$E,"減列")</f>
        <v/>
      </c>
      <c r="H902" s="4">
        <f>-SUMIFS('01_異動主檔'!$F:$F,'01_異動主檔'!$B:$B,105,'01_異動主檔'!$D:$D,A902,'01_異動主檔'!$E:$E,"精簡")</f>
        <v/>
      </c>
      <c r="I902" s="8">
        <f>C902+D902+E902+F902+G902+H902</f>
        <v/>
      </c>
    </row>
    <row r="903" ht="18" customHeight="1">
      <c r="A903" s="3" t="inlineStr">
        <is>
          <t>研發中心</t>
        </is>
      </c>
      <c r="B903" s="4" t="n">
        <v>106</v>
      </c>
      <c r="C903" s="8">
        <f>I902</f>
        <v/>
      </c>
      <c r="D903" s="4">
        <f>SUMIFS('01_異動主檔'!$F:$F,'01_異動主檔'!$B:$B,106,'01_異動主檔'!$D:$D,A903,'01_異動主檔'!$E:$E,"移入")</f>
        <v/>
      </c>
      <c r="E903" s="4">
        <f>-SUMIFS('01_異動主檔'!$F:$F,'01_異動主檔'!$B:$B,106,'01_異動主檔'!$D:$D,A903,'01_異動主檔'!$E:$E,"移出")</f>
        <v/>
      </c>
      <c r="F903" s="4">
        <f>SUMIFS('01_異動主檔'!$F:$F,'01_異動主檔'!$B:$B,106,'01_異動主檔'!$D:$D,A903,'01_異動主檔'!$E:$E,"新增")</f>
        <v/>
      </c>
      <c r="G903" s="4">
        <f>-SUMIFS('01_異動主檔'!$F:$F,'01_異動主檔'!$B:$B,106,'01_異動主檔'!$D:$D,A903,'01_異動主檔'!$E:$E,"減列")</f>
        <v/>
      </c>
      <c r="H903" s="4">
        <f>-SUMIFS('01_異動主檔'!$F:$F,'01_異動主檔'!$B:$B,106,'01_異動主檔'!$D:$D,A903,'01_異動主檔'!$E:$E,"精簡")</f>
        <v/>
      </c>
      <c r="I903" s="8">
        <f>C903+D903+E903+F903+G903+H903</f>
        <v/>
      </c>
    </row>
    <row r="904" ht="18" customHeight="1">
      <c r="A904" s="5" t="inlineStr">
        <is>
          <t>研發中心</t>
        </is>
      </c>
      <c r="B904" s="6" t="n">
        <v>107</v>
      </c>
      <c r="C904" s="8">
        <f>I903</f>
        <v/>
      </c>
      <c r="D904" s="4">
        <f>SUMIFS('01_異動主檔'!$F:$F,'01_異動主檔'!$B:$B,107,'01_異動主檔'!$D:$D,A904,'01_異動主檔'!$E:$E,"移入")</f>
        <v/>
      </c>
      <c r="E904" s="4">
        <f>-SUMIFS('01_異動主檔'!$F:$F,'01_異動主檔'!$B:$B,107,'01_異動主檔'!$D:$D,A904,'01_異動主檔'!$E:$E,"移出")</f>
        <v/>
      </c>
      <c r="F904" s="4">
        <f>SUMIFS('01_異動主檔'!$F:$F,'01_異動主檔'!$B:$B,107,'01_異動主檔'!$D:$D,A904,'01_異動主檔'!$E:$E,"新增")</f>
        <v/>
      </c>
      <c r="G904" s="4">
        <f>-SUMIFS('01_異動主檔'!$F:$F,'01_異動主檔'!$B:$B,107,'01_異動主檔'!$D:$D,A904,'01_異動主檔'!$E:$E,"減列")</f>
        <v/>
      </c>
      <c r="H904" s="4">
        <f>-SUMIFS('01_異動主檔'!$F:$F,'01_異動主檔'!$B:$B,107,'01_異動主檔'!$D:$D,A904,'01_異動主檔'!$E:$E,"精簡")</f>
        <v/>
      </c>
      <c r="I904" s="8">
        <f>C904+D904+E904+F904+G904+H904</f>
        <v/>
      </c>
    </row>
    <row r="905" ht="18" customHeight="1">
      <c r="A905" s="3" t="inlineStr">
        <is>
          <t>研發中心</t>
        </is>
      </c>
      <c r="B905" s="4" t="n">
        <v>108</v>
      </c>
      <c r="C905" s="8">
        <f>I904</f>
        <v/>
      </c>
      <c r="D905" s="4">
        <f>SUMIFS('01_異動主檔'!$F:$F,'01_異動主檔'!$B:$B,108,'01_異動主檔'!$D:$D,A905,'01_異動主檔'!$E:$E,"移入")</f>
        <v/>
      </c>
      <c r="E905" s="4">
        <f>-SUMIFS('01_異動主檔'!$F:$F,'01_異動主檔'!$B:$B,108,'01_異動主檔'!$D:$D,A905,'01_異動主檔'!$E:$E,"移出")</f>
        <v/>
      </c>
      <c r="F905" s="4">
        <f>SUMIFS('01_異動主檔'!$F:$F,'01_異動主檔'!$B:$B,108,'01_異動主檔'!$D:$D,A905,'01_異動主檔'!$E:$E,"新增")</f>
        <v/>
      </c>
      <c r="G905" s="4">
        <f>-SUMIFS('01_異動主檔'!$F:$F,'01_異動主檔'!$B:$B,108,'01_異動主檔'!$D:$D,A905,'01_異動主檔'!$E:$E,"減列")</f>
        <v/>
      </c>
      <c r="H905" s="4">
        <f>-SUMIFS('01_異動主檔'!$F:$F,'01_異動主檔'!$B:$B,108,'01_異動主檔'!$D:$D,A905,'01_異動主檔'!$E:$E,"精簡")</f>
        <v/>
      </c>
      <c r="I905" s="8">
        <f>C905+D905+E905+F905+G905+H905</f>
        <v/>
      </c>
    </row>
    <row r="906" ht="18" customHeight="1">
      <c r="A906" s="5" t="inlineStr">
        <is>
          <t>研發中心</t>
        </is>
      </c>
      <c r="B906" s="6" t="n">
        <v>109</v>
      </c>
      <c r="C906" s="8">
        <f>I905</f>
        <v/>
      </c>
      <c r="D906" s="4">
        <f>SUMIFS('01_異動主檔'!$F:$F,'01_異動主檔'!$B:$B,109,'01_異動主檔'!$D:$D,A906,'01_異動主檔'!$E:$E,"移入")</f>
        <v/>
      </c>
      <c r="E906" s="4">
        <f>-SUMIFS('01_異動主檔'!$F:$F,'01_異動主檔'!$B:$B,109,'01_異動主檔'!$D:$D,A906,'01_異動主檔'!$E:$E,"移出")</f>
        <v/>
      </c>
      <c r="F906" s="4">
        <f>SUMIFS('01_異動主檔'!$F:$F,'01_異動主檔'!$B:$B,109,'01_異動主檔'!$D:$D,A906,'01_異動主檔'!$E:$E,"新增")</f>
        <v/>
      </c>
      <c r="G906" s="4">
        <f>-SUMIFS('01_異動主檔'!$F:$F,'01_異動主檔'!$B:$B,109,'01_異動主檔'!$D:$D,A906,'01_異動主檔'!$E:$E,"減列")</f>
        <v/>
      </c>
      <c r="H906" s="4">
        <f>-SUMIFS('01_異動主檔'!$F:$F,'01_異動主檔'!$B:$B,109,'01_異動主檔'!$D:$D,A906,'01_異動主檔'!$E:$E,"精簡")</f>
        <v/>
      </c>
      <c r="I906" s="8">
        <f>C906+D906+E906+F906+G906+H906</f>
        <v/>
      </c>
    </row>
    <row r="907" ht="18" customHeight="1">
      <c r="A907" s="3" t="inlineStr">
        <is>
          <t>研發中心</t>
        </is>
      </c>
      <c r="B907" s="4" t="n">
        <v>110</v>
      </c>
      <c r="C907" s="8">
        <f>I906</f>
        <v/>
      </c>
      <c r="D907" s="4">
        <f>SUMIFS('01_異動主檔'!$F:$F,'01_異動主檔'!$B:$B,110,'01_異動主檔'!$D:$D,A907,'01_異動主檔'!$E:$E,"移入")</f>
        <v/>
      </c>
      <c r="E907" s="4">
        <f>-SUMIFS('01_異動主檔'!$F:$F,'01_異動主檔'!$B:$B,110,'01_異動主檔'!$D:$D,A907,'01_異動主檔'!$E:$E,"移出")</f>
        <v/>
      </c>
      <c r="F907" s="4">
        <f>SUMIFS('01_異動主檔'!$F:$F,'01_異動主檔'!$B:$B,110,'01_異動主檔'!$D:$D,A907,'01_異動主檔'!$E:$E,"新增")</f>
        <v/>
      </c>
      <c r="G907" s="4">
        <f>-SUMIFS('01_異動主檔'!$F:$F,'01_異動主檔'!$B:$B,110,'01_異動主檔'!$D:$D,A907,'01_異動主檔'!$E:$E,"減列")</f>
        <v/>
      </c>
      <c r="H907" s="4">
        <f>-SUMIFS('01_異動主檔'!$F:$F,'01_異動主檔'!$B:$B,110,'01_異動主檔'!$D:$D,A907,'01_異動主檔'!$E:$E,"精簡")</f>
        <v/>
      </c>
      <c r="I907" s="8">
        <f>C907+D907+E907+F907+G907+H907</f>
        <v/>
      </c>
    </row>
    <row r="908" ht="18" customHeight="1">
      <c r="A908" s="5" t="inlineStr">
        <is>
          <t>研發中心</t>
        </is>
      </c>
      <c r="B908" s="6" t="n">
        <v>111</v>
      </c>
      <c r="C908" s="8">
        <f>I907</f>
        <v/>
      </c>
      <c r="D908" s="4">
        <f>SUMIFS('01_異動主檔'!$F:$F,'01_異動主檔'!$B:$B,111,'01_異動主檔'!$D:$D,A908,'01_異動主檔'!$E:$E,"移入")</f>
        <v/>
      </c>
      <c r="E908" s="4">
        <f>-SUMIFS('01_異動主檔'!$F:$F,'01_異動主檔'!$B:$B,111,'01_異動主檔'!$D:$D,A908,'01_異動主檔'!$E:$E,"移出")</f>
        <v/>
      </c>
      <c r="F908" s="4">
        <f>SUMIFS('01_異動主檔'!$F:$F,'01_異動主檔'!$B:$B,111,'01_異動主檔'!$D:$D,A908,'01_異動主檔'!$E:$E,"新增")</f>
        <v/>
      </c>
      <c r="G908" s="4">
        <f>-SUMIFS('01_異動主檔'!$F:$F,'01_異動主檔'!$B:$B,111,'01_異動主檔'!$D:$D,A908,'01_異動主檔'!$E:$E,"減列")</f>
        <v/>
      </c>
      <c r="H908" s="4">
        <f>-SUMIFS('01_異動主檔'!$F:$F,'01_異動主檔'!$B:$B,111,'01_異動主檔'!$D:$D,A908,'01_異動主檔'!$E:$E,"精簡")</f>
        <v/>
      </c>
      <c r="I908" s="8">
        <f>C908+D908+E908+F908+G908+H908</f>
        <v/>
      </c>
    </row>
    <row r="909" ht="18" customHeight="1">
      <c r="A909" s="3" t="inlineStr">
        <is>
          <t>研發中心</t>
        </is>
      </c>
      <c r="B909" s="4" t="n">
        <v>112</v>
      </c>
      <c r="C909" s="8">
        <f>I908</f>
        <v/>
      </c>
      <c r="D909" s="4">
        <f>SUMIFS('01_異動主檔'!$F:$F,'01_異動主檔'!$B:$B,112,'01_異動主檔'!$D:$D,A909,'01_異動主檔'!$E:$E,"移入")</f>
        <v/>
      </c>
      <c r="E909" s="4">
        <f>-SUMIFS('01_異動主檔'!$F:$F,'01_異動主檔'!$B:$B,112,'01_異動主檔'!$D:$D,A909,'01_異動主檔'!$E:$E,"移出")</f>
        <v/>
      </c>
      <c r="F909" s="4">
        <f>SUMIFS('01_異動主檔'!$F:$F,'01_異動主檔'!$B:$B,112,'01_異動主檔'!$D:$D,A909,'01_異動主檔'!$E:$E,"新增")</f>
        <v/>
      </c>
      <c r="G909" s="4">
        <f>-SUMIFS('01_異動主檔'!$F:$F,'01_異動主檔'!$B:$B,112,'01_異動主檔'!$D:$D,A909,'01_異動主檔'!$E:$E,"減列")</f>
        <v/>
      </c>
      <c r="H909" s="4">
        <f>-SUMIFS('01_異動主檔'!$F:$F,'01_異動主檔'!$B:$B,112,'01_異動主檔'!$D:$D,A909,'01_異動主檔'!$E:$E,"精簡")</f>
        <v/>
      </c>
      <c r="I909" s="8">
        <f>C909+D909+E909+F909+G909+H909</f>
        <v/>
      </c>
    </row>
    <row r="910" ht="18" customHeight="1">
      <c r="A910" s="5" t="inlineStr">
        <is>
          <t>研發中心</t>
        </is>
      </c>
      <c r="B910" s="6" t="n">
        <v>113</v>
      </c>
      <c r="C910" s="8">
        <f>I909</f>
        <v/>
      </c>
      <c r="D910" s="4">
        <f>SUMIFS('01_異動主檔'!$F:$F,'01_異動主檔'!$B:$B,113,'01_異動主檔'!$D:$D,A910,'01_異動主檔'!$E:$E,"移入")</f>
        <v/>
      </c>
      <c r="E910" s="4">
        <f>-SUMIFS('01_異動主檔'!$F:$F,'01_異動主檔'!$B:$B,113,'01_異動主檔'!$D:$D,A910,'01_異動主檔'!$E:$E,"移出")</f>
        <v/>
      </c>
      <c r="F910" s="4">
        <f>SUMIFS('01_異動主檔'!$F:$F,'01_異動主檔'!$B:$B,113,'01_異動主檔'!$D:$D,A910,'01_異動主檔'!$E:$E,"新增")</f>
        <v/>
      </c>
      <c r="G910" s="4">
        <f>-SUMIFS('01_異動主檔'!$F:$F,'01_異動主檔'!$B:$B,113,'01_異動主檔'!$D:$D,A910,'01_異動主檔'!$E:$E,"減列")</f>
        <v/>
      </c>
      <c r="H910" s="4">
        <f>-SUMIFS('01_異動主檔'!$F:$F,'01_異動主檔'!$B:$B,113,'01_異動主檔'!$D:$D,A910,'01_異動主檔'!$E:$E,"精簡")</f>
        <v/>
      </c>
      <c r="I910" s="8">
        <f>C910+D910+E910+F910+G910+H910</f>
        <v/>
      </c>
    </row>
    <row r="911" ht="18" customHeight="1">
      <c r="A911" s="3" t="inlineStr">
        <is>
          <t>研發中心</t>
        </is>
      </c>
      <c r="B911" s="4" t="n">
        <v>114</v>
      </c>
      <c r="C911" s="8">
        <f>I910</f>
        <v/>
      </c>
      <c r="D911" s="4">
        <f>SUMIFS('01_異動主檔'!$F:$F,'01_異動主檔'!$B:$B,114,'01_異動主檔'!$D:$D,A911,'01_異動主檔'!$E:$E,"移入")</f>
        <v/>
      </c>
      <c r="E911" s="4">
        <f>-SUMIFS('01_異動主檔'!$F:$F,'01_異動主檔'!$B:$B,114,'01_異動主檔'!$D:$D,A911,'01_異動主檔'!$E:$E,"移出")</f>
        <v/>
      </c>
      <c r="F911" s="4">
        <f>SUMIFS('01_異動主檔'!$F:$F,'01_異動主檔'!$B:$B,114,'01_異動主檔'!$D:$D,A911,'01_異動主檔'!$E:$E,"新增")</f>
        <v/>
      </c>
      <c r="G911" s="4">
        <f>-SUMIFS('01_異動主檔'!$F:$F,'01_異動主檔'!$B:$B,114,'01_異動主檔'!$D:$D,A911,'01_異動主檔'!$E:$E,"減列")</f>
        <v/>
      </c>
      <c r="H911" s="4">
        <f>-SUMIFS('01_異動主檔'!$F:$F,'01_異動主檔'!$B:$B,114,'01_異動主檔'!$D:$D,A911,'01_異動主檔'!$E:$E,"精簡")</f>
        <v/>
      </c>
      <c r="I911" s="8">
        <f>C911+D911+E911+F911+G911+H911</f>
        <v/>
      </c>
    </row>
    <row r="912" ht="18" customHeight="1">
      <c r="A912" s="5" t="inlineStr">
        <is>
          <t>研發中心</t>
        </is>
      </c>
      <c r="B912" s="6" t="n">
        <v>115</v>
      </c>
      <c r="C912" s="8">
        <f>I911</f>
        <v/>
      </c>
      <c r="D912" s="4">
        <f>SUMIFS('01_異動主檔'!$F:$F,'01_異動主檔'!$B:$B,115,'01_異動主檔'!$D:$D,A912,'01_異動主檔'!$E:$E,"移入")</f>
        <v/>
      </c>
      <c r="E912" s="4">
        <f>-SUMIFS('01_異動主檔'!$F:$F,'01_異動主檔'!$B:$B,115,'01_異動主檔'!$D:$D,A912,'01_異動主檔'!$E:$E,"移出")</f>
        <v/>
      </c>
      <c r="F912" s="4">
        <f>SUMIFS('01_異動主檔'!$F:$F,'01_異動主檔'!$B:$B,115,'01_異動主檔'!$D:$D,A912,'01_異動主檔'!$E:$E,"新增")</f>
        <v/>
      </c>
      <c r="G912" s="4">
        <f>-SUMIFS('01_異動主檔'!$F:$F,'01_異動主檔'!$B:$B,115,'01_異動主檔'!$D:$D,A912,'01_異動主檔'!$E:$E,"減列")</f>
        <v/>
      </c>
      <c r="H912" s="4">
        <f>-SUMIFS('01_異動主檔'!$F:$F,'01_異動主檔'!$B:$B,115,'01_異動主檔'!$D:$D,A912,'01_異動主檔'!$E:$E,"精簡")</f>
        <v/>
      </c>
      <c r="I912" s="8">
        <f>C912+D912+E912+F912+G912+H912</f>
        <v/>
      </c>
    </row>
    <row r="913" ht="18" customHeight="1">
      <c r="A913" s="3" t="inlineStr">
        <is>
          <t>研發中心</t>
        </is>
      </c>
      <c r="B913" s="4" t="n">
        <v>116</v>
      </c>
      <c r="C913" s="8">
        <f>I912</f>
        <v/>
      </c>
      <c r="D913" s="4">
        <f>SUMIFS('01_異動主檔'!$F:$F,'01_異動主檔'!$B:$B,116,'01_異動主檔'!$D:$D,A913,'01_異動主檔'!$E:$E,"移入")</f>
        <v/>
      </c>
      <c r="E913" s="4">
        <f>-SUMIFS('01_異動主檔'!$F:$F,'01_異動主檔'!$B:$B,116,'01_異動主檔'!$D:$D,A913,'01_異動主檔'!$E:$E,"移出")</f>
        <v/>
      </c>
      <c r="F913" s="4">
        <f>SUMIFS('01_異動主檔'!$F:$F,'01_異動主檔'!$B:$B,116,'01_異動主檔'!$D:$D,A913,'01_異動主檔'!$E:$E,"新增")</f>
        <v/>
      </c>
      <c r="G913" s="4">
        <f>-SUMIFS('01_異動主檔'!$F:$F,'01_異動主檔'!$B:$B,116,'01_異動主檔'!$D:$D,A913,'01_異動主檔'!$E:$E,"減列")</f>
        <v/>
      </c>
      <c r="H913" s="4">
        <f>-SUMIFS('01_異動主檔'!$F:$F,'01_異動主檔'!$B:$B,116,'01_異動主檔'!$D:$D,A913,'01_異動主檔'!$E:$E,"精簡")</f>
        <v/>
      </c>
      <c r="I913" s="8">
        <f>C913+D913+E913+F913+G913+H913</f>
        <v/>
      </c>
    </row>
    <row r="914" ht="18" customHeight="1">
      <c r="A914" s="5" t="inlineStr">
        <is>
          <t>研發中心</t>
        </is>
      </c>
      <c r="B914" s="6" t="n">
        <v>117</v>
      </c>
      <c r="C914" s="8">
        <f>I913</f>
        <v/>
      </c>
      <c r="D914" s="4">
        <f>SUMIFS('01_異動主檔'!$F:$F,'01_異動主檔'!$B:$B,117,'01_異動主檔'!$D:$D,A914,'01_異動主檔'!$E:$E,"移入")</f>
        <v/>
      </c>
      <c r="E914" s="4">
        <f>-SUMIFS('01_異動主檔'!$F:$F,'01_異動主檔'!$B:$B,117,'01_異動主檔'!$D:$D,A914,'01_異動主檔'!$E:$E,"移出")</f>
        <v/>
      </c>
      <c r="F914" s="4">
        <f>SUMIFS('01_異動主檔'!$F:$F,'01_異動主檔'!$B:$B,117,'01_異動主檔'!$D:$D,A914,'01_異動主檔'!$E:$E,"新增")</f>
        <v/>
      </c>
      <c r="G914" s="4">
        <f>-SUMIFS('01_異動主檔'!$F:$F,'01_異動主檔'!$B:$B,117,'01_異動主檔'!$D:$D,A914,'01_異動主檔'!$E:$E,"減列")</f>
        <v/>
      </c>
      <c r="H914" s="4">
        <f>-SUMIFS('01_異動主檔'!$F:$F,'01_異動主檔'!$B:$B,117,'01_異動主檔'!$D:$D,A914,'01_異動主檔'!$E:$E,"精簡")</f>
        <v/>
      </c>
      <c r="I914" s="8">
        <f>C914+D914+E914+F914+G914+H914</f>
        <v/>
      </c>
    </row>
    <row r="915" ht="18" customHeight="1">
      <c r="A915" s="3" t="inlineStr">
        <is>
          <t>研發中心</t>
        </is>
      </c>
      <c r="B915" s="4" t="n">
        <v>118</v>
      </c>
      <c r="C915" s="8">
        <f>I914</f>
        <v/>
      </c>
      <c r="D915" s="4">
        <f>SUMIFS('01_異動主檔'!$F:$F,'01_異動主檔'!$B:$B,118,'01_異動主檔'!$D:$D,A915,'01_異動主檔'!$E:$E,"移入")</f>
        <v/>
      </c>
      <c r="E915" s="4">
        <f>-SUMIFS('01_異動主檔'!$F:$F,'01_異動主檔'!$B:$B,118,'01_異動主檔'!$D:$D,A915,'01_異動主檔'!$E:$E,"移出")</f>
        <v/>
      </c>
      <c r="F915" s="4">
        <f>SUMIFS('01_異動主檔'!$F:$F,'01_異動主檔'!$B:$B,118,'01_異動主檔'!$D:$D,A915,'01_異動主檔'!$E:$E,"新增")</f>
        <v/>
      </c>
      <c r="G915" s="4">
        <f>-SUMIFS('01_異動主檔'!$F:$F,'01_異動主檔'!$B:$B,118,'01_異動主檔'!$D:$D,A915,'01_異動主檔'!$E:$E,"減列")</f>
        <v/>
      </c>
      <c r="H915" s="4">
        <f>-SUMIFS('01_異動主檔'!$F:$F,'01_異動主檔'!$B:$B,118,'01_異動主檔'!$D:$D,A915,'01_異動主檔'!$E:$E,"精簡")</f>
        <v/>
      </c>
      <c r="I915" s="8">
        <f>C915+D915+E915+F915+G915+H915</f>
        <v/>
      </c>
    </row>
    <row r="916" ht="18" customHeight="1">
      <c r="A916" s="5" t="inlineStr">
        <is>
          <t>研發中心</t>
        </is>
      </c>
      <c r="B916" s="6" t="n">
        <v>119</v>
      </c>
      <c r="C916" s="8">
        <f>I915</f>
        <v/>
      </c>
      <c r="D916" s="4">
        <f>SUMIFS('01_異動主檔'!$F:$F,'01_異動主檔'!$B:$B,119,'01_異動主檔'!$D:$D,A916,'01_異動主檔'!$E:$E,"移入")</f>
        <v/>
      </c>
      <c r="E916" s="4">
        <f>-SUMIFS('01_異動主檔'!$F:$F,'01_異動主檔'!$B:$B,119,'01_異動主檔'!$D:$D,A916,'01_異動主檔'!$E:$E,"移出")</f>
        <v/>
      </c>
      <c r="F916" s="4">
        <f>SUMIFS('01_異動主檔'!$F:$F,'01_異動主檔'!$B:$B,119,'01_異動主檔'!$D:$D,A916,'01_異動主檔'!$E:$E,"新增")</f>
        <v/>
      </c>
      <c r="G916" s="4">
        <f>-SUMIFS('01_異動主檔'!$F:$F,'01_異動主檔'!$B:$B,119,'01_異動主檔'!$D:$D,A916,'01_異動主檔'!$E:$E,"減列")</f>
        <v/>
      </c>
      <c r="H916" s="4">
        <f>-SUMIFS('01_異動主檔'!$F:$F,'01_異動主檔'!$B:$B,119,'01_異動主檔'!$D:$D,A916,'01_異動主檔'!$E:$E,"精簡")</f>
        <v/>
      </c>
      <c r="I916" s="8">
        <f>C916+D916+E916+F916+G916+H916</f>
        <v/>
      </c>
    </row>
    <row r="917" ht="18" customHeight="1">
      <c r="A917" s="3" t="inlineStr">
        <is>
          <t>研發中心</t>
        </is>
      </c>
      <c r="B917" s="4" t="n">
        <v>120</v>
      </c>
      <c r="C917" s="8">
        <f>I916</f>
        <v/>
      </c>
      <c r="D917" s="4">
        <f>SUMIFS('01_異動主檔'!$F:$F,'01_異動主檔'!$B:$B,120,'01_異動主檔'!$D:$D,A917,'01_異動主檔'!$E:$E,"移入")</f>
        <v/>
      </c>
      <c r="E917" s="4">
        <f>-SUMIFS('01_異動主檔'!$F:$F,'01_異動主檔'!$B:$B,120,'01_異動主檔'!$D:$D,A917,'01_異動主檔'!$E:$E,"移出")</f>
        <v/>
      </c>
      <c r="F917" s="4">
        <f>SUMIFS('01_異動主檔'!$F:$F,'01_異動主檔'!$B:$B,120,'01_異動主檔'!$D:$D,A917,'01_異動主檔'!$E:$E,"新增")</f>
        <v/>
      </c>
      <c r="G917" s="4">
        <f>-SUMIFS('01_異動主檔'!$F:$F,'01_異動主檔'!$B:$B,120,'01_異動主檔'!$D:$D,A917,'01_異動主檔'!$E:$E,"減列")</f>
        <v/>
      </c>
      <c r="H917" s="4">
        <f>-SUMIFS('01_異動主檔'!$F:$F,'01_異動主檔'!$B:$B,120,'01_異動主檔'!$D:$D,A917,'01_異動主檔'!$E:$E,"精簡")</f>
        <v/>
      </c>
      <c r="I917" s="8">
        <f>C917+D917+E917+F917+G917+H917</f>
        <v/>
      </c>
    </row>
    <row r="918" ht="18" customHeight="1">
      <c r="A918" s="5" t="inlineStr">
        <is>
          <t>研發中心</t>
        </is>
      </c>
      <c r="B918" s="6" t="n">
        <v>121</v>
      </c>
      <c r="C918" s="8">
        <f>I917</f>
        <v/>
      </c>
      <c r="D918" s="4">
        <f>SUMIFS('01_異動主檔'!$F:$F,'01_異動主檔'!$B:$B,121,'01_異動主檔'!$D:$D,A918,'01_異動主檔'!$E:$E,"移入")</f>
        <v/>
      </c>
      <c r="E918" s="4">
        <f>-SUMIFS('01_異動主檔'!$F:$F,'01_異動主檔'!$B:$B,121,'01_異動主檔'!$D:$D,A918,'01_異動主檔'!$E:$E,"移出")</f>
        <v/>
      </c>
      <c r="F918" s="4">
        <f>SUMIFS('01_異動主檔'!$F:$F,'01_異動主檔'!$B:$B,121,'01_異動主檔'!$D:$D,A918,'01_異動主檔'!$E:$E,"新增")</f>
        <v/>
      </c>
      <c r="G918" s="4">
        <f>-SUMIFS('01_異動主檔'!$F:$F,'01_異動主檔'!$B:$B,121,'01_異動主檔'!$D:$D,A918,'01_異動主檔'!$E:$E,"減列")</f>
        <v/>
      </c>
      <c r="H918" s="4">
        <f>-SUMIFS('01_異動主檔'!$F:$F,'01_異動主檔'!$B:$B,121,'01_異動主檔'!$D:$D,A918,'01_異動主檔'!$E:$E,"精簡")</f>
        <v/>
      </c>
      <c r="I918" s="8">
        <f>C918+D918+E918+F918+G918+H918</f>
        <v/>
      </c>
    </row>
    <row r="919" ht="18" customHeight="1">
      <c r="A919" s="3" t="inlineStr">
        <is>
          <t>研發中心</t>
        </is>
      </c>
      <c r="B919" s="4" t="n">
        <v>122</v>
      </c>
      <c r="C919" s="8">
        <f>I918</f>
        <v/>
      </c>
      <c r="D919" s="4">
        <f>SUMIFS('01_異動主檔'!$F:$F,'01_異動主檔'!$B:$B,122,'01_異動主檔'!$D:$D,A919,'01_異動主檔'!$E:$E,"移入")</f>
        <v/>
      </c>
      <c r="E919" s="4">
        <f>-SUMIFS('01_異動主檔'!$F:$F,'01_異動主檔'!$B:$B,122,'01_異動主檔'!$D:$D,A919,'01_異動主檔'!$E:$E,"移出")</f>
        <v/>
      </c>
      <c r="F919" s="4">
        <f>SUMIFS('01_異動主檔'!$F:$F,'01_異動主檔'!$B:$B,122,'01_異動主檔'!$D:$D,A919,'01_異動主檔'!$E:$E,"新增")</f>
        <v/>
      </c>
      <c r="G919" s="4">
        <f>-SUMIFS('01_異動主檔'!$F:$F,'01_異動主檔'!$B:$B,122,'01_異動主檔'!$D:$D,A919,'01_異動主檔'!$E:$E,"減列")</f>
        <v/>
      </c>
      <c r="H919" s="4">
        <f>-SUMIFS('01_異動主檔'!$F:$F,'01_異動主檔'!$B:$B,122,'01_異動主檔'!$D:$D,A919,'01_異動主檔'!$E:$E,"精簡")</f>
        <v/>
      </c>
      <c r="I919" s="8">
        <f>C919+D919+E919+F919+G919+H919</f>
        <v/>
      </c>
    </row>
    <row r="920" ht="18" customHeight="1">
      <c r="A920" s="5" t="inlineStr">
        <is>
          <t>研發中心</t>
        </is>
      </c>
      <c r="B920" s="6" t="n">
        <v>123</v>
      </c>
      <c r="C920" s="8">
        <f>I919</f>
        <v/>
      </c>
      <c r="D920" s="4">
        <f>SUMIFS('01_異動主檔'!$F:$F,'01_異動主檔'!$B:$B,123,'01_異動主檔'!$D:$D,A920,'01_異動主檔'!$E:$E,"移入")</f>
        <v/>
      </c>
      <c r="E920" s="4">
        <f>-SUMIFS('01_異動主檔'!$F:$F,'01_異動主檔'!$B:$B,123,'01_異動主檔'!$D:$D,A920,'01_異動主檔'!$E:$E,"移出")</f>
        <v/>
      </c>
      <c r="F920" s="4">
        <f>SUMIFS('01_異動主檔'!$F:$F,'01_異動主檔'!$B:$B,123,'01_異動主檔'!$D:$D,A920,'01_異動主檔'!$E:$E,"新增")</f>
        <v/>
      </c>
      <c r="G920" s="4">
        <f>-SUMIFS('01_異動主檔'!$F:$F,'01_異動主檔'!$B:$B,123,'01_異動主檔'!$D:$D,A920,'01_異動主檔'!$E:$E,"減列")</f>
        <v/>
      </c>
      <c r="H920" s="4">
        <f>-SUMIFS('01_異動主檔'!$F:$F,'01_異動主檔'!$B:$B,123,'01_異動主檔'!$D:$D,A920,'01_異動主檔'!$E:$E,"精簡")</f>
        <v/>
      </c>
      <c r="I920" s="8">
        <f>C920+D920+E920+F920+G920+H920</f>
        <v/>
      </c>
    </row>
    <row r="921" ht="18" customHeight="1">
      <c r="A921" s="3" t="inlineStr">
        <is>
          <t>研發中心</t>
        </is>
      </c>
      <c r="B921" s="4" t="n">
        <v>124</v>
      </c>
      <c r="C921" s="8">
        <f>I920</f>
        <v/>
      </c>
      <c r="D921" s="4">
        <f>SUMIFS('01_異動主檔'!$F:$F,'01_異動主檔'!$B:$B,124,'01_異動主檔'!$D:$D,A921,'01_異動主檔'!$E:$E,"移入")</f>
        <v/>
      </c>
      <c r="E921" s="4">
        <f>-SUMIFS('01_異動主檔'!$F:$F,'01_異動主檔'!$B:$B,124,'01_異動主檔'!$D:$D,A921,'01_異動主檔'!$E:$E,"移出")</f>
        <v/>
      </c>
      <c r="F921" s="4">
        <f>SUMIFS('01_異動主檔'!$F:$F,'01_異動主檔'!$B:$B,124,'01_異動主檔'!$D:$D,A921,'01_異動主檔'!$E:$E,"新增")</f>
        <v/>
      </c>
      <c r="G921" s="4">
        <f>-SUMIFS('01_異動主檔'!$F:$F,'01_異動主檔'!$B:$B,124,'01_異動主檔'!$D:$D,A921,'01_異動主檔'!$E:$E,"減列")</f>
        <v/>
      </c>
      <c r="H921" s="4">
        <f>-SUMIFS('01_異動主檔'!$F:$F,'01_異動主檔'!$B:$B,124,'01_異動主檔'!$D:$D,A921,'01_異動主檔'!$E:$E,"精簡")</f>
        <v/>
      </c>
      <c r="I921" s="8">
        <f>C921+D921+E921+F921+G921+H921</f>
        <v/>
      </c>
    </row>
    <row r="922" ht="18" customHeight="1">
      <c r="A922" s="5" t="inlineStr">
        <is>
          <t>研發中心</t>
        </is>
      </c>
      <c r="B922" s="6" t="n">
        <v>125</v>
      </c>
      <c r="C922" s="8">
        <f>I921</f>
        <v/>
      </c>
      <c r="D922" s="4">
        <f>SUMIFS('01_異動主檔'!$F:$F,'01_異動主檔'!$B:$B,125,'01_異動主檔'!$D:$D,A922,'01_異動主檔'!$E:$E,"移入")</f>
        <v/>
      </c>
      <c r="E922" s="4">
        <f>-SUMIFS('01_異動主檔'!$F:$F,'01_異動主檔'!$B:$B,125,'01_異動主檔'!$D:$D,A922,'01_異動主檔'!$E:$E,"移出")</f>
        <v/>
      </c>
      <c r="F922" s="4">
        <f>SUMIFS('01_異動主檔'!$F:$F,'01_異動主檔'!$B:$B,125,'01_異動主檔'!$D:$D,A922,'01_異動主檔'!$E:$E,"新增")</f>
        <v/>
      </c>
      <c r="G922" s="4">
        <f>-SUMIFS('01_異動主檔'!$F:$F,'01_異動主檔'!$B:$B,125,'01_異動主檔'!$D:$D,A922,'01_異動主檔'!$E:$E,"減列")</f>
        <v/>
      </c>
      <c r="H922" s="4">
        <f>-SUMIFS('01_異動主檔'!$F:$F,'01_異動主檔'!$B:$B,125,'01_異動主檔'!$D:$D,A922,'01_異動主檔'!$E:$E,"精簡")</f>
        <v/>
      </c>
      <c r="I922" s="8">
        <f>C922+D922+E922+F922+G922+H922</f>
        <v/>
      </c>
    </row>
    <row r="923" ht="18" customHeight="1">
      <c r="A923" s="3" t="inlineStr">
        <is>
          <t>服務中心</t>
        </is>
      </c>
      <c r="B923" s="4" t="n">
        <v>99</v>
      </c>
      <c r="C923" s="8">
        <f>'02_年初員額設定'!B39</f>
        <v/>
      </c>
      <c r="D923" s="4">
        <f>SUMIFS('01_異動主檔'!$F:$F,'01_異動主檔'!$B:$B,99,'01_異動主檔'!$D:$D,A923,'01_異動主檔'!$E:$E,"移入")</f>
        <v/>
      </c>
      <c r="E923" s="4">
        <f>-SUMIFS('01_異動主檔'!$F:$F,'01_異動主檔'!$B:$B,99,'01_異動主檔'!$D:$D,A923,'01_異動主檔'!$E:$E,"移出")</f>
        <v/>
      </c>
      <c r="F923" s="4">
        <f>SUMIFS('01_異動主檔'!$F:$F,'01_異動主檔'!$B:$B,99,'01_異動主檔'!$D:$D,A923,'01_異動主檔'!$E:$E,"新增")</f>
        <v/>
      </c>
      <c r="G923" s="4">
        <f>-SUMIFS('01_異動主檔'!$F:$F,'01_異動主檔'!$B:$B,99,'01_異動主檔'!$D:$D,A923,'01_異動主檔'!$E:$E,"減列")</f>
        <v/>
      </c>
      <c r="H923" s="4">
        <f>-SUMIFS('01_異動主檔'!$F:$F,'01_異動主檔'!$B:$B,99,'01_異動主檔'!$D:$D,A923,'01_異動主檔'!$E:$E,"精簡")</f>
        <v/>
      </c>
      <c r="I923" s="8">
        <f>C923+D923+E923+F923+G923+H923</f>
        <v/>
      </c>
    </row>
    <row r="924" ht="18" customHeight="1">
      <c r="A924" s="5" t="inlineStr">
        <is>
          <t>服務中心</t>
        </is>
      </c>
      <c r="B924" s="6" t="n">
        <v>100</v>
      </c>
      <c r="C924" s="8">
        <f>I923</f>
        <v/>
      </c>
      <c r="D924" s="4">
        <f>SUMIFS('01_異動主檔'!$F:$F,'01_異動主檔'!$B:$B,100,'01_異動主檔'!$D:$D,A924,'01_異動主檔'!$E:$E,"移入")</f>
        <v/>
      </c>
      <c r="E924" s="4">
        <f>-SUMIFS('01_異動主檔'!$F:$F,'01_異動主檔'!$B:$B,100,'01_異動主檔'!$D:$D,A924,'01_異動主檔'!$E:$E,"移出")</f>
        <v/>
      </c>
      <c r="F924" s="4">
        <f>SUMIFS('01_異動主檔'!$F:$F,'01_異動主檔'!$B:$B,100,'01_異動主檔'!$D:$D,A924,'01_異動主檔'!$E:$E,"新增")</f>
        <v/>
      </c>
      <c r="G924" s="4">
        <f>-SUMIFS('01_異動主檔'!$F:$F,'01_異動主檔'!$B:$B,100,'01_異動主檔'!$D:$D,A924,'01_異動主檔'!$E:$E,"減列")</f>
        <v/>
      </c>
      <c r="H924" s="4">
        <f>-SUMIFS('01_異動主檔'!$F:$F,'01_異動主檔'!$B:$B,100,'01_異動主檔'!$D:$D,A924,'01_異動主檔'!$E:$E,"精簡")</f>
        <v/>
      </c>
      <c r="I924" s="8">
        <f>C924+D924+E924+F924+G924+H924</f>
        <v/>
      </c>
    </row>
    <row r="925" ht="18" customHeight="1">
      <c r="A925" s="3" t="inlineStr">
        <is>
          <t>服務中心</t>
        </is>
      </c>
      <c r="B925" s="4" t="n">
        <v>101</v>
      </c>
      <c r="C925" s="8">
        <f>I924</f>
        <v/>
      </c>
      <c r="D925" s="4">
        <f>SUMIFS('01_異動主檔'!$F:$F,'01_異動主檔'!$B:$B,101,'01_異動主檔'!$D:$D,A925,'01_異動主檔'!$E:$E,"移入")</f>
        <v/>
      </c>
      <c r="E925" s="4">
        <f>-SUMIFS('01_異動主檔'!$F:$F,'01_異動主檔'!$B:$B,101,'01_異動主檔'!$D:$D,A925,'01_異動主檔'!$E:$E,"移出")</f>
        <v/>
      </c>
      <c r="F925" s="4">
        <f>SUMIFS('01_異動主檔'!$F:$F,'01_異動主檔'!$B:$B,101,'01_異動主檔'!$D:$D,A925,'01_異動主檔'!$E:$E,"新增")</f>
        <v/>
      </c>
      <c r="G925" s="4">
        <f>-SUMIFS('01_異動主檔'!$F:$F,'01_異動主檔'!$B:$B,101,'01_異動主檔'!$D:$D,A925,'01_異動主檔'!$E:$E,"減列")</f>
        <v/>
      </c>
      <c r="H925" s="4">
        <f>-SUMIFS('01_異動主檔'!$F:$F,'01_異動主檔'!$B:$B,101,'01_異動主檔'!$D:$D,A925,'01_異動主檔'!$E:$E,"精簡")</f>
        <v/>
      </c>
      <c r="I925" s="8">
        <f>C925+D925+E925+F925+G925+H925</f>
        <v/>
      </c>
    </row>
    <row r="926" ht="18" customHeight="1">
      <c r="A926" s="5" t="inlineStr">
        <is>
          <t>服務中心</t>
        </is>
      </c>
      <c r="B926" s="6" t="n">
        <v>102</v>
      </c>
      <c r="C926" s="8">
        <f>I925</f>
        <v/>
      </c>
      <c r="D926" s="4">
        <f>SUMIFS('01_異動主檔'!$F:$F,'01_異動主檔'!$B:$B,102,'01_異動主檔'!$D:$D,A926,'01_異動主檔'!$E:$E,"移入")</f>
        <v/>
      </c>
      <c r="E926" s="4">
        <f>-SUMIFS('01_異動主檔'!$F:$F,'01_異動主檔'!$B:$B,102,'01_異動主檔'!$D:$D,A926,'01_異動主檔'!$E:$E,"移出")</f>
        <v/>
      </c>
      <c r="F926" s="4">
        <f>SUMIFS('01_異動主檔'!$F:$F,'01_異動主檔'!$B:$B,102,'01_異動主檔'!$D:$D,A926,'01_異動主檔'!$E:$E,"新增")</f>
        <v/>
      </c>
      <c r="G926" s="4">
        <f>-SUMIFS('01_異動主檔'!$F:$F,'01_異動主檔'!$B:$B,102,'01_異動主檔'!$D:$D,A926,'01_異動主檔'!$E:$E,"減列")</f>
        <v/>
      </c>
      <c r="H926" s="4">
        <f>-SUMIFS('01_異動主檔'!$F:$F,'01_異動主檔'!$B:$B,102,'01_異動主檔'!$D:$D,A926,'01_異動主檔'!$E:$E,"精簡")</f>
        <v/>
      </c>
      <c r="I926" s="8">
        <f>C926+D926+E926+F926+G926+H926</f>
        <v/>
      </c>
    </row>
    <row r="927" ht="18" customHeight="1">
      <c r="A927" s="3" t="inlineStr">
        <is>
          <t>服務中心</t>
        </is>
      </c>
      <c r="B927" s="4" t="n">
        <v>103</v>
      </c>
      <c r="C927" s="8">
        <f>I926</f>
        <v/>
      </c>
      <c r="D927" s="4">
        <f>SUMIFS('01_異動主檔'!$F:$F,'01_異動主檔'!$B:$B,103,'01_異動主檔'!$D:$D,A927,'01_異動主檔'!$E:$E,"移入")</f>
        <v/>
      </c>
      <c r="E927" s="4">
        <f>-SUMIFS('01_異動主檔'!$F:$F,'01_異動主檔'!$B:$B,103,'01_異動主檔'!$D:$D,A927,'01_異動主檔'!$E:$E,"移出")</f>
        <v/>
      </c>
      <c r="F927" s="4">
        <f>SUMIFS('01_異動主檔'!$F:$F,'01_異動主檔'!$B:$B,103,'01_異動主檔'!$D:$D,A927,'01_異動主檔'!$E:$E,"新增")</f>
        <v/>
      </c>
      <c r="G927" s="4">
        <f>-SUMIFS('01_異動主檔'!$F:$F,'01_異動主檔'!$B:$B,103,'01_異動主檔'!$D:$D,A927,'01_異動主檔'!$E:$E,"減列")</f>
        <v/>
      </c>
      <c r="H927" s="4">
        <f>-SUMIFS('01_異動主檔'!$F:$F,'01_異動主檔'!$B:$B,103,'01_異動主檔'!$D:$D,A927,'01_異動主檔'!$E:$E,"精簡")</f>
        <v/>
      </c>
      <c r="I927" s="8">
        <f>C927+D927+E927+F927+G927+H927</f>
        <v/>
      </c>
    </row>
    <row r="928" ht="18" customHeight="1">
      <c r="A928" s="5" t="inlineStr">
        <is>
          <t>服務中心</t>
        </is>
      </c>
      <c r="B928" s="6" t="n">
        <v>104</v>
      </c>
      <c r="C928" s="8">
        <f>I927</f>
        <v/>
      </c>
      <c r="D928" s="4">
        <f>SUMIFS('01_異動主檔'!$F:$F,'01_異動主檔'!$B:$B,104,'01_異動主檔'!$D:$D,A928,'01_異動主檔'!$E:$E,"移入")</f>
        <v/>
      </c>
      <c r="E928" s="4">
        <f>-SUMIFS('01_異動主檔'!$F:$F,'01_異動主檔'!$B:$B,104,'01_異動主檔'!$D:$D,A928,'01_異動主檔'!$E:$E,"移出")</f>
        <v/>
      </c>
      <c r="F928" s="4">
        <f>SUMIFS('01_異動主檔'!$F:$F,'01_異動主檔'!$B:$B,104,'01_異動主檔'!$D:$D,A928,'01_異動主檔'!$E:$E,"新增")</f>
        <v/>
      </c>
      <c r="G928" s="4">
        <f>-SUMIFS('01_異動主檔'!$F:$F,'01_異動主檔'!$B:$B,104,'01_異動主檔'!$D:$D,A928,'01_異動主檔'!$E:$E,"減列")</f>
        <v/>
      </c>
      <c r="H928" s="4">
        <f>-SUMIFS('01_異動主檔'!$F:$F,'01_異動主檔'!$B:$B,104,'01_異動主檔'!$D:$D,A928,'01_異動主檔'!$E:$E,"精簡")</f>
        <v/>
      </c>
      <c r="I928" s="8">
        <f>C928+D928+E928+F928+G928+H928</f>
        <v/>
      </c>
    </row>
    <row r="929" ht="18" customHeight="1">
      <c r="A929" s="3" t="inlineStr">
        <is>
          <t>服務中心</t>
        </is>
      </c>
      <c r="B929" s="4" t="n">
        <v>105</v>
      </c>
      <c r="C929" s="8">
        <f>I928</f>
        <v/>
      </c>
      <c r="D929" s="4">
        <f>SUMIFS('01_異動主檔'!$F:$F,'01_異動主檔'!$B:$B,105,'01_異動主檔'!$D:$D,A929,'01_異動主檔'!$E:$E,"移入")</f>
        <v/>
      </c>
      <c r="E929" s="4">
        <f>-SUMIFS('01_異動主檔'!$F:$F,'01_異動主檔'!$B:$B,105,'01_異動主檔'!$D:$D,A929,'01_異動主檔'!$E:$E,"移出")</f>
        <v/>
      </c>
      <c r="F929" s="4">
        <f>SUMIFS('01_異動主檔'!$F:$F,'01_異動主檔'!$B:$B,105,'01_異動主檔'!$D:$D,A929,'01_異動主檔'!$E:$E,"新增")</f>
        <v/>
      </c>
      <c r="G929" s="4">
        <f>-SUMIFS('01_異動主檔'!$F:$F,'01_異動主檔'!$B:$B,105,'01_異動主檔'!$D:$D,A929,'01_異動主檔'!$E:$E,"減列")</f>
        <v/>
      </c>
      <c r="H929" s="4">
        <f>-SUMIFS('01_異動主檔'!$F:$F,'01_異動主檔'!$B:$B,105,'01_異動主檔'!$D:$D,A929,'01_異動主檔'!$E:$E,"精簡")</f>
        <v/>
      </c>
      <c r="I929" s="8">
        <f>C929+D929+E929+F929+G929+H929</f>
        <v/>
      </c>
    </row>
    <row r="930" ht="18" customHeight="1">
      <c r="A930" s="5" t="inlineStr">
        <is>
          <t>服務中心</t>
        </is>
      </c>
      <c r="B930" s="6" t="n">
        <v>106</v>
      </c>
      <c r="C930" s="8">
        <f>I929</f>
        <v/>
      </c>
      <c r="D930" s="4">
        <f>SUMIFS('01_異動主檔'!$F:$F,'01_異動主檔'!$B:$B,106,'01_異動主檔'!$D:$D,A930,'01_異動主檔'!$E:$E,"移入")</f>
        <v/>
      </c>
      <c r="E930" s="4">
        <f>-SUMIFS('01_異動主檔'!$F:$F,'01_異動主檔'!$B:$B,106,'01_異動主檔'!$D:$D,A930,'01_異動主檔'!$E:$E,"移出")</f>
        <v/>
      </c>
      <c r="F930" s="4">
        <f>SUMIFS('01_異動主檔'!$F:$F,'01_異動主檔'!$B:$B,106,'01_異動主檔'!$D:$D,A930,'01_異動主檔'!$E:$E,"新增")</f>
        <v/>
      </c>
      <c r="G930" s="4">
        <f>-SUMIFS('01_異動主檔'!$F:$F,'01_異動主檔'!$B:$B,106,'01_異動主檔'!$D:$D,A930,'01_異動主檔'!$E:$E,"減列")</f>
        <v/>
      </c>
      <c r="H930" s="4">
        <f>-SUMIFS('01_異動主檔'!$F:$F,'01_異動主檔'!$B:$B,106,'01_異動主檔'!$D:$D,A930,'01_異動主檔'!$E:$E,"精簡")</f>
        <v/>
      </c>
      <c r="I930" s="8">
        <f>C930+D930+E930+F930+G930+H930</f>
        <v/>
      </c>
    </row>
    <row r="931" ht="18" customHeight="1">
      <c r="A931" s="3" t="inlineStr">
        <is>
          <t>服務中心</t>
        </is>
      </c>
      <c r="B931" s="4" t="n">
        <v>107</v>
      </c>
      <c r="C931" s="8">
        <f>I930</f>
        <v/>
      </c>
      <c r="D931" s="4">
        <f>SUMIFS('01_異動主檔'!$F:$F,'01_異動主檔'!$B:$B,107,'01_異動主檔'!$D:$D,A931,'01_異動主檔'!$E:$E,"移入")</f>
        <v/>
      </c>
      <c r="E931" s="4">
        <f>-SUMIFS('01_異動主檔'!$F:$F,'01_異動主檔'!$B:$B,107,'01_異動主檔'!$D:$D,A931,'01_異動主檔'!$E:$E,"移出")</f>
        <v/>
      </c>
      <c r="F931" s="4">
        <f>SUMIFS('01_異動主檔'!$F:$F,'01_異動主檔'!$B:$B,107,'01_異動主檔'!$D:$D,A931,'01_異動主檔'!$E:$E,"新增")</f>
        <v/>
      </c>
      <c r="G931" s="4">
        <f>-SUMIFS('01_異動主檔'!$F:$F,'01_異動主檔'!$B:$B,107,'01_異動主檔'!$D:$D,A931,'01_異動主檔'!$E:$E,"減列")</f>
        <v/>
      </c>
      <c r="H931" s="4">
        <f>-SUMIFS('01_異動主檔'!$F:$F,'01_異動主檔'!$B:$B,107,'01_異動主檔'!$D:$D,A931,'01_異動主檔'!$E:$E,"精簡")</f>
        <v/>
      </c>
      <c r="I931" s="8">
        <f>C931+D931+E931+F931+G931+H931</f>
        <v/>
      </c>
    </row>
    <row r="932" ht="18" customHeight="1">
      <c r="A932" s="5" t="inlineStr">
        <is>
          <t>服務中心</t>
        </is>
      </c>
      <c r="B932" s="6" t="n">
        <v>108</v>
      </c>
      <c r="C932" s="8">
        <f>I931</f>
        <v/>
      </c>
      <c r="D932" s="4">
        <f>SUMIFS('01_異動主檔'!$F:$F,'01_異動主檔'!$B:$B,108,'01_異動主檔'!$D:$D,A932,'01_異動主檔'!$E:$E,"移入")</f>
        <v/>
      </c>
      <c r="E932" s="4">
        <f>-SUMIFS('01_異動主檔'!$F:$F,'01_異動主檔'!$B:$B,108,'01_異動主檔'!$D:$D,A932,'01_異動主檔'!$E:$E,"移出")</f>
        <v/>
      </c>
      <c r="F932" s="4">
        <f>SUMIFS('01_異動主檔'!$F:$F,'01_異動主檔'!$B:$B,108,'01_異動主檔'!$D:$D,A932,'01_異動主檔'!$E:$E,"新增")</f>
        <v/>
      </c>
      <c r="G932" s="4">
        <f>-SUMIFS('01_異動主檔'!$F:$F,'01_異動主檔'!$B:$B,108,'01_異動主檔'!$D:$D,A932,'01_異動主檔'!$E:$E,"減列")</f>
        <v/>
      </c>
      <c r="H932" s="4">
        <f>-SUMIFS('01_異動主檔'!$F:$F,'01_異動主檔'!$B:$B,108,'01_異動主檔'!$D:$D,A932,'01_異動主檔'!$E:$E,"精簡")</f>
        <v/>
      </c>
      <c r="I932" s="8">
        <f>C932+D932+E932+F932+G932+H932</f>
        <v/>
      </c>
    </row>
    <row r="933" ht="18" customHeight="1">
      <c r="A933" s="3" t="inlineStr">
        <is>
          <t>服務中心</t>
        </is>
      </c>
      <c r="B933" s="4" t="n">
        <v>109</v>
      </c>
      <c r="C933" s="8">
        <f>I932</f>
        <v/>
      </c>
      <c r="D933" s="4">
        <f>SUMIFS('01_異動主檔'!$F:$F,'01_異動主檔'!$B:$B,109,'01_異動主檔'!$D:$D,A933,'01_異動主檔'!$E:$E,"移入")</f>
        <v/>
      </c>
      <c r="E933" s="4">
        <f>-SUMIFS('01_異動主檔'!$F:$F,'01_異動主檔'!$B:$B,109,'01_異動主檔'!$D:$D,A933,'01_異動主檔'!$E:$E,"移出")</f>
        <v/>
      </c>
      <c r="F933" s="4">
        <f>SUMIFS('01_異動主檔'!$F:$F,'01_異動主檔'!$B:$B,109,'01_異動主檔'!$D:$D,A933,'01_異動主檔'!$E:$E,"新增")</f>
        <v/>
      </c>
      <c r="G933" s="4">
        <f>-SUMIFS('01_異動主檔'!$F:$F,'01_異動主檔'!$B:$B,109,'01_異動主檔'!$D:$D,A933,'01_異動主檔'!$E:$E,"減列")</f>
        <v/>
      </c>
      <c r="H933" s="4">
        <f>-SUMIFS('01_異動主檔'!$F:$F,'01_異動主檔'!$B:$B,109,'01_異動主檔'!$D:$D,A933,'01_異動主檔'!$E:$E,"精簡")</f>
        <v/>
      </c>
      <c r="I933" s="8">
        <f>C933+D933+E933+F933+G933+H933</f>
        <v/>
      </c>
    </row>
    <row r="934" ht="18" customHeight="1">
      <c r="A934" s="5" t="inlineStr">
        <is>
          <t>服務中心</t>
        </is>
      </c>
      <c r="B934" s="6" t="n">
        <v>110</v>
      </c>
      <c r="C934" s="8">
        <f>I933</f>
        <v/>
      </c>
      <c r="D934" s="4">
        <f>SUMIFS('01_異動主檔'!$F:$F,'01_異動主檔'!$B:$B,110,'01_異動主檔'!$D:$D,A934,'01_異動主檔'!$E:$E,"移入")</f>
        <v/>
      </c>
      <c r="E934" s="4">
        <f>-SUMIFS('01_異動主檔'!$F:$F,'01_異動主檔'!$B:$B,110,'01_異動主檔'!$D:$D,A934,'01_異動主檔'!$E:$E,"移出")</f>
        <v/>
      </c>
      <c r="F934" s="4">
        <f>SUMIFS('01_異動主檔'!$F:$F,'01_異動主檔'!$B:$B,110,'01_異動主檔'!$D:$D,A934,'01_異動主檔'!$E:$E,"新增")</f>
        <v/>
      </c>
      <c r="G934" s="4">
        <f>-SUMIFS('01_異動主檔'!$F:$F,'01_異動主檔'!$B:$B,110,'01_異動主檔'!$D:$D,A934,'01_異動主檔'!$E:$E,"減列")</f>
        <v/>
      </c>
      <c r="H934" s="4">
        <f>-SUMIFS('01_異動主檔'!$F:$F,'01_異動主檔'!$B:$B,110,'01_異動主檔'!$D:$D,A934,'01_異動主檔'!$E:$E,"精簡")</f>
        <v/>
      </c>
      <c r="I934" s="8">
        <f>C934+D934+E934+F934+G934+H934</f>
        <v/>
      </c>
    </row>
    <row r="935" ht="18" customHeight="1">
      <c r="A935" s="3" t="inlineStr">
        <is>
          <t>服務中心</t>
        </is>
      </c>
      <c r="B935" s="4" t="n">
        <v>111</v>
      </c>
      <c r="C935" s="8">
        <f>I934</f>
        <v/>
      </c>
      <c r="D935" s="4">
        <f>SUMIFS('01_異動主檔'!$F:$F,'01_異動主檔'!$B:$B,111,'01_異動主檔'!$D:$D,A935,'01_異動主檔'!$E:$E,"移入")</f>
        <v/>
      </c>
      <c r="E935" s="4">
        <f>-SUMIFS('01_異動主檔'!$F:$F,'01_異動主檔'!$B:$B,111,'01_異動主檔'!$D:$D,A935,'01_異動主檔'!$E:$E,"移出")</f>
        <v/>
      </c>
      <c r="F935" s="4">
        <f>SUMIFS('01_異動主檔'!$F:$F,'01_異動主檔'!$B:$B,111,'01_異動主檔'!$D:$D,A935,'01_異動主檔'!$E:$E,"新增")</f>
        <v/>
      </c>
      <c r="G935" s="4">
        <f>-SUMIFS('01_異動主檔'!$F:$F,'01_異動主檔'!$B:$B,111,'01_異動主檔'!$D:$D,A935,'01_異動主檔'!$E:$E,"減列")</f>
        <v/>
      </c>
      <c r="H935" s="4">
        <f>-SUMIFS('01_異動主檔'!$F:$F,'01_異動主檔'!$B:$B,111,'01_異動主檔'!$D:$D,A935,'01_異動主檔'!$E:$E,"精簡")</f>
        <v/>
      </c>
      <c r="I935" s="8">
        <f>C935+D935+E935+F935+G935+H935</f>
        <v/>
      </c>
    </row>
    <row r="936" ht="18" customHeight="1">
      <c r="A936" s="5" t="inlineStr">
        <is>
          <t>服務中心</t>
        </is>
      </c>
      <c r="B936" s="6" t="n">
        <v>112</v>
      </c>
      <c r="C936" s="8">
        <f>I935</f>
        <v/>
      </c>
      <c r="D936" s="4">
        <f>SUMIFS('01_異動主檔'!$F:$F,'01_異動主檔'!$B:$B,112,'01_異動主檔'!$D:$D,A936,'01_異動主檔'!$E:$E,"移入")</f>
        <v/>
      </c>
      <c r="E936" s="4">
        <f>-SUMIFS('01_異動主檔'!$F:$F,'01_異動主檔'!$B:$B,112,'01_異動主檔'!$D:$D,A936,'01_異動主檔'!$E:$E,"移出")</f>
        <v/>
      </c>
      <c r="F936" s="4">
        <f>SUMIFS('01_異動主檔'!$F:$F,'01_異動主檔'!$B:$B,112,'01_異動主檔'!$D:$D,A936,'01_異動主檔'!$E:$E,"新增")</f>
        <v/>
      </c>
      <c r="G936" s="4">
        <f>-SUMIFS('01_異動主檔'!$F:$F,'01_異動主檔'!$B:$B,112,'01_異動主檔'!$D:$D,A936,'01_異動主檔'!$E:$E,"減列")</f>
        <v/>
      </c>
      <c r="H936" s="4">
        <f>-SUMIFS('01_異動主檔'!$F:$F,'01_異動主檔'!$B:$B,112,'01_異動主檔'!$D:$D,A936,'01_異動主檔'!$E:$E,"精簡")</f>
        <v/>
      </c>
      <c r="I936" s="8">
        <f>C936+D936+E936+F936+G936+H936</f>
        <v/>
      </c>
    </row>
    <row r="937" ht="18" customHeight="1">
      <c r="A937" s="3" t="inlineStr">
        <is>
          <t>服務中心</t>
        </is>
      </c>
      <c r="B937" s="4" t="n">
        <v>113</v>
      </c>
      <c r="C937" s="8">
        <f>I936</f>
        <v/>
      </c>
      <c r="D937" s="4">
        <f>SUMIFS('01_異動主檔'!$F:$F,'01_異動主檔'!$B:$B,113,'01_異動主檔'!$D:$D,A937,'01_異動主檔'!$E:$E,"移入")</f>
        <v/>
      </c>
      <c r="E937" s="4">
        <f>-SUMIFS('01_異動主檔'!$F:$F,'01_異動主檔'!$B:$B,113,'01_異動主檔'!$D:$D,A937,'01_異動主檔'!$E:$E,"移出")</f>
        <v/>
      </c>
      <c r="F937" s="4">
        <f>SUMIFS('01_異動主檔'!$F:$F,'01_異動主檔'!$B:$B,113,'01_異動主檔'!$D:$D,A937,'01_異動主檔'!$E:$E,"新增")</f>
        <v/>
      </c>
      <c r="G937" s="4">
        <f>-SUMIFS('01_異動主檔'!$F:$F,'01_異動主檔'!$B:$B,113,'01_異動主檔'!$D:$D,A937,'01_異動主檔'!$E:$E,"減列")</f>
        <v/>
      </c>
      <c r="H937" s="4">
        <f>-SUMIFS('01_異動主檔'!$F:$F,'01_異動主檔'!$B:$B,113,'01_異動主檔'!$D:$D,A937,'01_異動主檔'!$E:$E,"精簡")</f>
        <v/>
      </c>
      <c r="I937" s="8">
        <f>C937+D937+E937+F937+G937+H937</f>
        <v/>
      </c>
    </row>
    <row r="938" ht="18" customHeight="1">
      <c r="A938" s="5" t="inlineStr">
        <is>
          <t>服務中心</t>
        </is>
      </c>
      <c r="B938" s="6" t="n">
        <v>114</v>
      </c>
      <c r="C938" s="8">
        <f>I937</f>
        <v/>
      </c>
      <c r="D938" s="4">
        <f>SUMIFS('01_異動主檔'!$F:$F,'01_異動主檔'!$B:$B,114,'01_異動主檔'!$D:$D,A938,'01_異動主檔'!$E:$E,"移入")</f>
        <v/>
      </c>
      <c r="E938" s="4">
        <f>-SUMIFS('01_異動主檔'!$F:$F,'01_異動主檔'!$B:$B,114,'01_異動主檔'!$D:$D,A938,'01_異動主檔'!$E:$E,"移出")</f>
        <v/>
      </c>
      <c r="F938" s="4">
        <f>SUMIFS('01_異動主檔'!$F:$F,'01_異動主檔'!$B:$B,114,'01_異動主檔'!$D:$D,A938,'01_異動主檔'!$E:$E,"新增")</f>
        <v/>
      </c>
      <c r="G938" s="4">
        <f>-SUMIFS('01_異動主檔'!$F:$F,'01_異動主檔'!$B:$B,114,'01_異動主檔'!$D:$D,A938,'01_異動主檔'!$E:$E,"減列")</f>
        <v/>
      </c>
      <c r="H938" s="4">
        <f>-SUMIFS('01_異動主檔'!$F:$F,'01_異動主檔'!$B:$B,114,'01_異動主檔'!$D:$D,A938,'01_異動主檔'!$E:$E,"精簡")</f>
        <v/>
      </c>
      <c r="I938" s="8">
        <f>C938+D938+E938+F938+G938+H938</f>
        <v/>
      </c>
    </row>
    <row r="939" ht="18" customHeight="1">
      <c r="A939" s="3" t="inlineStr">
        <is>
          <t>服務中心</t>
        </is>
      </c>
      <c r="B939" s="4" t="n">
        <v>115</v>
      </c>
      <c r="C939" s="8">
        <f>I938</f>
        <v/>
      </c>
      <c r="D939" s="4">
        <f>SUMIFS('01_異動主檔'!$F:$F,'01_異動主檔'!$B:$B,115,'01_異動主檔'!$D:$D,A939,'01_異動主檔'!$E:$E,"移入")</f>
        <v/>
      </c>
      <c r="E939" s="4">
        <f>-SUMIFS('01_異動主檔'!$F:$F,'01_異動主檔'!$B:$B,115,'01_異動主檔'!$D:$D,A939,'01_異動主檔'!$E:$E,"移出")</f>
        <v/>
      </c>
      <c r="F939" s="4">
        <f>SUMIFS('01_異動主檔'!$F:$F,'01_異動主檔'!$B:$B,115,'01_異動主檔'!$D:$D,A939,'01_異動主檔'!$E:$E,"新增")</f>
        <v/>
      </c>
      <c r="G939" s="4">
        <f>-SUMIFS('01_異動主檔'!$F:$F,'01_異動主檔'!$B:$B,115,'01_異動主檔'!$D:$D,A939,'01_異動主檔'!$E:$E,"減列")</f>
        <v/>
      </c>
      <c r="H939" s="4">
        <f>-SUMIFS('01_異動主檔'!$F:$F,'01_異動主檔'!$B:$B,115,'01_異動主檔'!$D:$D,A939,'01_異動主檔'!$E:$E,"精簡")</f>
        <v/>
      </c>
      <c r="I939" s="8">
        <f>C939+D939+E939+F939+G939+H939</f>
        <v/>
      </c>
    </row>
    <row r="940" ht="18" customHeight="1">
      <c r="A940" s="5" t="inlineStr">
        <is>
          <t>服務中心</t>
        </is>
      </c>
      <c r="B940" s="6" t="n">
        <v>116</v>
      </c>
      <c r="C940" s="8">
        <f>I939</f>
        <v/>
      </c>
      <c r="D940" s="4">
        <f>SUMIFS('01_異動主檔'!$F:$F,'01_異動主檔'!$B:$B,116,'01_異動主檔'!$D:$D,A940,'01_異動主檔'!$E:$E,"移入")</f>
        <v/>
      </c>
      <c r="E940" s="4">
        <f>-SUMIFS('01_異動主檔'!$F:$F,'01_異動主檔'!$B:$B,116,'01_異動主檔'!$D:$D,A940,'01_異動主檔'!$E:$E,"移出")</f>
        <v/>
      </c>
      <c r="F940" s="4">
        <f>SUMIFS('01_異動主檔'!$F:$F,'01_異動主檔'!$B:$B,116,'01_異動主檔'!$D:$D,A940,'01_異動主檔'!$E:$E,"新增")</f>
        <v/>
      </c>
      <c r="G940" s="4">
        <f>-SUMIFS('01_異動主檔'!$F:$F,'01_異動主檔'!$B:$B,116,'01_異動主檔'!$D:$D,A940,'01_異動主檔'!$E:$E,"減列")</f>
        <v/>
      </c>
      <c r="H940" s="4">
        <f>-SUMIFS('01_異動主檔'!$F:$F,'01_異動主檔'!$B:$B,116,'01_異動主檔'!$D:$D,A940,'01_異動主檔'!$E:$E,"精簡")</f>
        <v/>
      </c>
      <c r="I940" s="8">
        <f>C940+D940+E940+F940+G940+H940</f>
        <v/>
      </c>
    </row>
    <row r="941" ht="18" customHeight="1">
      <c r="A941" s="3" t="inlineStr">
        <is>
          <t>服務中心</t>
        </is>
      </c>
      <c r="B941" s="4" t="n">
        <v>117</v>
      </c>
      <c r="C941" s="8">
        <f>I940</f>
        <v/>
      </c>
      <c r="D941" s="4">
        <f>SUMIFS('01_異動主檔'!$F:$F,'01_異動主檔'!$B:$B,117,'01_異動主檔'!$D:$D,A941,'01_異動主檔'!$E:$E,"移入")</f>
        <v/>
      </c>
      <c r="E941" s="4">
        <f>-SUMIFS('01_異動主檔'!$F:$F,'01_異動主檔'!$B:$B,117,'01_異動主檔'!$D:$D,A941,'01_異動主檔'!$E:$E,"移出")</f>
        <v/>
      </c>
      <c r="F941" s="4">
        <f>SUMIFS('01_異動主檔'!$F:$F,'01_異動主檔'!$B:$B,117,'01_異動主檔'!$D:$D,A941,'01_異動主檔'!$E:$E,"新增")</f>
        <v/>
      </c>
      <c r="G941" s="4">
        <f>-SUMIFS('01_異動主檔'!$F:$F,'01_異動主檔'!$B:$B,117,'01_異動主檔'!$D:$D,A941,'01_異動主檔'!$E:$E,"減列")</f>
        <v/>
      </c>
      <c r="H941" s="4">
        <f>-SUMIFS('01_異動主檔'!$F:$F,'01_異動主檔'!$B:$B,117,'01_異動主檔'!$D:$D,A941,'01_異動主檔'!$E:$E,"精簡")</f>
        <v/>
      </c>
      <c r="I941" s="8">
        <f>C941+D941+E941+F941+G941+H941</f>
        <v/>
      </c>
    </row>
    <row r="942" ht="18" customHeight="1">
      <c r="A942" s="5" t="inlineStr">
        <is>
          <t>服務中心</t>
        </is>
      </c>
      <c r="B942" s="6" t="n">
        <v>118</v>
      </c>
      <c r="C942" s="8">
        <f>I941</f>
        <v/>
      </c>
      <c r="D942" s="4">
        <f>SUMIFS('01_異動主檔'!$F:$F,'01_異動主檔'!$B:$B,118,'01_異動主檔'!$D:$D,A942,'01_異動主檔'!$E:$E,"移入")</f>
        <v/>
      </c>
      <c r="E942" s="4">
        <f>-SUMIFS('01_異動主檔'!$F:$F,'01_異動主檔'!$B:$B,118,'01_異動主檔'!$D:$D,A942,'01_異動主檔'!$E:$E,"移出")</f>
        <v/>
      </c>
      <c r="F942" s="4">
        <f>SUMIFS('01_異動主檔'!$F:$F,'01_異動主檔'!$B:$B,118,'01_異動主檔'!$D:$D,A942,'01_異動主檔'!$E:$E,"新增")</f>
        <v/>
      </c>
      <c r="G942" s="4">
        <f>-SUMIFS('01_異動主檔'!$F:$F,'01_異動主檔'!$B:$B,118,'01_異動主檔'!$D:$D,A942,'01_異動主檔'!$E:$E,"減列")</f>
        <v/>
      </c>
      <c r="H942" s="4">
        <f>-SUMIFS('01_異動主檔'!$F:$F,'01_異動主檔'!$B:$B,118,'01_異動主檔'!$D:$D,A942,'01_異動主檔'!$E:$E,"精簡")</f>
        <v/>
      </c>
      <c r="I942" s="8">
        <f>C942+D942+E942+F942+G942+H942</f>
        <v/>
      </c>
    </row>
    <row r="943" ht="18" customHeight="1">
      <c r="A943" s="3" t="inlineStr">
        <is>
          <t>服務中心</t>
        </is>
      </c>
      <c r="B943" s="4" t="n">
        <v>119</v>
      </c>
      <c r="C943" s="8">
        <f>I942</f>
        <v/>
      </c>
      <c r="D943" s="4">
        <f>SUMIFS('01_異動主檔'!$F:$F,'01_異動主檔'!$B:$B,119,'01_異動主檔'!$D:$D,A943,'01_異動主檔'!$E:$E,"移入")</f>
        <v/>
      </c>
      <c r="E943" s="4">
        <f>-SUMIFS('01_異動主檔'!$F:$F,'01_異動主檔'!$B:$B,119,'01_異動主檔'!$D:$D,A943,'01_異動主檔'!$E:$E,"移出")</f>
        <v/>
      </c>
      <c r="F943" s="4">
        <f>SUMIFS('01_異動主檔'!$F:$F,'01_異動主檔'!$B:$B,119,'01_異動主檔'!$D:$D,A943,'01_異動主檔'!$E:$E,"新增")</f>
        <v/>
      </c>
      <c r="G943" s="4">
        <f>-SUMIFS('01_異動主檔'!$F:$F,'01_異動主檔'!$B:$B,119,'01_異動主檔'!$D:$D,A943,'01_異動主檔'!$E:$E,"減列")</f>
        <v/>
      </c>
      <c r="H943" s="4">
        <f>-SUMIFS('01_異動主檔'!$F:$F,'01_異動主檔'!$B:$B,119,'01_異動主檔'!$D:$D,A943,'01_異動主檔'!$E:$E,"精簡")</f>
        <v/>
      </c>
      <c r="I943" s="8">
        <f>C943+D943+E943+F943+G943+H943</f>
        <v/>
      </c>
    </row>
    <row r="944" ht="18" customHeight="1">
      <c r="A944" s="5" t="inlineStr">
        <is>
          <t>服務中心</t>
        </is>
      </c>
      <c r="B944" s="6" t="n">
        <v>120</v>
      </c>
      <c r="C944" s="8">
        <f>I943</f>
        <v/>
      </c>
      <c r="D944" s="4">
        <f>SUMIFS('01_異動主檔'!$F:$F,'01_異動主檔'!$B:$B,120,'01_異動主檔'!$D:$D,A944,'01_異動主檔'!$E:$E,"移入")</f>
        <v/>
      </c>
      <c r="E944" s="4">
        <f>-SUMIFS('01_異動主檔'!$F:$F,'01_異動主檔'!$B:$B,120,'01_異動主檔'!$D:$D,A944,'01_異動主檔'!$E:$E,"移出")</f>
        <v/>
      </c>
      <c r="F944" s="4">
        <f>SUMIFS('01_異動主檔'!$F:$F,'01_異動主檔'!$B:$B,120,'01_異動主檔'!$D:$D,A944,'01_異動主檔'!$E:$E,"新增")</f>
        <v/>
      </c>
      <c r="G944" s="4">
        <f>-SUMIFS('01_異動主檔'!$F:$F,'01_異動主檔'!$B:$B,120,'01_異動主檔'!$D:$D,A944,'01_異動主檔'!$E:$E,"減列")</f>
        <v/>
      </c>
      <c r="H944" s="4">
        <f>-SUMIFS('01_異動主檔'!$F:$F,'01_異動主檔'!$B:$B,120,'01_異動主檔'!$D:$D,A944,'01_異動主檔'!$E:$E,"精簡")</f>
        <v/>
      </c>
      <c r="I944" s="8">
        <f>C944+D944+E944+F944+G944+H944</f>
        <v/>
      </c>
    </row>
    <row r="945" ht="18" customHeight="1">
      <c r="A945" s="3" t="inlineStr">
        <is>
          <t>服務中心</t>
        </is>
      </c>
      <c r="B945" s="4" t="n">
        <v>121</v>
      </c>
      <c r="C945" s="8">
        <f>I944</f>
        <v/>
      </c>
      <c r="D945" s="4">
        <f>SUMIFS('01_異動主檔'!$F:$F,'01_異動主檔'!$B:$B,121,'01_異動主檔'!$D:$D,A945,'01_異動主檔'!$E:$E,"移入")</f>
        <v/>
      </c>
      <c r="E945" s="4">
        <f>-SUMIFS('01_異動主檔'!$F:$F,'01_異動主檔'!$B:$B,121,'01_異動主檔'!$D:$D,A945,'01_異動主檔'!$E:$E,"移出")</f>
        <v/>
      </c>
      <c r="F945" s="4">
        <f>SUMIFS('01_異動主檔'!$F:$F,'01_異動主檔'!$B:$B,121,'01_異動主檔'!$D:$D,A945,'01_異動主檔'!$E:$E,"新增")</f>
        <v/>
      </c>
      <c r="G945" s="4">
        <f>-SUMIFS('01_異動主檔'!$F:$F,'01_異動主檔'!$B:$B,121,'01_異動主檔'!$D:$D,A945,'01_異動主檔'!$E:$E,"減列")</f>
        <v/>
      </c>
      <c r="H945" s="4">
        <f>-SUMIFS('01_異動主檔'!$F:$F,'01_異動主檔'!$B:$B,121,'01_異動主檔'!$D:$D,A945,'01_異動主檔'!$E:$E,"精簡")</f>
        <v/>
      </c>
      <c r="I945" s="8">
        <f>C945+D945+E945+F945+G945+H945</f>
        <v/>
      </c>
    </row>
    <row r="946" ht="18" customHeight="1">
      <c r="A946" s="5" t="inlineStr">
        <is>
          <t>服務中心</t>
        </is>
      </c>
      <c r="B946" s="6" t="n">
        <v>122</v>
      </c>
      <c r="C946" s="8">
        <f>I945</f>
        <v/>
      </c>
      <c r="D946" s="4">
        <f>SUMIFS('01_異動主檔'!$F:$F,'01_異動主檔'!$B:$B,122,'01_異動主檔'!$D:$D,A946,'01_異動主檔'!$E:$E,"移入")</f>
        <v/>
      </c>
      <c r="E946" s="4">
        <f>-SUMIFS('01_異動主檔'!$F:$F,'01_異動主檔'!$B:$B,122,'01_異動主檔'!$D:$D,A946,'01_異動主檔'!$E:$E,"移出")</f>
        <v/>
      </c>
      <c r="F946" s="4">
        <f>SUMIFS('01_異動主檔'!$F:$F,'01_異動主檔'!$B:$B,122,'01_異動主檔'!$D:$D,A946,'01_異動主檔'!$E:$E,"新增")</f>
        <v/>
      </c>
      <c r="G946" s="4">
        <f>-SUMIFS('01_異動主檔'!$F:$F,'01_異動主檔'!$B:$B,122,'01_異動主檔'!$D:$D,A946,'01_異動主檔'!$E:$E,"減列")</f>
        <v/>
      </c>
      <c r="H946" s="4">
        <f>-SUMIFS('01_異動主檔'!$F:$F,'01_異動主檔'!$B:$B,122,'01_異動主檔'!$D:$D,A946,'01_異動主檔'!$E:$E,"精簡")</f>
        <v/>
      </c>
      <c r="I946" s="8">
        <f>C946+D946+E946+F946+G946+H946</f>
        <v/>
      </c>
    </row>
    <row r="947" ht="18" customHeight="1">
      <c r="A947" s="3" t="inlineStr">
        <is>
          <t>服務中心</t>
        </is>
      </c>
      <c r="B947" s="4" t="n">
        <v>123</v>
      </c>
      <c r="C947" s="8">
        <f>I946</f>
        <v/>
      </c>
      <c r="D947" s="4">
        <f>SUMIFS('01_異動主檔'!$F:$F,'01_異動主檔'!$B:$B,123,'01_異動主檔'!$D:$D,A947,'01_異動主檔'!$E:$E,"移入")</f>
        <v/>
      </c>
      <c r="E947" s="4">
        <f>-SUMIFS('01_異動主檔'!$F:$F,'01_異動主檔'!$B:$B,123,'01_異動主檔'!$D:$D,A947,'01_異動主檔'!$E:$E,"移出")</f>
        <v/>
      </c>
      <c r="F947" s="4">
        <f>SUMIFS('01_異動主檔'!$F:$F,'01_異動主檔'!$B:$B,123,'01_異動主檔'!$D:$D,A947,'01_異動主檔'!$E:$E,"新增")</f>
        <v/>
      </c>
      <c r="G947" s="4">
        <f>-SUMIFS('01_異動主檔'!$F:$F,'01_異動主檔'!$B:$B,123,'01_異動主檔'!$D:$D,A947,'01_異動主檔'!$E:$E,"減列")</f>
        <v/>
      </c>
      <c r="H947" s="4">
        <f>-SUMIFS('01_異動主檔'!$F:$F,'01_異動主檔'!$B:$B,123,'01_異動主檔'!$D:$D,A947,'01_異動主檔'!$E:$E,"精簡")</f>
        <v/>
      </c>
      <c r="I947" s="8">
        <f>C947+D947+E947+F947+G947+H947</f>
        <v/>
      </c>
    </row>
    <row r="948" ht="18" customHeight="1">
      <c r="A948" s="5" t="inlineStr">
        <is>
          <t>服務中心</t>
        </is>
      </c>
      <c r="B948" s="6" t="n">
        <v>124</v>
      </c>
      <c r="C948" s="8">
        <f>I947</f>
        <v/>
      </c>
      <c r="D948" s="4">
        <f>SUMIFS('01_異動主檔'!$F:$F,'01_異動主檔'!$B:$B,124,'01_異動主檔'!$D:$D,A948,'01_異動主檔'!$E:$E,"移入")</f>
        <v/>
      </c>
      <c r="E948" s="4">
        <f>-SUMIFS('01_異動主檔'!$F:$F,'01_異動主檔'!$B:$B,124,'01_異動主檔'!$D:$D,A948,'01_異動主檔'!$E:$E,"移出")</f>
        <v/>
      </c>
      <c r="F948" s="4">
        <f>SUMIFS('01_異動主檔'!$F:$F,'01_異動主檔'!$B:$B,124,'01_異動主檔'!$D:$D,A948,'01_異動主檔'!$E:$E,"新增")</f>
        <v/>
      </c>
      <c r="G948" s="4">
        <f>-SUMIFS('01_異動主檔'!$F:$F,'01_異動主檔'!$B:$B,124,'01_異動主檔'!$D:$D,A948,'01_異動主檔'!$E:$E,"減列")</f>
        <v/>
      </c>
      <c r="H948" s="4">
        <f>-SUMIFS('01_異動主檔'!$F:$F,'01_異動主檔'!$B:$B,124,'01_異動主檔'!$D:$D,A948,'01_異動主檔'!$E:$E,"精簡")</f>
        <v/>
      </c>
      <c r="I948" s="8">
        <f>C948+D948+E948+F948+G948+H948</f>
        <v/>
      </c>
    </row>
    <row r="949" ht="18" customHeight="1">
      <c r="A949" s="3" t="inlineStr">
        <is>
          <t>服務中心</t>
        </is>
      </c>
      <c r="B949" s="4" t="n">
        <v>125</v>
      </c>
      <c r="C949" s="8">
        <f>I948</f>
        <v/>
      </c>
      <c r="D949" s="4">
        <f>SUMIFS('01_異動主檔'!$F:$F,'01_異動主檔'!$B:$B,125,'01_異動主檔'!$D:$D,A949,'01_異動主檔'!$E:$E,"移入")</f>
        <v/>
      </c>
      <c r="E949" s="4">
        <f>-SUMIFS('01_異動主檔'!$F:$F,'01_異動主檔'!$B:$B,125,'01_異動主檔'!$D:$D,A949,'01_異動主檔'!$E:$E,"移出")</f>
        <v/>
      </c>
      <c r="F949" s="4">
        <f>SUMIFS('01_異動主檔'!$F:$F,'01_異動主檔'!$B:$B,125,'01_異動主檔'!$D:$D,A949,'01_異動主檔'!$E:$E,"新增")</f>
        <v/>
      </c>
      <c r="G949" s="4">
        <f>-SUMIFS('01_異動主檔'!$F:$F,'01_異動主檔'!$B:$B,125,'01_異動主檔'!$D:$D,A949,'01_異動主檔'!$E:$E,"減列")</f>
        <v/>
      </c>
      <c r="H949" s="4">
        <f>-SUMIFS('01_異動主檔'!$F:$F,'01_異動主檔'!$B:$B,125,'01_異動主檔'!$D:$D,A949,'01_異動主檔'!$E:$E,"精簡")</f>
        <v/>
      </c>
      <c r="I949" s="8">
        <f>C949+D949+E949+F949+G949+H949</f>
        <v/>
      </c>
    </row>
    <row r="950" ht="18" customHeight="1">
      <c r="A950" s="5" t="inlineStr">
        <is>
          <t>管理中心</t>
        </is>
      </c>
      <c r="B950" s="6" t="n">
        <v>99</v>
      </c>
      <c r="C950" s="8">
        <f>'02_年初員額設定'!B40</f>
        <v/>
      </c>
      <c r="D950" s="4">
        <f>SUMIFS('01_異動主檔'!$F:$F,'01_異動主檔'!$B:$B,99,'01_異動主檔'!$D:$D,A950,'01_異動主檔'!$E:$E,"移入")</f>
        <v/>
      </c>
      <c r="E950" s="4">
        <f>-SUMIFS('01_異動主檔'!$F:$F,'01_異動主檔'!$B:$B,99,'01_異動主檔'!$D:$D,A950,'01_異動主檔'!$E:$E,"移出")</f>
        <v/>
      </c>
      <c r="F950" s="4">
        <f>SUMIFS('01_異動主檔'!$F:$F,'01_異動主檔'!$B:$B,99,'01_異動主檔'!$D:$D,A950,'01_異動主檔'!$E:$E,"新增")</f>
        <v/>
      </c>
      <c r="G950" s="4">
        <f>-SUMIFS('01_異動主檔'!$F:$F,'01_異動主檔'!$B:$B,99,'01_異動主檔'!$D:$D,A950,'01_異動主檔'!$E:$E,"減列")</f>
        <v/>
      </c>
      <c r="H950" s="4">
        <f>-SUMIFS('01_異動主檔'!$F:$F,'01_異動主檔'!$B:$B,99,'01_異動主檔'!$D:$D,A950,'01_異動主檔'!$E:$E,"精簡")</f>
        <v/>
      </c>
      <c r="I950" s="8">
        <f>C950+D950+E950+F950+G950+H950</f>
        <v/>
      </c>
    </row>
    <row r="951" ht="18" customHeight="1">
      <c r="A951" s="3" t="inlineStr">
        <is>
          <t>管理中心</t>
        </is>
      </c>
      <c r="B951" s="4" t="n">
        <v>100</v>
      </c>
      <c r="C951" s="8">
        <f>I950</f>
        <v/>
      </c>
      <c r="D951" s="4">
        <f>SUMIFS('01_異動主檔'!$F:$F,'01_異動主檔'!$B:$B,100,'01_異動主檔'!$D:$D,A951,'01_異動主檔'!$E:$E,"移入")</f>
        <v/>
      </c>
      <c r="E951" s="4">
        <f>-SUMIFS('01_異動主檔'!$F:$F,'01_異動主檔'!$B:$B,100,'01_異動主檔'!$D:$D,A951,'01_異動主檔'!$E:$E,"移出")</f>
        <v/>
      </c>
      <c r="F951" s="4">
        <f>SUMIFS('01_異動主檔'!$F:$F,'01_異動主檔'!$B:$B,100,'01_異動主檔'!$D:$D,A951,'01_異動主檔'!$E:$E,"新增")</f>
        <v/>
      </c>
      <c r="G951" s="4">
        <f>-SUMIFS('01_異動主檔'!$F:$F,'01_異動主檔'!$B:$B,100,'01_異動主檔'!$D:$D,A951,'01_異動主檔'!$E:$E,"減列")</f>
        <v/>
      </c>
      <c r="H951" s="4">
        <f>-SUMIFS('01_異動主檔'!$F:$F,'01_異動主檔'!$B:$B,100,'01_異動主檔'!$D:$D,A951,'01_異動主檔'!$E:$E,"精簡")</f>
        <v/>
      </c>
      <c r="I951" s="8">
        <f>C951+D951+E951+F951+G951+H951</f>
        <v/>
      </c>
    </row>
    <row r="952" ht="18" customHeight="1">
      <c r="A952" s="5" t="inlineStr">
        <is>
          <t>管理中心</t>
        </is>
      </c>
      <c r="B952" s="6" t="n">
        <v>101</v>
      </c>
      <c r="C952" s="8">
        <f>I951</f>
        <v/>
      </c>
      <c r="D952" s="4">
        <f>SUMIFS('01_異動主檔'!$F:$F,'01_異動主檔'!$B:$B,101,'01_異動主檔'!$D:$D,A952,'01_異動主檔'!$E:$E,"移入")</f>
        <v/>
      </c>
      <c r="E952" s="4">
        <f>-SUMIFS('01_異動主檔'!$F:$F,'01_異動主檔'!$B:$B,101,'01_異動主檔'!$D:$D,A952,'01_異動主檔'!$E:$E,"移出")</f>
        <v/>
      </c>
      <c r="F952" s="4">
        <f>SUMIFS('01_異動主檔'!$F:$F,'01_異動主檔'!$B:$B,101,'01_異動主檔'!$D:$D,A952,'01_異動主檔'!$E:$E,"新增")</f>
        <v/>
      </c>
      <c r="G952" s="4">
        <f>-SUMIFS('01_異動主檔'!$F:$F,'01_異動主檔'!$B:$B,101,'01_異動主檔'!$D:$D,A952,'01_異動主檔'!$E:$E,"減列")</f>
        <v/>
      </c>
      <c r="H952" s="4">
        <f>-SUMIFS('01_異動主檔'!$F:$F,'01_異動主檔'!$B:$B,101,'01_異動主檔'!$D:$D,A952,'01_異動主檔'!$E:$E,"精簡")</f>
        <v/>
      </c>
      <c r="I952" s="8">
        <f>C952+D952+E952+F952+G952+H952</f>
        <v/>
      </c>
    </row>
    <row r="953" ht="18" customHeight="1">
      <c r="A953" s="3" t="inlineStr">
        <is>
          <t>管理中心</t>
        </is>
      </c>
      <c r="B953" s="4" t="n">
        <v>102</v>
      </c>
      <c r="C953" s="8">
        <f>I952</f>
        <v/>
      </c>
      <c r="D953" s="4">
        <f>SUMIFS('01_異動主檔'!$F:$F,'01_異動主檔'!$B:$B,102,'01_異動主檔'!$D:$D,A953,'01_異動主檔'!$E:$E,"移入")</f>
        <v/>
      </c>
      <c r="E953" s="4">
        <f>-SUMIFS('01_異動主檔'!$F:$F,'01_異動主檔'!$B:$B,102,'01_異動主檔'!$D:$D,A953,'01_異動主檔'!$E:$E,"移出")</f>
        <v/>
      </c>
      <c r="F953" s="4">
        <f>SUMIFS('01_異動主檔'!$F:$F,'01_異動主檔'!$B:$B,102,'01_異動主檔'!$D:$D,A953,'01_異動主檔'!$E:$E,"新增")</f>
        <v/>
      </c>
      <c r="G953" s="4">
        <f>-SUMIFS('01_異動主檔'!$F:$F,'01_異動主檔'!$B:$B,102,'01_異動主檔'!$D:$D,A953,'01_異動主檔'!$E:$E,"減列")</f>
        <v/>
      </c>
      <c r="H953" s="4">
        <f>-SUMIFS('01_異動主檔'!$F:$F,'01_異動主檔'!$B:$B,102,'01_異動主檔'!$D:$D,A953,'01_異動主檔'!$E:$E,"精簡")</f>
        <v/>
      </c>
      <c r="I953" s="8">
        <f>C953+D953+E953+F953+G953+H953</f>
        <v/>
      </c>
    </row>
    <row r="954" ht="18" customHeight="1">
      <c r="A954" s="5" t="inlineStr">
        <is>
          <t>管理中心</t>
        </is>
      </c>
      <c r="B954" s="6" t="n">
        <v>103</v>
      </c>
      <c r="C954" s="8">
        <f>I953</f>
        <v/>
      </c>
      <c r="D954" s="4">
        <f>SUMIFS('01_異動主檔'!$F:$F,'01_異動主檔'!$B:$B,103,'01_異動主檔'!$D:$D,A954,'01_異動主檔'!$E:$E,"移入")</f>
        <v/>
      </c>
      <c r="E954" s="4">
        <f>-SUMIFS('01_異動主檔'!$F:$F,'01_異動主檔'!$B:$B,103,'01_異動主檔'!$D:$D,A954,'01_異動主檔'!$E:$E,"移出")</f>
        <v/>
      </c>
      <c r="F954" s="4">
        <f>SUMIFS('01_異動主檔'!$F:$F,'01_異動主檔'!$B:$B,103,'01_異動主檔'!$D:$D,A954,'01_異動主檔'!$E:$E,"新增")</f>
        <v/>
      </c>
      <c r="G954" s="4">
        <f>-SUMIFS('01_異動主檔'!$F:$F,'01_異動主檔'!$B:$B,103,'01_異動主檔'!$D:$D,A954,'01_異動主檔'!$E:$E,"減列")</f>
        <v/>
      </c>
      <c r="H954" s="4">
        <f>-SUMIFS('01_異動主檔'!$F:$F,'01_異動主檔'!$B:$B,103,'01_異動主檔'!$D:$D,A954,'01_異動主檔'!$E:$E,"精簡")</f>
        <v/>
      </c>
      <c r="I954" s="8">
        <f>C954+D954+E954+F954+G954+H954</f>
        <v/>
      </c>
    </row>
    <row r="955" ht="18" customHeight="1">
      <c r="A955" s="3" t="inlineStr">
        <is>
          <t>管理中心</t>
        </is>
      </c>
      <c r="B955" s="4" t="n">
        <v>104</v>
      </c>
      <c r="C955" s="8">
        <f>I954</f>
        <v/>
      </c>
      <c r="D955" s="4">
        <f>SUMIFS('01_異動主檔'!$F:$F,'01_異動主檔'!$B:$B,104,'01_異動主檔'!$D:$D,A955,'01_異動主檔'!$E:$E,"移入")</f>
        <v/>
      </c>
      <c r="E955" s="4">
        <f>-SUMIFS('01_異動主檔'!$F:$F,'01_異動主檔'!$B:$B,104,'01_異動主檔'!$D:$D,A955,'01_異動主檔'!$E:$E,"移出")</f>
        <v/>
      </c>
      <c r="F955" s="4">
        <f>SUMIFS('01_異動主檔'!$F:$F,'01_異動主檔'!$B:$B,104,'01_異動主檔'!$D:$D,A955,'01_異動主檔'!$E:$E,"新增")</f>
        <v/>
      </c>
      <c r="G955" s="4">
        <f>-SUMIFS('01_異動主檔'!$F:$F,'01_異動主檔'!$B:$B,104,'01_異動主檔'!$D:$D,A955,'01_異動主檔'!$E:$E,"減列")</f>
        <v/>
      </c>
      <c r="H955" s="4">
        <f>-SUMIFS('01_異動主檔'!$F:$F,'01_異動主檔'!$B:$B,104,'01_異動主檔'!$D:$D,A955,'01_異動主檔'!$E:$E,"精簡")</f>
        <v/>
      </c>
      <c r="I955" s="8">
        <f>C955+D955+E955+F955+G955+H955</f>
        <v/>
      </c>
    </row>
    <row r="956" ht="18" customHeight="1">
      <c r="A956" s="5" t="inlineStr">
        <is>
          <t>管理中心</t>
        </is>
      </c>
      <c r="B956" s="6" t="n">
        <v>105</v>
      </c>
      <c r="C956" s="8">
        <f>I955</f>
        <v/>
      </c>
      <c r="D956" s="4">
        <f>SUMIFS('01_異動主檔'!$F:$F,'01_異動主檔'!$B:$B,105,'01_異動主檔'!$D:$D,A956,'01_異動主檔'!$E:$E,"移入")</f>
        <v/>
      </c>
      <c r="E956" s="4">
        <f>-SUMIFS('01_異動主檔'!$F:$F,'01_異動主檔'!$B:$B,105,'01_異動主檔'!$D:$D,A956,'01_異動主檔'!$E:$E,"移出")</f>
        <v/>
      </c>
      <c r="F956" s="4">
        <f>SUMIFS('01_異動主檔'!$F:$F,'01_異動主檔'!$B:$B,105,'01_異動主檔'!$D:$D,A956,'01_異動主檔'!$E:$E,"新增")</f>
        <v/>
      </c>
      <c r="G956" s="4">
        <f>-SUMIFS('01_異動主檔'!$F:$F,'01_異動主檔'!$B:$B,105,'01_異動主檔'!$D:$D,A956,'01_異動主檔'!$E:$E,"減列")</f>
        <v/>
      </c>
      <c r="H956" s="4">
        <f>-SUMIFS('01_異動主檔'!$F:$F,'01_異動主檔'!$B:$B,105,'01_異動主檔'!$D:$D,A956,'01_異動主檔'!$E:$E,"精簡")</f>
        <v/>
      </c>
      <c r="I956" s="8">
        <f>C956+D956+E956+F956+G956+H956</f>
        <v/>
      </c>
    </row>
    <row r="957" ht="18" customHeight="1">
      <c r="A957" s="3" t="inlineStr">
        <is>
          <t>管理中心</t>
        </is>
      </c>
      <c r="B957" s="4" t="n">
        <v>106</v>
      </c>
      <c r="C957" s="8">
        <f>I956</f>
        <v/>
      </c>
      <c r="D957" s="4">
        <f>SUMIFS('01_異動主檔'!$F:$F,'01_異動主檔'!$B:$B,106,'01_異動主檔'!$D:$D,A957,'01_異動主檔'!$E:$E,"移入")</f>
        <v/>
      </c>
      <c r="E957" s="4">
        <f>-SUMIFS('01_異動主檔'!$F:$F,'01_異動主檔'!$B:$B,106,'01_異動主檔'!$D:$D,A957,'01_異動主檔'!$E:$E,"移出")</f>
        <v/>
      </c>
      <c r="F957" s="4">
        <f>SUMIFS('01_異動主檔'!$F:$F,'01_異動主檔'!$B:$B,106,'01_異動主檔'!$D:$D,A957,'01_異動主檔'!$E:$E,"新增")</f>
        <v/>
      </c>
      <c r="G957" s="4">
        <f>-SUMIFS('01_異動主檔'!$F:$F,'01_異動主檔'!$B:$B,106,'01_異動主檔'!$D:$D,A957,'01_異動主檔'!$E:$E,"減列")</f>
        <v/>
      </c>
      <c r="H957" s="4">
        <f>-SUMIFS('01_異動主檔'!$F:$F,'01_異動主檔'!$B:$B,106,'01_異動主檔'!$D:$D,A957,'01_異動主檔'!$E:$E,"精簡")</f>
        <v/>
      </c>
      <c r="I957" s="8">
        <f>C957+D957+E957+F957+G957+H957</f>
        <v/>
      </c>
    </row>
    <row r="958" ht="18" customHeight="1">
      <c r="A958" s="5" t="inlineStr">
        <is>
          <t>管理中心</t>
        </is>
      </c>
      <c r="B958" s="6" t="n">
        <v>107</v>
      </c>
      <c r="C958" s="8">
        <f>I957</f>
        <v/>
      </c>
      <c r="D958" s="4">
        <f>SUMIFS('01_異動主檔'!$F:$F,'01_異動主檔'!$B:$B,107,'01_異動主檔'!$D:$D,A958,'01_異動主檔'!$E:$E,"移入")</f>
        <v/>
      </c>
      <c r="E958" s="4">
        <f>-SUMIFS('01_異動主檔'!$F:$F,'01_異動主檔'!$B:$B,107,'01_異動主檔'!$D:$D,A958,'01_異動主檔'!$E:$E,"移出")</f>
        <v/>
      </c>
      <c r="F958" s="4">
        <f>SUMIFS('01_異動主檔'!$F:$F,'01_異動主檔'!$B:$B,107,'01_異動主檔'!$D:$D,A958,'01_異動主檔'!$E:$E,"新增")</f>
        <v/>
      </c>
      <c r="G958" s="4">
        <f>-SUMIFS('01_異動主檔'!$F:$F,'01_異動主檔'!$B:$B,107,'01_異動主檔'!$D:$D,A958,'01_異動主檔'!$E:$E,"減列")</f>
        <v/>
      </c>
      <c r="H958" s="4">
        <f>-SUMIFS('01_異動主檔'!$F:$F,'01_異動主檔'!$B:$B,107,'01_異動主檔'!$D:$D,A958,'01_異動主檔'!$E:$E,"精簡")</f>
        <v/>
      </c>
      <c r="I958" s="8">
        <f>C958+D958+E958+F958+G958+H958</f>
        <v/>
      </c>
    </row>
    <row r="959" ht="18" customHeight="1">
      <c r="A959" s="3" t="inlineStr">
        <is>
          <t>管理中心</t>
        </is>
      </c>
      <c r="B959" s="4" t="n">
        <v>108</v>
      </c>
      <c r="C959" s="8">
        <f>I958</f>
        <v/>
      </c>
      <c r="D959" s="4">
        <f>SUMIFS('01_異動主檔'!$F:$F,'01_異動主檔'!$B:$B,108,'01_異動主檔'!$D:$D,A959,'01_異動主檔'!$E:$E,"移入")</f>
        <v/>
      </c>
      <c r="E959" s="4">
        <f>-SUMIFS('01_異動主檔'!$F:$F,'01_異動主檔'!$B:$B,108,'01_異動主檔'!$D:$D,A959,'01_異動主檔'!$E:$E,"移出")</f>
        <v/>
      </c>
      <c r="F959" s="4">
        <f>SUMIFS('01_異動主檔'!$F:$F,'01_異動主檔'!$B:$B,108,'01_異動主檔'!$D:$D,A959,'01_異動主檔'!$E:$E,"新增")</f>
        <v/>
      </c>
      <c r="G959" s="4">
        <f>-SUMIFS('01_異動主檔'!$F:$F,'01_異動主檔'!$B:$B,108,'01_異動主檔'!$D:$D,A959,'01_異動主檔'!$E:$E,"減列")</f>
        <v/>
      </c>
      <c r="H959" s="4">
        <f>-SUMIFS('01_異動主檔'!$F:$F,'01_異動主檔'!$B:$B,108,'01_異動主檔'!$D:$D,A959,'01_異動主檔'!$E:$E,"精簡")</f>
        <v/>
      </c>
      <c r="I959" s="8">
        <f>C959+D959+E959+F959+G959+H959</f>
        <v/>
      </c>
    </row>
    <row r="960" ht="18" customHeight="1">
      <c r="A960" s="5" t="inlineStr">
        <is>
          <t>管理中心</t>
        </is>
      </c>
      <c r="B960" s="6" t="n">
        <v>109</v>
      </c>
      <c r="C960" s="8">
        <f>I959</f>
        <v/>
      </c>
      <c r="D960" s="4">
        <f>SUMIFS('01_異動主檔'!$F:$F,'01_異動主檔'!$B:$B,109,'01_異動主檔'!$D:$D,A960,'01_異動主檔'!$E:$E,"移入")</f>
        <v/>
      </c>
      <c r="E960" s="4">
        <f>-SUMIFS('01_異動主檔'!$F:$F,'01_異動主檔'!$B:$B,109,'01_異動主檔'!$D:$D,A960,'01_異動主檔'!$E:$E,"移出")</f>
        <v/>
      </c>
      <c r="F960" s="4">
        <f>SUMIFS('01_異動主檔'!$F:$F,'01_異動主檔'!$B:$B,109,'01_異動主檔'!$D:$D,A960,'01_異動主檔'!$E:$E,"新增")</f>
        <v/>
      </c>
      <c r="G960" s="4">
        <f>-SUMIFS('01_異動主檔'!$F:$F,'01_異動主檔'!$B:$B,109,'01_異動主檔'!$D:$D,A960,'01_異動主檔'!$E:$E,"減列")</f>
        <v/>
      </c>
      <c r="H960" s="4">
        <f>-SUMIFS('01_異動主檔'!$F:$F,'01_異動主檔'!$B:$B,109,'01_異動主檔'!$D:$D,A960,'01_異動主檔'!$E:$E,"精簡")</f>
        <v/>
      </c>
      <c r="I960" s="8">
        <f>C960+D960+E960+F960+G960+H960</f>
        <v/>
      </c>
    </row>
    <row r="961" ht="18" customHeight="1">
      <c r="A961" s="3" t="inlineStr">
        <is>
          <t>管理中心</t>
        </is>
      </c>
      <c r="B961" s="4" t="n">
        <v>110</v>
      </c>
      <c r="C961" s="8">
        <f>I960</f>
        <v/>
      </c>
      <c r="D961" s="4">
        <f>SUMIFS('01_異動主檔'!$F:$F,'01_異動主檔'!$B:$B,110,'01_異動主檔'!$D:$D,A961,'01_異動主檔'!$E:$E,"移入")</f>
        <v/>
      </c>
      <c r="E961" s="4">
        <f>-SUMIFS('01_異動主檔'!$F:$F,'01_異動主檔'!$B:$B,110,'01_異動主檔'!$D:$D,A961,'01_異動主檔'!$E:$E,"移出")</f>
        <v/>
      </c>
      <c r="F961" s="4">
        <f>SUMIFS('01_異動主檔'!$F:$F,'01_異動主檔'!$B:$B,110,'01_異動主檔'!$D:$D,A961,'01_異動主檔'!$E:$E,"新增")</f>
        <v/>
      </c>
      <c r="G961" s="4">
        <f>-SUMIFS('01_異動主檔'!$F:$F,'01_異動主檔'!$B:$B,110,'01_異動主檔'!$D:$D,A961,'01_異動主檔'!$E:$E,"減列")</f>
        <v/>
      </c>
      <c r="H961" s="4">
        <f>-SUMIFS('01_異動主檔'!$F:$F,'01_異動主檔'!$B:$B,110,'01_異動主檔'!$D:$D,A961,'01_異動主檔'!$E:$E,"精簡")</f>
        <v/>
      </c>
      <c r="I961" s="8">
        <f>C961+D961+E961+F961+G961+H961</f>
        <v/>
      </c>
    </row>
    <row r="962" ht="18" customHeight="1">
      <c r="A962" s="5" t="inlineStr">
        <is>
          <t>管理中心</t>
        </is>
      </c>
      <c r="B962" s="6" t="n">
        <v>111</v>
      </c>
      <c r="C962" s="8">
        <f>I961</f>
        <v/>
      </c>
      <c r="D962" s="4">
        <f>SUMIFS('01_異動主檔'!$F:$F,'01_異動主檔'!$B:$B,111,'01_異動主檔'!$D:$D,A962,'01_異動主檔'!$E:$E,"移入")</f>
        <v/>
      </c>
      <c r="E962" s="4">
        <f>-SUMIFS('01_異動主檔'!$F:$F,'01_異動主檔'!$B:$B,111,'01_異動主檔'!$D:$D,A962,'01_異動主檔'!$E:$E,"移出")</f>
        <v/>
      </c>
      <c r="F962" s="4">
        <f>SUMIFS('01_異動主檔'!$F:$F,'01_異動主檔'!$B:$B,111,'01_異動主檔'!$D:$D,A962,'01_異動主檔'!$E:$E,"新增")</f>
        <v/>
      </c>
      <c r="G962" s="4">
        <f>-SUMIFS('01_異動主檔'!$F:$F,'01_異動主檔'!$B:$B,111,'01_異動主檔'!$D:$D,A962,'01_異動主檔'!$E:$E,"減列")</f>
        <v/>
      </c>
      <c r="H962" s="4">
        <f>-SUMIFS('01_異動主檔'!$F:$F,'01_異動主檔'!$B:$B,111,'01_異動主檔'!$D:$D,A962,'01_異動主檔'!$E:$E,"精簡")</f>
        <v/>
      </c>
      <c r="I962" s="8">
        <f>C962+D962+E962+F962+G962+H962</f>
        <v/>
      </c>
    </row>
    <row r="963" ht="18" customHeight="1">
      <c r="A963" s="3" t="inlineStr">
        <is>
          <t>管理中心</t>
        </is>
      </c>
      <c r="B963" s="4" t="n">
        <v>112</v>
      </c>
      <c r="C963" s="8">
        <f>I962</f>
        <v/>
      </c>
      <c r="D963" s="4">
        <f>SUMIFS('01_異動主檔'!$F:$F,'01_異動主檔'!$B:$B,112,'01_異動主檔'!$D:$D,A963,'01_異動主檔'!$E:$E,"移入")</f>
        <v/>
      </c>
      <c r="E963" s="4">
        <f>-SUMIFS('01_異動主檔'!$F:$F,'01_異動主檔'!$B:$B,112,'01_異動主檔'!$D:$D,A963,'01_異動主檔'!$E:$E,"移出")</f>
        <v/>
      </c>
      <c r="F963" s="4">
        <f>SUMIFS('01_異動主檔'!$F:$F,'01_異動主檔'!$B:$B,112,'01_異動主檔'!$D:$D,A963,'01_異動主檔'!$E:$E,"新增")</f>
        <v/>
      </c>
      <c r="G963" s="4">
        <f>-SUMIFS('01_異動主檔'!$F:$F,'01_異動主檔'!$B:$B,112,'01_異動主檔'!$D:$D,A963,'01_異動主檔'!$E:$E,"減列")</f>
        <v/>
      </c>
      <c r="H963" s="4">
        <f>-SUMIFS('01_異動主檔'!$F:$F,'01_異動主檔'!$B:$B,112,'01_異動主檔'!$D:$D,A963,'01_異動主檔'!$E:$E,"精簡")</f>
        <v/>
      </c>
      <c r="I963" s="8">
        <f>C963+D963+E963+F963+G963+H963</f>
        <v/>
      </c>
    </row>
    <row r="964" ht="18" customHeight="1">
      <c r="A964" s="5" t="inlineStr">
        <is>
          <t>管理中心</t>
        </is>
      </c>
      <c r="B964" s="6" t="n">
        <v>113</v>
      </c>
      <c r="C964" s="8">
        <f>I963</f>
        <v/>
      </c>
      <c r="D964" s="4">
        <f>SUMIFS('01_異動主檔'!$F:$F,'01_異動主檔'!$B:$B,113,'01_異動主檔'!$D:$D,A964,'01_異動主檔'!$E:$E,"移入")</f>
        <v/>
      </c>
      <c r="E964" s="4">
        <f>-SUMIFS('01_異動主檔'!$F:$F,'01_異動主檔'!$B:$B,113,'01_異動主檔'!$D:$D,A964,'01_異動主檔'!$E:$E,"移出")</f>
        <v/>
      </c>
      <c r="F964" s="4">
        <f>SUMIFS('01_異動主檔'!$F:$F,'01_異動主檔'!$B:$B,113,'01_異動主檔'!$D:$D,A964,'01_異動主檔'!$E:$E,"新增")</f>
        <v/>
      </c>
      <c r="G964" s="4">
        <f>-SUMIFS('01_異動主檔'!$F:$F,'01_異動主檔'!$B:$B,113,'01_異動主檔'!$D:$D,A964,'01_異動主檔'!$E:$E,"減列")</f>
        <v/>
      </c>
      <c r="H964" s="4">
        <f>-SUMIFS('01_異動主檔'!$F:$F,'01_異動主檔'!$B:$B,113,'01_異動主檔'!$D:$D,A964,'01_異動主檔'!$E:$E,"精簡")</f>
        <v/>
      </c>
      <c r="I964" s="8">
        <f>C964+D964+E964+F964+G964+H964</f>
        <v/>
      </c>
    </row>
    <row r="965" ht="18" customHeight="1">
      <c r="A965" s="3" t="inlineStr">
        <is>
          <t>管理中心</t>
        </is>
      </c>
      <c r="B965" s="4" t="n">
        <v>114</v>
      </c>
      <c r="C965" s="8">
        <f>I964</f>
        <v/>
      </c>
      <c r="D965" s="4">
        <f>SUMIFS('01_異動主檔'!$F:$F,'01_異動主檔'!$B:$B,114,'01_異動主檔'!$D:$D,A965,'01_異動主檔'!$E:$E,"移入")</f>
        <v/>
      </c>
      <c r="E965" s="4">
        <f>-SUMIFS('01_異動主檔'!$F:$F,'01_異動主檔'!$B:$B,114,'01_異動主檔'!$D:$D,A965,'01_異動主檔'!$E:$E,"移出")</f>
        <v/>
      </c>
      <c r="F965" s="4">
        <f>SUMIFS('01_異動主檔'!$F:$F,'01_異動主檔'!$B:$B,114,'01_異動主檔'!$D:$D,A965,'01_異動主檔'!$E:$E,"新增")</f>
        <v/>
      </c>
      <c r="G965" s="4">
        <f>-SUMIFS('01_異動主檔'!$F:$F,'01_異動主檔'!$B:$B,114,'01_異動主檔'!$D:$D,A965,'01_異動主檔'!$E:$E,"減列")</f>
        <v/>
      </c>
      <c r="H965" s="4">
        <f>-SUMIFS('01_異動主檔'!$F:$F,'01_異動主檔'!$B:$B,114,'01_異動主檔'!$D:$D,A965,'01_異動主檔'!$E:$E,"精簡")</f>
        <v/>
      </c>
      <c r="I965" s="8">
        <f>C965+D965+E965+F965+G965+H965</f>
        <v/>
      </c>
    </row>
    <row r="966" ht="18" customHeight="1">
      <c r="A966" s="5" t="inlineStr">
        <is>
          <t>管理中心</t>
        </is>
      </c>
      <c r="B966" s="6" t="n">
        <v>115</v>
      </c>
      <c r="C966" s="8">
        <f>I965</f>
        <v/>
      </c>
      <c r="D966" s="4">
        <f>SUMIFS('01_異動主檔'!$F:$F,'01_異動主檔'!$B:$B,115,'01_異動主檔'!$D:$D,A966,'01_異動主檔'!$E:$E,"移入")</f>
        <v/>
      </c>
      <c r="E966" s="4">
        <f>-SUMIFS('01_異動主檔'!$F:$F,'01_異動主檔'!$B:$B,115,'01_異動主檔'!$D:$D,A966,'01_異動主檔'!$E:$E,"移出")</f>
        <v/>
      </c>
      <c r="F966" s="4">
        <f>SUMIFS('01_異動主檔'!$F:$F,'01_異動主檔'!$B:$B,115,'01_異動主檔'!$D:$D,A966,'01_異動主檔'!$E:$E,"新增")</f>
        <v/>
      </c>
      <c r="G966" s="4">
        <f>-SUMIFS('01_異動主檔'!$F:$F,'01_異動主檔'!$B:$B,115,'01_異動主檔'!$D:$D,A966,'01_異動主檔'!$E:$E,"減列")</f>
        <v/>
      </c>
      <c r="H966" s="4">
        <f>-SUMIFS('01_異動主檔'!$F:$F,'01_異動主檔'!$B:$B,115,'01_異動主檔'!$D:$D,A966,'01_異動主檔'!$E:$E,"精簡")</f>
        <v/>
      </c>
      <c r="I966" s="8">
        <f>C966+D966+E966+F966+G966+H966</f>
        <v/>
      </c>
    </row>
    <row r="967" ht="18" customHeight="1">
      <c r="A967" s="3" t="inlineStr">
        <is>
          <t>管理中心</t>
        </is>
      </c>
      <c r="B967" s="4" t="n">
        <v>116</v>
      </c>
      <c r="C967" s="8">
        <f>I966</f>
        <v/>
      </c>
      <c r="D967" s="4">
        <f>SUMIFS('01_異動主檔'!$F:$F,'01_異動主檔'!$B:$B,116,'01_異動主檔'!$D:$D,A967,'01_異動主檔'!$E:$E,"移入")</f>
        <v/>
      </c>
      <c r="E967" s="4">
        <f>-SUMIFS('01_異動主檔'!$F:$F,'01_異動主檔'!$B:$B,116,'01_異動主檔'!$D:$D,A967,'01_異動主檔'!$E:$E,"移出")</f>
        <v/>
      </c>
      <c r="F967" s="4">
        <f>SUMIFS('01_異動主檔'!$F:$F,'01_異動主檔'!$B:$B,116,'01_異動主檔'!$D:$D,A967,'01_異動主檔'!$E:$E,"新增")</f>
        <v/>
      </c>
      <c r="G967" s="4">
        <f>-SUMIFS('01_異動主檔'!$F:$F,'01_異動主檔'!$B:$B,116,'01_異動主檔'!$D:$D,A967,'01_異動主檔'!$E:$E,"減列")</f>
        <v/>
      </c>
      <c r="H967" s="4">
        <f>-SUMIFS('01_異動主檔'!$F:$F,'01_異動主檔'!$B:$B,116,'01_異動主檔'!$D:$D,A967,'01_異動主檔'!$E:$E,"精簡")</f>
        <v/>
      </c>
      <c r="I967" s="8">
        <f>C967+D967+E967+F967+G967+H967</f>
        <v/>
      </c>
    </row>
    <row r="968" ht="18" customHeight="1">
      <c r="A968" s="5" t="inlineStr">
        <is>
          <t>管理中心</t>
        </is>
      </c>
      <c r="B968" s="6" t="n">
        <v>117</v>
      </c>
      <c r="C968" s="8">
        <f>I967</f>
        <v/>
      </c>
      <c r="D968" s="4">
        <f>SUMIFS('01_異動主檔'!$F:$F,'01_異動主檔'!$B:$B,117,'01_異動主檔'!$D:$D,A968,'01_異動主檔'!$E:$E,"移入")</f>
        <v/>
      </c>
      <c r="E968" s="4">
        <f>-SUMIFS('01_異動主檔'!$F:$F,'01_異動主檔'!$B:$B,117,'01_異動主檔'!$D:$D,A968,'01_異動主檔'!$E:$E,"移出")</f>
        <v/>
      </c>
      <c r="F968" s="4">
        <f>SUMIFS('01_異動主檔'!$F:$F,'01_異動主檔'!$B:$B,117,'01_異動主檔'!$D:$D,A968,'01_異動主檔'!$E:$E,"新增")</f>
        <v/>
      </c>
      <c r="G968" s="4">
        <f>-SUMIFS('01_異動主檔'!$F:$F,'01_異動主檔'!$B:$B,117,'01_異動主檔'!$D:$D,A968,'01_異動主檔'!$E:$E,"減列")</f>
        <v/>
      </c>
      <c r="H968" s="4">
        <f>-SUMIFS('01_異動主檔'!$F:$F,'01_異動主檔'!$B:$B,117,'01_異動主檔'!$D:$D,A968,'01_異動主檔'!$E:$E,"精簡")</f>
        <v/>
      </c>
      <c r="I968" s="8">
        <f>C968+D968+E968+F968+G968+H968</f>
        <v/>
      </c>
    </row>
    <row r="969" ht="18" customHeight="1">
      <c r="A969" s="3" t="inlineStr">
        <is>
          <t>管理中心</t>
        </is>
      </c>
      <c r="B969" s="4" t="n">
        <v>118</v>
      </c>
      <c r="C969" s="8">
        <f>I968</f>
        <v/>
      </c>
      <c r="D969" s="4">
        <f>SUMIFS('01_異動主檔'!$F:$F,'01_異動主檔'!$B:$B,118,'01_異動主檔'!$D:$D,A969,'01_異動主檔'!$E:$E,"移入")</f>
        <v/>
      </c>
      <c r="E969" s="4">
        <f>-SUMIFS('01_異動主檔'!$F:$F,'01_異動主檔'!$B:$B,118,'01_異動主檔'!$D:$D,A969,'01_異動主檔'!$E:$E,"移出")</f>
        <v/>
      </c>
      <c r="F969" s="4">
        <f>SUMIFS('01_異動主檔'!$F:$F,'01_異動主檔'!$B:$B,118,'01_異動主檔'!$D:$D,A969,'01_異動主檔'!$E:$E,"新增")</f>
        <v/>
      </c>
      <c r="G969" s="4">
        <f>-SUMIFS('01_異動主檔'!$F:$F,'01_異動主檔'!$B:$B,118,'01_異動主檔'!$D:$D,A969,'01_異動主檔'!$E:$E,"減列")</f>
        <v/>
      </c>
      <c r="H969" s="4">
        <f>-SUMIFS('01_異動主檔'!$F:$F,'01_異動主檔'!$B:$B,118,'01_異動主檔'!$D:$D,A969,'01_異動主檔'!$E:$E,"精簡")</f>
        <v/>
      </c>
      <c r="I969" s="8">
        <f>C969+D969+E969+F969+G969+H969</f>
        <v/>
      </c>
    </row>
    <row r="970" ht="18" customHeight="1">
      <c r="A970" s="5" t="inlineStr">
        <is>
          <t>管理中心</t>
        </is>
      </c>
      <c r="B970" s="6" t="n">
        <v>119</v>
      </c>
      <c r="C970" s="8">
        <f>I969</f>
        <v/>
      </c>
      <c r="D970" s="4">
        <f>SUMIFS('01_異動主檔'!$F:$F,'01_異動主檔'!$B:$B,119,'01_異動主檔'!$D:$D,A970,'01_異動主檔'!$E:$E,"移入")</f>
        <v/>
      </c>
      <c r="E970" s="4">
        <f>-SUMIFS('01_異動主檔'!$F:$F,'01_異動主檔'!$B:$B,119,'01_異動主檔'!$D:$D,A970,'01_異動主檔'!$E:$E,"移出")</f>
        <v/>
      </c>
      <c r="F970" s="4">
        <f>SUMIFS('01_異動主檔'!$F:$F,'01_異動主檔'!$B:$B,119,'01_異動主檔'!$D:$D,A970,'01_異動主檔'!$E:$E,"新增")</f>
        <v/>
      </c>
      <c r="G970" s="4">
        <f>-SUMIFS('01_異動主檔'!$F:$F,'01_異動主檔'!$B:$B,119,'01_異動主檔'!$D:$D,A970,'01_異動主檔'!$E:$E,"減列")</f>
        <v/>
      </c>
      <c r="H970" s="4">
        <f>-SUMIFS('01_異動主檔'!$F:$F,'01_異動主檔'!$B:$B,119,'01_異動主檔'!$D:$D,A970,'01_異動主檔'!$E:$E,"精簡")</f>
        <v/>
      </c>
      <c r="I970" s="8">
        <f>C970+D970+E970+F970+G970+H970</f>
        <v/>
      </c>
    </row>
    <row r="971" ht="18" customHeight="1">
      <c r="A971" s="3" t="inlineStr">
        <is>
          <t>管理中心</t>
        </is>
      </c>
      <c r="B971" s="4" t="n">
        <v>120</v>
      </c>
      <c r="C971" s="8">
        <f>I970</f>
        <v/>
      </c>
      <c r="D971" s="4">
        <f>SUMIFS('01_異動主檔'!$F:$F,'01_異動主檔'!$B:$B,120,'01_異動主檔'!$D:$D,A971,'01_異動主檔'!$E:$E,"移入")</f>
        <v/>
      </c>
      <c r="E971" s="4">
        <f>-SUMIFS('01_異動主檔'!$F:$F,'01_異動主檔'!$B:$B,120,'01_異動主檔'!$D:$D,A971,'01_異動主檔'!$E:$E,"移出")</f>
        <v/>
      </c>
      <c r="F971" s="4">
        <f>SUMIFS('01_異動主檔'!$F:$F,'01_異動主檔'!$B:$B,120,'01_異動主檔'!$D:$D,A971,'01_異動主檔'!$E:$E,"新增")</f>
        <v/>
      </c>
      <c r="G971" s="4">
        <f>-SUMIFS('01_異動主檔'!$F:$F,'01_異動主檔'!$B:$B,120,'01_異動主檔'!$D:$D,A971,'01_異動主檔'!$E:$E,"減列")</f>
        <v/>
      </c>
      <c r="H971" s="4">
        <f>-SUMIFS('01_異動主檔'!$F:$F,'01_異動主檔'!$B:$B,120,'01_異動主檔'!$D:$D,A971,'01_異動主檔'!$E:$E,"精簡")</f>
        <v/>
      </c>
      <c r="I971" s="8">
        <f>C971+D971+E971+F971+G971+H971</f>
        <v/>
      </c>
    </row>
    <row r="972" ht="18" customHeight="1">
      <c r="A972" s="5" t="inlineStr">
        <is>
          <t>管理中心</t>
        </is>
      </c>
      <c r="B972" s="6" t="n">
        <v>121</v>
      </c>
      <c r="C972" s="8">
        <f>I971</f>
        <v/>
      </c>
      <c r="D972" s="4">
        <f>SUMIFS('01_異動主檔'!$F:$F,'01_異動主檔'!$B:$B,121,'01_異動主檔'!$D:$D,A972,'01_異動主檔'!$E:$E,"移入")</f>
        <v/>
      </c>
      <c r="E972" s="4">
        <f>-SUMIFS('01_異動主檔'!$F:$F,'01_異動主檔'!$B:$B,121,'01_異動主檔'!$D:$D,A972,'01_異動主檔'!$E:$E,"移出")</f>
        <v/>
      </c>
      <c r="F972" s="4">
        <f>SUMIFS('01_異動主檔'!$F:$F,'01_異動主檔'!$B:$B,121,'01_異動主檔'!$D:$D,A972,'01_異動主檔'!$E:$E,"新增")</f>
        <v/>
      </c>
      <c r="G972" s="4">
        <f>-SUMIFS('01_異動主檔'!$F:$F,'01_異動主檔'!$B:$B,121,'01_異動主檔'!$D:$D,A972,'01_異動主檔'!$E:$E,"減列")</f>
        <v/>
      </c>
      <c r="H972" s="4">
        <f>-SUMIFS('01_異動主檔'!$F:$F,'01_異動主檔'!$B:$B,121,'01_異動主檔'!$D:$D,A972,'01_異動主檔'!$E:$E,"精簡")</f>
        <v/>
      </c>
      <c r="I972" s="8">
        <f>C972+D972+E972+F972+G972+H972</f>
        <v/>
      </c>
    </row>
    <row r="973" ht="18" customHeight="1">
      <c r="A973" s="3" t="inlineStr">
        <is>
          <t>管理中心</t>
        </is>
      </c>
      <c r="B973" s="4" t="n">
        <v>122</v>
      </c>
      <c r="C973" s="8">
        <f>I972</f>
        <v/>
      </c>
      <c r="D973" s="4">
        <f>SUMIFS('01_異動主檔'!$F:$F,'01_異動主檔'!$B:$B,122,'01_異動主檔'!$D:$D,A973,'01_異動主檔'!$E:$E,"移入")</f>
        <v/>
      </c>
      <c r="E973" s="4">
        <f>-SUMIFS('01_異動主檔'!$F:$F,'01_異動主檔'!$B:$B,122,'01_異動主檔'!$D:$D,A973,'01_異動主檔'!$E:$E,"移出")</f>
        <v/>
      </c>
      <c r="F973" s="4">
        <f>SUMIFS('01_異動主檔'!$F:$F,'01_異動主檔'!$B:$B,122,'01_異動主檔'!$D:$D,A973,'01_異動主檔'!$E:$E,"新增")</f>
        <v/>
      </c>
      <c r="G973" s="4">
        <f>-SUMIFS('01_異動主檔'!$F:$F,'01_異動主檔'!$B:$B,122,'01_異動主檔'!$D:$D,A973,'01_異動主檔'!$E:$E,"減列")</f>
        <v/>
      </c>
      <c r="H973" s="4">
        <f>-SUMIFS('01_異動主檔'!$F:$F,'01_異動主檔'!$B:$B,122,'01_異動主檔'!$D:$D,A973,'01_異動主檔'!$E:$E,"精簡")</f>
        <v/>
      </c>
      <c r="I973" s="8">
        <f>C973+D973+E973+F973+G973+H973</f>
        <v/>
      </c>
    </row>
    <row r="974" ht="18" customHeight="1">
      <c r="A974" s="5" t="inlineStr">
        <is>
          <t>管理中心</t>
        </is>
      </c>
      <c r="B974" s="6" t="n">
        <v>123</v>
      </c>
      <c r="C974" s="8">
        <f>I973</f>
        <v/>
      </c>
      <c r="D974" s="4">
        <f>SUMIFS('01_異動主檔'!$F:$F,'01_異動主檔'!$B:$B,123,'01_異動主檔'!$D:$D,A974,'01_異動主檔'!$E:$E,"移入")</f>
        <v/>
      </c>
      <c r="E974" s="4">
        <f>-SUMIFS('01_異動主檔'!$F:$F,'01_異動主檔'!$B:$B,123,'01_異動主檔'!$D:$D,A974,'01_異動主檔'!$E:$E,"移出")</f>
        <v/>
      </c>
      <c r="F974" s="4">
        <f>SUMIFS('01_異動主檔'!$F:$F,'01_異動主檔'!$B:$B,123,'01_異動主檔'!$D:$D,A974,'01_異動主檔'!$E:$E,"新增")</f>
        <v/>
      </c>
      <c r="G974" s="4">
        <f>-SUMIFS('01_異動主檔'!$F:$F,'01_異動主檔'!$B:$B,123,'01_異動主檔'!$D:$D,A974,'01_異動主檔'!$E:$E,"減列")</f>
        <v/>
      </c>
      <c r="H974" s="4">
        <f>-SUMIFS('01_異動主檔'!$F:$F,'01_異動主檔'!$B:$B,123,'01_異動主檔'!$D:$D,A974,'01_異動主檔'!$E:$E,"精簡")</f>
        <v/>
      </c>
      <c r="I974" s="8">
        <f>C974+D974+E974+F974+G974+H974</f>
        <v/>
      </c>
    </row>
    <row r="975" ht="18" customHeight="1">
      <c r="A975" s="3" t="inlineStr">
        <is>
          <t>管理中心</t>
        </is>
      </c>
      <c r="B975" s="4" t="n">
        <v>124</v>
      </c>
      <c r="C975" s="8">
        <f>I974</f>
        <v/>
      </c>
      <c r="D975" s="4">
        <f>SUMIFS('01_異動主檔'!$F:$F,'01_異動主檔'!$B:$B,124,'01_異動主檔'!$D:$D,A975,'01_異動主檔'!$E:$E,"移入")</f>
        <v/>
      </c>
      <c r="E975" s="4">
        <f>-SUMIFS('01_異動主檔'!$F:$F,'01_異動主檔'!$B:$B,124,'01_異動主檔'!$D:$D,A975,'01_異動主檔'!$E:$E,"移出")</f>
        <v/>
      </c>
      <c r="F975" s="4">
        <f>SUMIFS('01_異動主檔'!$F:$F,'01_異動主檔'!$B:$B,124,'01_異動主檔'!$D:$D,A975,'01_異動主檔'!$E:$E,"新增")</f>
        <v/>
      </c>
      <c r="G975" s="4">
        <f>-SUMIFS('01_異動主檔'!$F:$F,'01_異動主檔'!$B:$B,124,'01_異動主檔'!$D:$D,A975,'01_異動主檔'!$E:$E,"減列")</f>
        <v/>
      </c>
      <c r="H975" s="4">
        <f>-SUMIFS('01_異動主檔'!$F:$F,'01_異動主檔'!$B:$B,124,'01_異動主檔'!$D:$D,A975,'01_異動主檔'!$E:$E,"精簡")</f>
        <v/>
      </c>
      <c r="I975" s="8">
        <f>C975+D975+E975+F975+G975+H975</f>
        <v/>
      </c>
    </row>
    <row r="976" ht="18" customHeight="1">
      <c r="A976" s="5" t="inlineStr">
        <is>
          <t>管理中心</t>
        </is>
      </c>
      <c r="B976" s="6" t="n">
        <v>125</v>
      </c>
      <c r="C976" s="8">
        <f>I975</f>
        <v/>
      </c>
      <c r="D976" s="4">
        <f>SUMIFS('01_異動主檔'!$F:$F,'01_異動主檔'!$B:$B,125,'01_異動主檔'!$D:$D,A976,'01_異動主檔'!$E:$E,"移入")</f>
        <v/>
      </c>
      <c r="E976" s="4">
        <f>-SUMIFS('01_異動主檔'!$F:$F,'01_異動主檔'!$B:$B,125,'01_異動主檔'!$D:$D,A976,'01_異動主檔'!$E:$E,"移出")</f>
        <v/>
      </c>
      <c r="F976" s="4">
        <f>SUMIFS('01_異動主檔'!$F:$F,'01_異動主檔'!$B:$B,125,'01_異動主檔'!$D:$D,A976,'01_異動主檔'!$E:$E,"新增")</f>
        <v/>
      </c>
      <c r="G976" s="4">
        <f>-SUMIFS('01_異動主檔'!$F:$F,'01_異動主檔'!$B:$B,125,'01_異動主檔'!$D:$D,A976,'01_異動主檔'!$E:$E,"減列")</f>
        <v/>
      </c>
      <c r="H976" s="4">
        <f>-SUMIFS('01_異動主檔'!$F:$F,'01_異動主檔'!$B:$B,125,'01_異動主檔'!$D:$D,A976,'01_異動主檔'!$E:$E,"精簡")</f>
        <v/>
      </c>
      <c r="I976" s="8">
        <f>C976+D976+E976+F976+G976+H976</f>
        <v/>
      </c>
    </row>
    <row r="977" ht="18" customHeight="1">
      <c r="A977" s="3" t="inlineStr">
        <is>
          <t>審查中心</t>
        </is>
      </c>
      <c r="B977" s="4" t="n">
        <v>99</v>
      </c>
      <c r="C977" s="8">
        <f>'02_年初員額設定'!B41</f>
        <v/>
      </c>
      <c r="D977" s="4">
        <f>SUMIFS('01_異動主檔'!$F:$F,'01_異動主檔'!$B:$B,99,'01_異動主檔'!$D:$D,A977,'01_異動主檔'!$E:$E,"移入")</f>
        <v/>
      </c>
      <c r="E977" s="4">
        <f>-SUMIFS('01_異動主檔'!$F:$F,'01_異動主檔'!$B:$B,99,'01_異動主檔'!$D:$D,A977,'01_異動主檔'!$E:$E,"移出")</f>
        <v/>
      </c>
      <c r="F977" s="4">
        <f>SUMIFS('01_異動主檔'!$F:$F,'01_異動主檔'!$B:$B,99,'01_異動主檔'!$D:$D,A977,'01_異動主檔'!$E:$E,"新增")</f>
        <v/>
      </c>
      <c r="G977" s="4">
        <f>-SUMIFS('01_異動主檔'!$F:$F,'01_異動主檔'!$B:$B,99,'01_異動主檔'!$D:$D,A977,'01_異動主檔'!$E:$E,"減列")</f>
        <v/>
      </c>
      <c r="H977" s="4">
        <f>-SUMIFS('01_異動主檔'!$F:$F,'01_異動主檔'!$B:$B,99,'01_異動主檔'!$D:$D,A977,'01_異動主檔'!$E:$E,"精簡")</f>
        <v/>
      </c>
      <c r="I977" s="8">
        <f>C977+D977+E977+F977+G977+H977</f>
        <v/>
      </c>
    </row>
    <row r="978" ht="18" customHeight="1">
      <c r="A978" s="5" t="inlineStr">
        <is>
          <t>審查中心</t>
        </is>
      </c>
      <c r="B978" s="6" t="n">
        <v>100</v>
      </c>
      <c r="C978" s="8">
        <f>I977</f>
        <v/>
      </c>
      <c r="D978" s="4">
        <f>SUMIFS('01_異動主檔'!$F:$F,'01_異動主檔'!$B:$B,100,'01_異動主檔'!$D:$D,A978,'01_異動主檔'!$E:$E,"移入")</f>
        <v/>
      </c>
      <c r="E978" s="4">
        <f>-SUMIFS('01_異動主檔'!$F:$F,'01_異動主檔'!$B:$B,100,'01_異動主檔'!$D:$D,A978,'01_異動主檔'!$E:$E,"移出")</f>
        <v/>
      </c>
      <c r="F978" s="4">
        <f>SUMIFS('01_異動主檔'!$F:$F,'01_異動主檔'!$B:$B,100,'01_異動主檔'!$D:$D,A978,'01_異動主檔'!$E:$E,"新增")</f>
        <v/>
      </c>
      <c r="G978" s="4">
        <f>-SUMIFS('01_異動主檔'!$F:$F,'01_異動主檔'!$B:$B,100,'01_異動主檔'!$D:$D,A978,'01_異動主檔'!$E:$E,"減列")</f>
        <v/>
      </c>
      <c r="H978" s="4">
        <f>-SUMIFS('01_異動主檔'!$F:$F,'01_異動主檔'!$B:$B,100,'01_異動主檔'!$D:$D,A978,'01_異動主檔'!$E:$E,"精簡")</f>
        <v/>
      </c>
      <c r="I978" s="8">
        <f>C978+D978+E978+F978+G978+H978</f>
        <v/>
      </c>
    </row>
    <row r="979" ht="18" customHeight="1">
      <c r="A979" s="3" t="inlineStr">
        <is>
          <t>審查中心</t>
        </is>
      </c>
      <c r="B979" s="4" t="n">
        <v>101</v>
      </c>
      <c r="C979" s="8">
        <f>I978</f>
        <v/>
      </c>
      <c r="D979" s="4">
        <f>SUMIFS('01_異動主檔'!$F:$F,'01_異動主檔'!$B:$B,101,'01_異動主檔'!$D:$D,A979,'01_異動主檔'!$E:$E,"移入")</f>
        <v/>
      </c>
      <c r="E979" s="4">
        <f>-SUMIFS('01_異動主檔'!$F:$F,'01_異動主檔'!$B:$B,101,'01_異動主檔'!$D:$D,A979,'01_異動主檔'!$E:$E,"移出")</f>
        <v/>
      </c>
      <c r="F979" s="4">
        <f>SUMIFS('01_異動主檔'!$F:$F,'01_異動主檔'!$B:$B,101,'01_異動主檔'!$D:$D,A979,'01_異動主檔'!$E:$E,"新增")</f>
        <v/>
      </c>
      <c r="G979" s="4">
        <f>-SUMIFS('01_異動主檔'!$F:$F,'01_異動主檔'!$B:$B,101,'01_異動主檔'!$D:$D,A979,'01_異動主檔'!$E:$E,"減列")</f>
        <v/>
      </c>
      <c r="H979" s="4">
        <f>-SUMIFS('01_異動主檔'!$F:$F,'01_異動主檔'!$B:$B,101,'01_異動主檔'!$D:$D,A979,'01_異動主檔'!$E:$E,"精簡")</f>
        <v/>
      </c>
      <c r="I979" s="8">
        <f>C979+D979+E979+F979+G979+H979</f>
        <v/>
      </c>
    </row>
    <row r="980" ht="18" customHeight="1">
      <c r="A980" s="5" t="inlineStr">
        <is>
          <t>審查中心</t>
        </is>
      </c>
      <c r="B980" s="6" t="n">
        <v>102</v>
      </c>
      <c r="C980" s="8">
        <f>I979</f>
        <v/>
      </c>
      <c r="D980" s="4">
        <f>SUMIFS('01_異動主檔'!$F:$F,'01_異動主檔'!$B:$B,102,'01_異動主檔'!$D:$D,A980,'01_異動主檔'!$E:$E,"移入")</f>
        <v/>
      </c>
      <c r="E980" s="4">
        <f>-SUMIFS('01_異動主檔'!$F:$F,'01_異動主檔'!$B:$B,102,'01_異動主檔'!$D:$D,A980,'01_異動主檔'!$E:$E,"移出")</f>
        <v/>
      </c>
      <c r="F980" s="4">
        <f>SUMIFS('01_異動主檔'!$F:$F,'01_異動主檔'!$B:$B,102,'01_異動主檔'!$D:$D,A980,'01_異動主檔'!$E:$E,"新增")</f>
        <v/>
      </c>
      <c r="G980" s="4">
        <f>-SUMIFS('01_異動主檔'!$F:$F,'01_異動主檔'!$B:$B,102,'01_異動主檔'!$D:$D,A980,'01_異動主檔'!$E:$E,"減列")</f>
        <v/>
      </c>
      <c r="H980" s="4">
        <f>-SUMIFS('01_異動主檔'!$F:$F,'01_異動主檔'!$B:$B,102,'01_異動主檔'!$D:$D,A980,'01_異動主檔'!$E:$E,"精簡")</f>
        <v/>
      </c>
      <c r="I980" s="8">
        <f>C980+D980+E980+F980+G980+H980</f>
        <v/>
      </c>
    </row>
    <row r="981" ht="18" customHeight="1">
      <c r="A981" s="3" t="inlineStr">
        <is>
          <t>審查中心</t>
        </is>
      </c>
      <c r="B981" s="4" t="n">
        <v>103</v>
      </c>
      <c r="C981" s="8">
        <f>I980</f>
        <v/>
      </c>
      <c r="D981" s="4">
        <f>SUMIFS('01_異動主檔'!$F:$F,'01_異動主檔'!$B:$B,103,'01_異動主檔'!$D:$D,A981,'01_異動主檔'!$E:$E,"移入")</f>
        <v/>
      </c>
      <c r="E981" s="4">
        <f>-SUMIFS('01_異動主檔'!$F:$F,'01_異動主檔'!$B:$B,103,'01_異動主檔'!$D:$D,A981,'01_異動主檔'!$E:$E,"移出")</f>
        <v/>
      </c>
      <c r="F981" s="4">
        <f>SUMIFS('01_異動主檔'!$F:$F,'01_異動主檔'!$B:$B,103,'01_異動主檔'!$D:$D,A981,'01_異動主檔'!$E:$E,"新增")</f>
        <v/>
      </c>
      <c r="G981" s="4">
        <f>-SUMIFS('01_異動主檔'!$F:$F,'01_異動主檔'!$B:$B,103,'01_異動主檔'!$D:$D,A981,'01_異動主檔'!$E:$E,"減列")</f>
        <v/>
      </c>
      <c r="H981" s="4">
        <f>-SUMIFS('01_異動主檔'!$F:$F,'01_異動主檔'!$B:$B,103,'01_異動主檔'!$D:$D,A981,'01_異動主檔'!$E:$E,"精簡")</f>
        <v/>
      </c>
      <c r="I981" s="8">
        <f>C981+D981+E981+F981+G981+H981</f>
        <v/>
      </c>
    </row>
    <row r="982" ht="18" customHeight="1">
      <c r="A982" s="5" t="inlineStr">
        <is>
          <t>審查中心</t>
        </is>
      </c>
      <c r="B982" s="6" t="n">
        <v>104</v>
      </c>
      <c r="C982" s="8">
        <f>I981</f>
        <v/>
      </c>
      <c r="D982" s="4">
        <f>SUMIFS('01_異動主檔'!$F:$F,'01_異動主檔'!$B:$B,104,'01_異動主檔'!$D:$D,A982,'01_異動主檔'!$E:$E,"移入")</f>
        <v/>
      </c>
      <c r="E982" s="4">
        <f>-SUMIFS('01_異動主檔'!$F:$F,'01_異動主檔'!$B:$B,104,'01_異動主檔'!$D:$D,A982,'01_異動主檔'!$E:$E,"移出")</f>
        <v/>
      </c>
      <c r="F982" s="4">
        <f>SUMIFS('01_異動主檔'!$F:$F,'01_異動主檔'!$B:$B,104,'01_異動主檔'!$D:$D,A982,'01_異動主檔'!$E:$E,"新增")</f>
        <v/>
      </c>
      <c r="G982" s="4">
        <f>-SUMIFS('01_異動主檔'!$F:$F,'01_異動主檔'!$B:$B,104,'01_異動主檔'!$D:$D,A982,'01_異動主檔'!$E:$E,"減列")</f>
        <v/>
      </c>
      <c r="H982" s="4">
        <f>-SUMIFS('01_異動主檔'!$F:$F,'01_異動主檔'!$B:$B,104,'01_異動主檔'!$D:$D,A982,'01_異動主檔'!$E:$E,"精簡")</f>
        <v/>
      </c>
      <c r="I982" s="8">
        <f>C982+D982+E982+F982+G982+H982</f>
        <v/>
      </c>
    </row>
    <row r="983" ht="18" customHeight="1">
      <c r="A983" s="3" t="inlineStr">
        <is>
          <t>審查中心</t>
        </is>
      </c>
      <c r="B983" s="4" t="n">
        <v>105</v>
      </c>
      <c r="C983" s="8">
        <f>I982</f>
        <v/>
      </c>
      <c r="D983" s="4">
        <f>SUMIFS('01_異動主檔'!$F:$F,'01_異動主檔'!$B:$B,105,'01_異動主檔'!$D:$D,A983,'01_異動主檔'!$E:$E,"移入")</f>
        <v/>
      </c>
      <c r="E983" s="4">
        <f>-SUMIFS('01_異動主檔'!$F:$F,'01_異動主檔'!$B:$B,105,'01_異動主檔'!$D:$D,A983,'01_異動主檔'!$E:$E,"移出")</f>
        <v/>
      </c>
      <c r="F983" s="4">
        <f>SUMIFS('01_異動主檔'!$F:$F,'01_異動主檔'!$B:$B,105,'01_異動主檔'!$D:$D,A983,'01_異動主檔'!$E:$E,"新增")</f>
        <v/>
      </c>
      <c r="G983" s="4">
        <f>-SUMIFS('01_異動主檔'!$F:$F,'01_異動主檔'!$B:$B,105,'01_異動主檔'!$D:$D,A983,'01_異動主檔'!$E:$E,"減列")</f>
        <v/>
      </c>
      <c r="H983" s="4">
        <f>-SUMIFS('01_異動主檔'!$F:$F,'01_異動主檔'!$B:$B,105,'01_異動主檔'!$D:$D,A983,'01_異動主檔'!$E:$E,"精簡")</f>
        <v/>
      </c>
      <c r="I983" s="8">
        <f>C983+D983+E983+F983+G983+H983</f>
        <v/>
      </c>
    </row>
    <row r="984" ht="18" customHeight="1">
      <c r="A984" s="5" t="inlineStr">
        <is>
          <t>審查中心</t>
        </is>
      </c>
      <c r="B984" s="6" t="n">
        <v>106</v>
      </c>
      <c r="C984" s="8">
        <f>I983</f>
        <v/>
      </c>
      <c r="D984" s="4">
        <f>SUMIFS('01_異動主檔'!$F:$F,'01_異動主檔'!$B:$B,106,'01_異動主檔'!$D:$D,A984,'01_異動主檔'!$E:$E,"移入")</f>
        <v/>
      </c>
      <c r="E984" s="4">
        <f>-SUMIFS('01_異動主檔'!$F:$F,'01_異動主檔'!$B:$B,106,'01_異動主檔'!$D:$D,A984,'01_異動主檔'!$E:$E,"移出")</f>
        <v/>
      </c>
      <c r="F984" s="4">
        <f>SUMIFS('01_異動主檔'!$F:$F,'01_異動主檔'!$B:$B,106,'01_異動主檔'!$D:$D,A984,'01_異動主檔'!$E:$E,"新增")</f>
        <v/>
      </c>
      <c r="G984" s="4">
        <f>-SUMIFS('01_異動主檔'!$F:$F,'01_異動主檔'!$B:$B,106,'01_異動主檔'!$D:$D,A984,'01_異動主檔'!$E:$E,"減列")</f>
        <v/>
      </c>
      <c r="H984" s="4">
        <f>-SUMIFS('01_異動主檔'!$F:$F,'01_異動主檔'!$B:$B,106,'01_異動主檔'!$D:$D,A984,'01_異動主檔'!$E:$E,"精簡")</f>
        <v/>
      </c>
      <c r="I984" s="8">
        <f>C984+D984+E984+F984+G984+H984</f>
        <v/>
      </c>
    </row>
    <row r="985" ht="18" customHeight="1">
      <c r="A985" s="3" t="inlineStr">
        <is>
          <t>審查中心</t>
        </is>
      </c>
      <c r="B985" s="4" t="n">
        <v>107</v>
      </c>
      <c r="C985" s="8">
        <f>I984</f>
        <v/>
      </c>
      <c r="D985" s="4">
        <f>SUMIFS('01_異動主檔'!$F:$F,'01_異動主檔'!$B:$B,107,'01_異動主檔'!$D:$D,A985,'01_異動主檔'!$E:$E,"移入")</f>
        <v/>
      </c>
      <c r="E985" s="4">
        <f>-SUMIFS('01_異動主檔'!$F:$F,'01_異動主檔'!$B:$B,107,'01_異動主檔'!$D:$D,A985,'01_異動主檔'!$E:$E,"移出")</f>
        <v/>
      </c>
      <c r="F985" s="4">
        <f>SUMIFS('01_異動主檔'!$F:$F,'01_異動主檔'!$B:$B,107,'01_異動主檔'!$D:$D,A985,'01_異動主檔'!$E:$E,"新增")</f>
        <v/>
      </c>
      <c r="G985" s="4">
        <f>-SUMIFS('01_異動主檔'!$F:$F,'01_異動主檔'!$B:$B,107,'01_異動主檔'!$D:$D,A985,'01_異動主檔'!$E:$E,"減列")</f>
        <v/>
      </c>
      <c r="H985" s="4">
        <f>-SUMIFS('01_異動主檔'!$F:$F,'01_異動主檔'!$B:$B,107,'01_異動主檔'!$D:$D,A985,'01_異動主檔'!$E:$E,"精簡")</f>
        <v/>
      </c>
      <c r="I985" s="8">
        <f>C985+D985+E985+F985+G985+H985</f>
        <v/>
      </c>
    </row>
    <row r="986" ht="18" customHeight="1">
      <c r="A986" s="5" t="inlineStr">
        <is>
          <t>審查中心</t>
        </is>
      </c>
      <c r="B986" s="6" t="n">
        <v>108</v>
      </c>
      <c r="C986" s="8">
        <f>I985</f>
        <v/>
      </c>
      <c r="D986" s="4">
        <f>SUMIFS('01_異動主檔'!$F:$F,'01_異動主檔'!$B:$B,108,'01_異動主檔'!$D:$D,A986,'01_異動主檔'!$E:$E,"移入")</f>
        <v/>
      </c>
      <c r="E986" s="4">
        <f>-SUMIFS('01_異動主檔'!$F:$F,'01_異動主檔'!$B:$B,108,'01_異動主檔'!$D:$D,A986,'01_異動主檔'!$E:$E,"移出")</f>
        <v/>
      </c>
      <c r="F986" s="4">
        <f>SUMIFS('01_異動主檔'!$F:$F,'01_異動主檔'!$B:$B,108,'01_異動主檔'!$D:$D,A986,'01_異動主檔'!$E:$E,"新增")</f>
        <v/>
      </c>
      <c r="G986" s="4">
        <f>-SUMIFS('01_異動主檔'!$F:$F,'01_異動主檔'!$B:$B,108,'01_異動主檔'!$D:$D,A986,'01_異動主檔'!$E:$E,"減列")</f>
        <v/>
      </c>
      <c r="H986" s="4">
        <f>-SUMIFS('01_異動主檔'!$F:$F,'01_異動主檔'!$B:$B,108,'01_異動主檔'!$D:$D,A986,'01_異動主檔'!$E:$E,"精簡")</f>
        <v/>
      </c>
      <c r="I986" s="8">
        <f>C986+D986+E986+F986+G986+H986</f>
        <v/>
      </c>
    </row>
    <row r="987" ht="18" customHeight="1">
      <c r="A987" s="3" t="inlineStr">
        <is>
          <t>審查中心</t>
        </is>
      </c>
      <c r="B987" s="4" t="n">
        <v>109</v>
      </c>
      <c r="C987" s="8">
        <f>I986</f>
        <v/>
      </c>
      <c r="D987" s="4">
        <f>SUMIFS('01_異動主檔'!$F:$F,'01_異動主檔'!$B:$B,109,'01_異動主檔'!$D:$D,A987,'01_異動主檔'!$E:$E,"移入")</f>
        <v/>
      </c>
      <c r="E987" s="4">
        <f>-SUMIFS('01_異動主檔'!$F:$F,'01_異動主檔'!$B:$B,109,'01_異動主檔'!$D:$D,A987,'01_異動主檔'!$E:$E,"移出")</f>
        <v/>
      </c>
      <c r="F987" s="4">
        <f>SUMIFS('01_異動主檔'!$F:$F,'01_異動主檔'!$B:$B,109,'01_異動主檔'!$D:$D,A987,'01_異動主檔'!$E:$E,"新增")</f>
        <v/>
      </c>
      <c r="G987" s="4">
        <f>-SUMIFS('01_異動主檔'!$F:$F,'01_異動主檔'!$B:$B,109,'01_異動主檔'!$D:$D,A987,'01_異動主檔'!$E:$E,"減列")</f>
        <v/>
      </c>
      <c r="H987" s="4">
        <f>-SUMIFS('01_異動主檔'!$F:$F,'01_異動主檔'!$B:$B,109,'01_異動主檔'!$D:$D,A987,'01_異動主檔'!$E:$E,"精簡")</f>
        <v/>
      </c>
      <c r="I987" s="8">
        <f>C987+D987+E987+F987+G987+H987</f>
        <v/>
      </c>
    </row>
    <row r="988" ht="18" customHeight="1">
      <c r="A988" s="5" t="inlineStr">
        <is>
          <t>審查中心</t>
        </is>
      </c>
      <c r="B988" s="6" t="n">
        <v>110</v>
      </c>
      <c r="C988" s="8">
        <f>I987</f>
        <v/>
      </c>
      <c r="D988" s="4">
        <f>SUMIFS('01_異動主檔'!$F:$F,'01_異動主檔'!$B:$B,110,'01_異動主檔'!$D:$D,A988,'01_異動主檔'!$E:$E,"移入")</f>
        <v/>
      </c>
      <c r="E988" s="4">
        <f>-SUMIFS('01_異動主檔'!$F:$F,'01_異動主檔'!$B:$B,110,'01_異動主檔'!$D:$D,A988,'01_異動主檔'!$E:$E,"移出")</f>
        <v/>
      </c>
      <c r="F988" s="4">
        <f>SUMIFS('01_異動主檔'!$F:$F,'01_異動主檔'!$B:$B,110,'01_異動主檔'!$D:$D,A988,'01_異動主檔'!$E:$E,"新增")</f>
        <v/>
      </c>
      <c r="G988" s="4">
        <f>-SUMIFS('01_異動主檔'!$F:$F,'01_異動主檔'!$B:$B,110,'01_異動主檔'!$D:$D,A988,'01_異動主檔'!$E:$E,"減列")</f>
        <v/>
      </c>
      <c r="H988" s="4">
        <f>-SUMIFS('01_異動主檔'!$F:$F,'01_異動主檔'!$B:$B,110,'01_異動主檔'!$D:$D,A988,'01_異動主檔'!$E:$E,"精簡")</f>
        <v/>
      </c>
      <c r="I988" s="8">
        <f>C988+D988+E988+F988+G988+H988</f>
        <v/>
      </c>
    </row>
    <row r="989" ht="18" customHeight="1">
      <c r="A989" s="3" t="inlineStr">
        <is>
          <t>審查中心</t>
        </is>
      </c>
      <c r="B989" s="4" t="n">
        <v>111</v>
      </c>
      <c r="C989" s="8">
        <f>I988</f>
        <v/>
      </c>
      <c r="D989" s="4">
        <f>SUMIFS('01_異動主檔'!$F:$F,'01_異動主檔'!$B:$B,111,'01_異動主檔'!$D:$D,A989,'01_異動主檔'!$E:$E,"移入")</f>
        <v/>
      </c>
      <c r="E989" s="4">
        <f>-SUMIFS('01_異動主檔'!$F:$F,'01_異動主檔'!$B:$B,111,'01_異動主檔'!$D:$D,A989,'01_異動主檔'!$E:$E,"移出")</f>
        <v/>
      </c>
      <c r="F989" s="4">
        <f>SUMIFS('01_異動主檔'!$F:$F,'01_異動主檔'!$B:$B,111,'01_異動主檔'!$D:$D,A989,'01_異動主檔'!$E:$E,"新增")</f>
        <v/>
      </c>
      <c r="G989" s="4">
        <f>-SUMIFS('01_異動主檔'!$F:$F,'01_異動主檔'!$B:$B,111,'01_異動主檔'!$D:$D,A989,'01_異動主檔'!$E:$E,"減列")</f>
        <v/>
      </c>
      <c r="H989" s="4">
        <f>-SUMIFS('01_異動主檔'!$F:$F,'01_異動主檔'!$B:$B,111,'01_異動主檔'!$D:$D,A989,'01_異動主檔'!$E:$E,"精簡")</f>
        <v/>
      </c>
      <c r="I989" s="8">
        <f>C989+D989+E989+F989+G989+H989</f>
        <v/>
      </c>
    </row>
    <row r="990" ht="18" customHeight="1">
      <c r="A990" s="5" t="inlineStr">
        <is>
          <t>審查中心</t>
        </is>
      </c>
      <c r="B990" s="6" t="n">
        <v>112</v>
      </c>
      <c r="C990" s="8">
        <f>I989</f>
        <v/>
      </c>
      <c r="D990" s="4">
        <f>SUMIFS('01_異動主檔'!$F:$F,'01_異動主檔'!$B:$B,112,'01_異動主檔'!$D:$D,A990,'01_異動主檔'!$E:$E,"移入")</f>
        <v/>
      </c>
      <c r="E990" s="4">
        <f>-SUMIFS('01_異動主檔'!$F:$F,'01_異動主檔'!$B:$B,112,'01_異動主檔'!$D:$D,A990,'01_異動主檔'!$E:$E,"移出")</f>
        <v/>
      </c>
      <c r="F990" s="4">
        <f>SUMIFS('01_異動主檔'!$F:$F,'01_異動主檔'!$B:$B,112,'01_異動主檔'!$D:$D,A990,'01_異動主檔'!$E:$E,"新增")</f>
        <v/>
      </c>
      <c r="G990" s="4">
        <f>-SUMIFS('01_異動主檔'!$F:$F,'01_異動主檔'!$B:$B,112,'01_異動主檔'!$D:$D,A990,'01_異動主檔'!$E:$E,"減列")</f>
        <v/>
      </c>
      <c r="H990" s="4">
        <f>-SUMIFS('01_異動主檔'!$F:$F,'01_異動主檔'!$B:$B,112,'01_異動主檔'!$D:$D,A990,'01_異動主檔'!$E:$E,"精簡")</f>
        <v/>
      </c>
      <c r="I990" s="8">
        <f>C990+D990+E990+F990+G990+H990</f>
        <v/>
      </c>
    </row>
    <row r="991" ht="18" customHeight="1">
      <c r="A991" s="3" t="inlineStr">
        <is>
          <t>審查中心</t>
        </is>
      </c>
      <c r="B991" s="4" t="n">
        <v>113</v>
      </c>
      <c r="C991" s="8">
        <f>I990</f>
        <v/>
      </c>
      <c r="D991" s="4">
        <f>SUMIFS('01_異動主檔'!$F:$F,'01_異動主檔'!$B:$B,113,'01_異動主檔'!$D:$D,A991,'01_異動主檔'!$E:$E,"移入")</f>
        <v/>
      </c>
      <c r="E991" s="4">
        <f>-SUMIFS('01_異動主檔'!$F:$F,'01_異動主檔'!$B:$B,113,'01_異動主檔'!$D:$D,A991,'01_異動主檔'!$E:$E,"移出")</f>
        <v/>
      </c>
      <c r="F991" s="4">
        <f>SUMIFS('01_異動主檔'!$F:$F,'01_異動主檔'!$B:$B,113,'01_異動主檔'!$D:$D,A991,'01_異動主檔'!$E:$E,"新增")</f>
        <v/>
      </c>
      <c r="G991" s="4">
        <f>-SUMIFS('01_異動主檔'!$F:$F,'01_異動主檔'!$B:$B,113,'01_異動主檔'!$D:$D,A991,'01_異動主檔'!$E:$E,"減列")</f>
        <v/>
      </c>
      <c r="H991" s="4">
        <f>-SUMIFS('01_異動主檔'!$F:$F,'01_異動主檔'!$B:$B,113,'01_異動主檔'!$D:$D,A991,'01_異動主檔'!$E:$E,"精簡")</f>
        <v/>
      </c>
      <c r="I991" s="8">
        <f>C991+D991+E991+F991+G991+H991</f>
        <v/>
      </c>
    </row>
    <row r="992" ht="18" customHeight="1">
      <c r="A992" s="5" t="inlineStr">
        <is>
          <t>審查中心</t>
        </is>
      </c>
      <c r="B992" s="6" t="n">
        <v>114</v>
      </c>
      <c r="C992" s="8">
        <f>I991</f>
        <v/>
      </c>
      <c r="D992" s="4">
        <f>SUMIFS('01_異動主檔'!$F:$F,'01_異動主檔'!$B:$B,114,'01_異動主檔'!$D:$D,A992,'01_異動主檔'!$E:$E,"移入")</f>
        <v/>
      </c>
      <c r="E992" s="4">
        <f>-SUMIFS('01_異動主檔'!$F:$F,'01_異動主檔'!$B:$B,114,'01_異動主檔'!$D:$D,A992,'01_異動主檔'!$E:$E,"移出")</f>
        <v/>
      </c>
      <c r="F992" s="4">
        <f>SUMIFS('01_異動主檔'!$F:$F,'01_異動主檔'!$B:$B,114,'01_異動主檔'!$D:$D,A992,'01_異動主檔'!$E:$E,"新增")</f>
        <v/>
      </c>
      <c r="G992" s="4">
        <f>-SUMIFS('01_異動主檔'!$F:$F,'01_異動主檔'!$B:$B,114,'01_異動主檔'!$D:$D,A992,'01_異動主檔'!$E:$E,"減列")</f>
        <v/>
      </c>
      <c r="H992" s="4">
        <f>-SUMIFS('01_異動主檔'!$F:$F,'01_異動主檔'!$B:$B,114,'01_異動主檔'!$D:$D,A992,'01_異動主檔'!$E:$E,"精簡")</f>
        <v/>
      </c>
      <c r="I992" s="8">
        <f>C992+D992+E992+F992+G992+H992</f>
        <v/>
      </c>
    </row>
    <row r="993" ht="18" customHeight="1">
      <c r="A993" s="3" t="inlineStr">
        <is>
          <t>審查中心</t>
        </is>
      </c>
      <c r="B993" s="4" t="n">
        <v>115</v>
      </c>
      <c r="C993" s="8">
        <f>I992</f>
        <v/>
      </c>
      <c r="D993" s="4">
        <f>SUMIFS('01_異動主檔'!$F:$F,'01_異動主檔'!$B:$B,115,'01_異動主檔'!$D:$D,A993,'01_異動主檔'!$E:$E,"移入")</f>
        <v/>
      </c>
      <c r="E993" s="4">
        <f>-SUMIFS('01_異動主檔'!$F:$F,'01_異動主檔'!$B:$B,115,'01_異動主檔'!$D:$D,A993,'01_異動主檔'!$E:$E,"移出")</f>
        <v/>
      </c>
      <c r="F993" s="4">
        <f>SUMIFS('01_異動主檔'!$F:$F,'01_異動主檔'!$B:$B,115,'01_異動主檔'!$D:$D,A993,'01_異動主檔'!$E:$E,"新增")</f>
        <v/>
      </c>
      <c r="G993" s="4">
        <f>-SUMIFS('01_異動主檔'!$F:$F,'01_異動主檔'!$B:$B,115,'01_異動主檔'!$D:$D,A993,'01_異動主檔'!$E:$E,"減列")</f>
        <v/>
      </c>
      <c r="H993" s="4">
        <f>-SUMIFS('01_異動主檔'!$F:$F,'01_異動主檔'!$B:$B,115,'01_異動主檔'!$D:$D,A993,'01_異動主檔'!$E:$E,"精簡")</f>
        <v/>
      </c>
      <c r="I993" s="8">
        <f>C993+D993+E993+F993+G993+H993</f>
        <v/>
      </c>
    </row>
    <row r="994" ht="18" customHeight="1">
      <c r="A994" s="5" t="inlineStr">
        <is>
          <t>審查中心</t>
        </is>
      </c>
      <c r="B994" s="6" t="n">
        <v>116</v>
      </c>
      <c r="C994" s="8">
        <f>I993</f>
        <v/>
      </c>
      <c r="D994" s="4">
        <f>SUMIFS('01_異動主檔'!$F:$F,'01_異動主檔'!$B:$B,116,'01_異動主檔'!$D:$D,A994,'01_異動主檔'!$E:$E,"移入")</f>
        <v/>
      </c>
      <c r="E994" s="4">
        <f>-SUMIFS('01_異動主檔'!$F:$F,'01_異動主檔'!$B:$B,116,'01_異動主檔'!$D:$D,A994,'01_異動主檔'!$E:$E,"移出")</f>
        <v/>
      </c>
      <c r="F994" s="4">
        <f>SUMIFS('01_異動主檔'!$F:$F,'01_異動主檔'!$B:$B,116,'01_異動主檔'!$D:$D,A994,'01_異動主檔'!$E:$E,"新增")</f>
        <v/>
      </c>
      <c r="G994" s="4">
        <f>-SUMIFS('01_異動主檔'!$F:$F,'01_異動主檔'!$B:$B,116,'01_異動主檔'!$D:$D,A994,'01_異動主檔'!$E:$E,"減列")</f>
        <v/>
      </c>
      <c r="H994" s="4">
        <f>-SUMIFS('01_異動主檔'!$F:$F,'01_異動主檔'!$B:$B,116,'01_異動主檔'!$D:$D,A994,'01_異動主檔'!$E:$E,"精簡")</f>
        <v/>
      </c>
      <c r="I994" s="8">
        <f>C994+D994+E994+F994+G994+H994</f>
        <v/>
      </c>
    </row>
    <row r="995" ht="18" customHeight="1">
      <c r="A995" s="3" t="inlineStr">
        <is>
          <t>審查中心</t>
        </is>
      </c>
      <c r="B995" s="4" t="n">
        <v>117</v>
      </c>
      <c r="C995" s="8">
        <f>I994</f>
        <v/>
      </c>
      <c r="D995" s="4">
        <f>SUMIFS('01_異動主檔'!$F:$F,'01_異動主檔'!$B:$B,117,'01_異動主檔'!$D:$D,A995,'01_異動主檔'!$E:$E,"移入")</f>
        <v/>
      </c>
      <c r="E995" s="4">
        <f>-SUMIFS('01_異動主檔'!$F:$F,'01_異動主檔'!$B:$B,117,'01_異動主檔'!$D:$D,A995,'01_異動主檔'!$E:$E,"移出")</f>
        <v/>
      </c>
      <c r="F995" s="4">
        <f>SUMIFS('01_異動主檔'!$F:$F,'01_異動主檔'!$B:$B,117,'01_異動主檔'!$D:$D,A995,'01_異動主檔'!$E:$E,"新增")</f>
        <v/>
      </c>
      <c r="G995" s="4">
        <f>-SUMIFS('01_異動主檔'!$F:$F,'01_異動主檔'!$B:$B,117,'01_異動主檔'!$D:$D,A995,'01_異動主檔'!$E:$E,"減列")</f>
        <v/>
      </c>
      <c r="H995" s="4">
        <f>-SUMIFS('01_異動主檔'!$F:$F,'01_異動主檔'!$B:$B,117,'01_異動主檔'!$D:$D,A995,'01_異動主檔'!$E:$E,"精簡")</f>
        <v/>
      </c>
      <c r="I995" s="8">
        <f>C995+D995+E995+F995+G995+H995</f>
        <v/>
      </c>
    </row>
    <row r="996" ht="18" customHeight="1">
      <c r="A996" s="5" t="inlineStr">
        <is>
          <t>審查中心</t>
        </is>
      </c>
      <c r="B996" s="6" t="n">
        <v>118</v>
      </c>
      <c r="C996" s="8">
        <f>I995</f>
        <v/>
      </c>
      <c r="D996" s="4">
        <f>SUMIFS('01_異動主檔'!$F:$F,'01_異動主檔'!$B:$B,118,'01_異動主檔'!$D:$D,A996,'01_異動主檔'!$E:$E,"移入")</f>
        <v/>
      </c>
      <c r="E996" s="4">
        <f>-SUMIFS('01_異動主檔'!$F:$F,'01_異動主檔'!$B:$B,118,'01_異動主檔'!$D:$D,A996,'01_異動主檔'!$E:$E,"移出")</f>
        <v/>
      </c>
      <c r="F996" s="4">
        <f>SUMIFS('01_異動主檔'!$F:$F,'01_異動主檔'!$B:$B,118,'01_異動主檔'!$D:$D,A996,'01_異動主檔'!$E:$E,"新增")</f>
        <v/>
      </c>
      <c r="G996" s="4">
        <f>-SUMIFS('01_異動主檔'!$F:$F,'01_異動主檔'!$B:$B,118,'01_異動主檔'!$D:$D,A996,'01_異動主檔'!$E:$E,"減列")</f>
        <v/>
      </c>
      <c r="H996" s="4">
        <f>-SUMIFS('01_異動主檔'!$F:$F,'01_異動主檔'!$B:$B,118,'01_異動主檔'!$D:$D,A996,'01_異動主檔'!$E:$E,"精簡")</f>
        <v/>
      </c>
      <c r="I996" s="8">
        <f>C996+D996+E996+F996+G996+H996</f>
        <v/>
      </c>
    </row>
    <row r="997" ht="18" customHeight="1">
      <c r="A997" s="3" t="inlineStr">
        <is>
          <t>審查中心</t>
        </is>
      </c>
      <c r="B997" s="4" t="n">
        <v>119</v>
      </c>
      <c r="C997" s="8">
        <f>I996</f>
        <v/>
      </c>
      <c r="D997" s="4">
        <f>SUMIFS('01_異動主檔'!$F:$F,'01_異動主檔'!$B:$B,119,'01_異動主檔'!$D:$D,A997,'01_異動主檔'!$E:$E,"移入")</f>
        <v/>
      </c>
      <c r="E997" s="4">
        <f>-SUMIFS('01_異動主檔'!$F:$F,'01_異動主檔'!$B:$B,119,'01_異動主檔'!$D:$D,A997,'01_異動主檔'!$E:$E,"移出")</f>
        <v/>
      </c>
      <c r="F997" s="4">
        <f>SUMIFS('01_異動主檔'!$F:$F,'01_異動主檔'!$B:$B,119,'01_異動主檔'!$D:$D,A997,'01_異動主檔'!$E:$E,"新增")</f>
        <v/>
      </c>
      <c r="G997" s="4">
        <f>-SUMIFS('01_異動主檔'!$F:$F,'01_異動主檔'!$B:$B,119,'01_異動主檔'!$D:$D,A997,'01_異動主檔'!$E:$E,"減列")</f>
        <v/>
      </c>
      <c r="H997" s="4">
        <f>-SUMIFS('01_異動主檔'!$F:$F,'01_異動主檔'!$B:$B,119,'01_異動主檔'!$D:$D,A997,'01_異動主檔'!$E:$E,"精簡")</f>
        <v/>
      </c>
      <c r="I997" s="8">
        <f>C997+D997+E997+F997+G997+H997</f>
        <v/>
      </c>
    </row>
    <row r="998" ht="18" customHeight="1">
      <c r="A998" s="5" t="inlineStr">
        <is>
          <t>審查中心</t>
        </is>
      </c>
      <c r="B998" s="6" t="n">
        <v>120</v>
      </c>
      <c r="C998" s="8">
        <f>I997</f>
        <v/>
      </c>
      <c r="D998" s="4">
        <f>SUMIFS('01_異動主檔'!$F:$F,'01_異動主檔'!$B:$B,120,'01_異動主檔'!$D:$D,A998,'01_異動主檔'!$E:$E,"移入")</f>
        <v/>
      </c>
      <c r="E998" s="4">
        <f>-SUMIFS('01_異動主檔'!$F:$F,'01_異動主檔'!$B:$B,120,'01_異動主檔'!$D:$D,A998,'01_異動主檔'!$E:$E,"移出")</f>
        <v/>
      </c>
      <c r="F998" s="4">
        <f>SUMIFS('01_異動主檔'!$F:$F,'01_異動主檔'!$B:$B,120,'01_異動主檔'!$D:$D,A998,'01_異動主檔'!$E:$E,"新增")</f>
        <v/>
      </c>
      <c r="G998" s="4">
        <f>-SUMIFS('01_異動主檔'!$F:$F,'01_異動主檔'!$B:$B,120,'01_異動主檔'!$D:$D,A998,'01_異動主檔'!$E:$E,"減列")</f>
        <v/>
      </c>
      <c r="H998" s="4">
        <f>-SUMIFS('01_異動主檔'!$F:$F,'01_異動主檔'!$B:$B,120,'01_異動主檔'!$D:$D,A998,'01_異動主檔'!$E:$E,"精簡")</f>
        <v/>
      </c>
      <c r="I998" s="8">
        <f>C998+D998+E998+F998+G998+H998</f>
        <v/>
      </c>
    </row>
    <row r="999" ht="18" customHeight="1">
      <c r="A999" s="3" t="inlineStr">
        <is>
          <t>審查中心</t>
        </is>
      </c>
      <c r="B999" s="4" t="n">
        <v>121</v>
      </c>
      <c r="C999" s="8">
        <f>I998</f>
        <v/>
      </c>
      <c r="D999" s="4">
        <f>SUMIFS('01_異動主檔'!$F:$F,'01_異動主檔'!$B:$B,121,'01_異動主檔'!$D:$D,A999,'01_異動主檔'!$E:$E,"移入")</f>
        <v/>
      </c>
      <c r="E999" s="4">
        <f>-SUMIFS('01_異動主檔'!$F:$F,'01_異動主檔'!$B:$B,121,'01_異動主檔'!$D:$D,A999,'01_異動主檔'!$E:$E,"移出")</f>
        <v/>
      </c>
      <c r="F999" s="4">
        <f>SUMIFS('01_異動主檔'!$F:$F,'01_異動主檔'!$B:$B,121,'01_異動主檔'!$D:$D,A999,'01_異動主檔'!$E:$E,"新增")</f>
        <v/>
      </c>
      <c r="G999" s="4">
        <f>-SUMIFS('01_異動主檔'!$F:$F,'01_異動主檔'!$B:$B,121,'01_異動主檔'!$D:$D,A999,'01_異動主檔'!$E:$E,"減列")</f>
        <v/>
      </c>
      <c r="H999" s="4">
        <f>-SUMIFS('01_異動主檔'!$F:$F,'01_異動主檔'!$B:$B,121,'01_異動主檔'!$D:$D,A999,'01_異動主檔'!$E:$E,"精簡")</f>
        <v/>
      </c>
      <c r="I999" s="8">
        <f>C999+D999+E999+F999+G999+H999</f>
        <v/>
      </c>
    </row>
    <row r="1000" ht="18" customHeight="1">
      <c r="A1000" s="5" t="inlineStr">
        <is>
          <t>審查中心</t>
        </is>
      </c>
      <c r="B1000" s="6" t="n">
        <v>122</v>
      </c>
      <c r="C1000" s="8">
        <f>I999</f>
        <v/>
      </c>
      <c r="D1000" s="4">
        <f>SUMIFS('01_異動主檔'!$F:$F,'01_異動主檔'!$B:$B,122,'01_異動主檔'!$D:$D,A1000,'01_異動主檔'!$E:$E,"移入")</f>
        <v/>
      </c>
      <c r="E1000" s="4">
        <f>-SUMIFS('01_異動主檔'!$F:$F,'01_異動主檔'!$B:$B,122,'01_異動主檔'!$D:$D,A1000,'01_異動主檔'!$E:$E,"移出")</f>
        <v/>
      </c>
      <c r="F1000" s="4">
        <f>SUMIFS('01_異動主檔'!$F:$F,'01_異動主檔'!$B:$B,122,'01_異動主檔'!$D:$D,A1000,'01_異動主檔'!$E:$E,"新增")</f>
        <v/>
      </c>
      <c r="G1000" s="4">
        <f>-SUMIFS('01_異動主檔'!$F:$F,'01_異動主檔'!$B:$B,122,'01_異動主檔'!$D:$D,A1000,'01_異動主檔'!$E:$E,"減列")</f>
        <v/>
      </c>
      <c r="H1000" s="4">
        <f>-SUMIFS('01_異動主檔'!$F:$F,'01_異動主檔'!$B:$B,122,'01_異動主檔'!$D:$D,A1000,'01_異動主檔'!$E:$E,"精簡")</f>
        <v/>
      </c>
      <c r="I1000" s="8">
        <f>C1000+D1000+E1000+F1000+G1000+H1000</f>
        <v/>
      </c>
    </row>
    <row r="1001" ht="18" customHeight="1">
      <c r="A1001" s="3" t="inlineStr">
        <is>
          <t>審查中心</t>
        </is>
      </c>
      <c r="B1001" s="4" t="n">
        <v>123</v>
      </c>
      <c r="C1001" s="8">
        <f>I1000</f>
        <v/>
      </c>
      <c r="D1001" s="4">
        <f>SUMIFS('01_異動主檔'!$F:$F,'01_異動主檔'!$B:$B,123,'01_異動主檔'!$D:$D,A1001,'01_異動主檔'!$E:$E,"移入")</f>
        <v/>
      </c>
      <c r="E1001" s="4">
        <f>-SUMIFS('01_異動主檔'!$F:$F,'01_異動主檔'!$B:$B,123,'01_異動主檔'!$D:$D,A1001,'01_異動主檔'!$E:$E,"移出")</f>
        <v/>
      </c>
      <c r="F1001" s="4">
        <f>SUMIFS('01_異動主檔'!$F:$F,'01_異動主檔'!$B:$B,123,'01_異動主檔'!$D:$D,A1001,'01_異動主檔'!$E:$E,"新增")</f>
        <v/>
      </c>
      <c r="G1001" s="4">
        <f>-SUMIFS('01_異動主檔'!$F:$F,'01_異動主檔'!$B:$B,123,'01_異動主檔'!$D:$D,A1001,'01_異動主檔'!$E:$E,"減列")</f>
        <v/>
      </c>
      <c r="H1001" s="4">
        <f>-SUMIFS('01_異動主檔'!$F:$F,'01_異動主檔'!$B:$B,123,'01_異動主檔'!$D:$D,A1001,'01_異動主檔'!$E:$E,"精簡")</f>
        <v/>
      </c>
      <c r="I1001" s="8">
        <f>C1001+D1001+E1001+F1001+G1001+H1001</f>
        <v/>
      </c>
    </row>
    <row r="1002" ht="18" customHeight="1">
      <c r="A1002" s="5" t="inlineStr">
        <is>
          <t>審查中心</t>
        </is>
      </c>
      <c r="B1002" s="6" t="n">
        <v>124</v>
      </c>
      <c r="C1002" s="8">
        <f>I1001</f>
        <v/>
      </c>
      <c r="D1002" s="4">
        <f>SUMIFS('01_異動主檔'!$F:$F,'01_異動主檔'!$B:$B,124,'01_異動主檔'!$D:$D,A1002,'01_異動主檔'!$E:$E,"移入")</f>
        <v/>
      </c>
      <c r="E1002" s="4">
        <f>-SUMIFS('01_異動主檔'!$F:$F,'01_異動主檔'!$B:$B,124,'01_異動主檔'!$D:$D,A1002,'01_異動主檔'!$E:$E,"移出")</f>
        <v/>
      </c>
      <c r="F1002" s="4">
        <f>SUMIFS('01_異動主檔'!$F:$F,'01_異動主檔'!$B:$B,124,'01_異動主檔'!$D:$D,A1002,'01_異動主檔'!$E:$E,"新增")</f>
        <v/>
      </c>
      <c r="G1002" s="4">
        <f>-SUMIFS('01_異動主檔'!$F:$F,'01_異動主檔'!$B:$B,124,'01_異動主檔'!$D:$D,A1002,'01_異動主檔'!$E:$E,"減列")</f>
        <v/>
      </c>
      <c r="H1002" s="4">
        <f>-SUMIFS('01_異動主檔'!$F:$F,'01_異動主檔'!$B:$B,124,'01_異動主檔'!$D:$D,A1002,'01_異動主檔'!$E:$E,"精簡")</f>
        <v/>
      </c>
      <c r="I1002" s="8">
        <f>C1002+D1002+E1002+F1002+G1002+H1002</f>
        <v/>
      </c>
    </row>
    <row r="1003" ht="18" customHeight="1">
      <c r="A1003" s="3" t="inlineStr">
        <is>
          <t>審查中心</t>
        </is>
      </c>
      <c r="B1003" s="4" t="n">
        <v>125</v>
      </c>
      <c r="C1003" s="8">
        <f>I1002</f>
        <v/>
      </c>
      <c r="D1003" s="4">
        <f>SUMIFS('01_異動主檔'!$F:$F,'01_異動主檔'!$B:$B,125,'01_異動主檔'!$D:$D,A1003,'01_異動主檔'!$E:$E,"移入")</f>
        <v/>
      </c>
      <c r="E1003" s="4">
        <f>-SUMIFS('01_異動主檔'!$F:$F,'01_異動主檔'!$B:$B,125,'01_異動主檔'!$D:$D,A1003,'01_異動主檔'!$E:$E,"移出")</f>
        <v/>
      </c>
      <c r="F1003" s="4">
        <f>SUMIFS('01_異動主檔'!$F:$F,'01_異動主檔'!$B:$B,125,'01_異動主檔'!$D:$D,A1003,'01_異動主檔'!$E:$E,"新增")</f>
        <v/>
      </c>
      <c r="G1003" s="4">
        <f>-SUMIFS('01_異動主檔'!$F:$F,'01_異動主檔'!$B:$B,125,'01_異動主檔'!$D:$D,A1003,'01_異動主檔'!$E:$E,"減列")</f>
        <v/>
      </c>
      <c r="H1003" s="4">
        <f>-SUMIFS('01_異動主檔'!$F:$F,'01_異動主檔'!$B:$B,125,'01_異動主檔'!$D:$D,A1003,'01_異動主檔'!$E:$E,"精簡")</f>
        <v/>
      </c>
      <c r="I1003" s="8">
        <f>C1003+D1003+E1003+F1003+G1003+H1003</f>
        <v/>
      </c>
    </row>
    <row r="1004" ht="18" customHeight="1">
      <c r="A1004" s="5" t="inlineStr">
        <is>
          <t>監理中心</t>
        </is>
      </c>
      <c r="B1004" s="6" t="n">
        <v>99</v>
      </c>
      <c r="C1004" s="8">
        <f>'02_年初員額設定'!B42</f>
        <v/>
      </c>
      <c r="D1004" s="4">
        <f>SUMIFS('01_異動主檔'!$F:$F,'01_異動主檔'!$B:$B,99,'01_異動主檔'!$D:$D,A1004,'01_異動主檔'!$E:$E,"移入")</f>
        <v/>
      </c>
      <c r="E1004" s="4">
        <f>-SUMIFS('01_異動主檔'!$F:$F,'01_異動主檔'!$B:$B,99,'01_異動主檔'!$D:$D,A1004,'01_異動主檔'!$E:$E,"移出")</f>
        <v/>
      </c>
      <c r="F1004" s="4">
        <f>SUMIFS('01_異動主檔'!$F:$F,'01_異動主檔'!$B:$B,99,'01_異動主檔'!$D:$D,A1004,'01_異動主檔'!$E:$E,"新增")</f>
        <v/>
      </c>
      <c r="G1004" s="4">
        <f>-SUMIFS('01_異動主檔'!$F:$F,'01_異動主檔'!$B:$B,99,'01_異動主檔'!$D:$D,A1004,'01_異動主檔'!$E:$E,"減列")</f>
        <v/>
      </c>
      <c r="H1004" s="4">
        <f>-SUMIFS('01_異動主檔'!$F:$F,'01_異動主檔'!$B:$B,99,'01_異動主檔'!$D:$D,A1004,'01_異動主檔'!$E:$E,"精簡")</f>
        <v/>
      </c>
      <c r="I1004" s="8">
        <f>C1004+D1004+E1004+F1004+G1004+H1004</f>
        <v/>
      </c>
    </row>
    <row r="1005" ht="18" customHeight="1">
      <c r="A1005" s="3" t="inlineStr">
        <is>
          <t>監理中心</t>
        </is>
      </c>
      <c r="B1005" s="4" t="n">
        <v>100</v>
      </c>
      <c r="C1005" s="8">
        <f>I1004</f>
        <v/>
      </c>
      <c r="D1005" s="4">
        <f>SUMIFS('01_異動主檔'!$F:$F,'01_異動主檔'!$B:$B,100,'01_異動主檔'!$D:$D,A1005,'01_異動主檔'!$E:$E,"移入")</f>
        <v/>
      </c>
      <c r="E1005" s="4">
        <f>-SUMIFS('01_異動主檔'!$F:$F,'01_異動主檔'!$B:$B,100,'01_異動主檔'!$D:$D,A1005,'01_異動主檔'!$E:$E,"移出")</f>
        <v/>
      </c>
      <c r="F1005" s="4">
        <f>SUMIFS('01_異動主檔'!$F:$F,'01_異動主檔'!$B:$B,100,'01_異動主檔'!$D:$D,A1005,'01_異動主檔'!$E:$E,"新增")</f>
        <v/>
      </c>
      <c r="G1005" s="4">
        <f>-SUMIFS('01_異動主檔'!$F:$F,'01_異動主檔'!$B:$B,100,'01_異動主檔'!$D:$D,A1005,'01_異動主檔'!$E:$E,"減列")</f>
        <v/>
      </c>
      <c r="H1005" s="4">
        <f>-SUMIFS('01_異動主檔'!$F:$F,'01_異動主檔'!$B:$B,100,'01_異動主檔'!$D:$D,A1005,'01_異動主檔'!$E:$E,"精簡")</f>
        <v/>
      </c>
      <c r="I1005" s="8">
        <f>C1005+D1005+E1005+F1005+G1005+H1005</f>
        <v/>
      </c>
    </row>
    <row r="1006" ht="18" customHeight="1">
      <c r="A1006" s="5" t="inlineStr">
        <is>
          <t>監理中心</t>
        </is>
      </c>
      <c r="B1006" s="6" t="n">
        <v>101</v>
      </c>
      <c r="C1006" s="8">
        <f>I1005</f>
        <v/>
      </c>
      <c r="D1006" s="4">
        <f>SUMIFS('01_異動主檔'!$F:$F,'01_異動主檔'!$B:$B,101,'01_異動主檔'!$D:$D,A1006,'01_異動主檔'!$E:$E,"移入")</f>
        <v/>
      </c>
      <c r="E1006" s="4">
        <f>-SUMIFS('01_異動主檔'!$F:$F,'01_異動主檔'!$B:$B,101,'01_異動主檔'!$D:$D,A1006,'01_異動主檔'!$E:$E,"移出")</f>
        <v/>
      </c>
      <c r="F1006" s="4">
        <f>SUMIFS('01_異動主檔'!$F:$F,'01_異動主檔'!$B:$B,101,'01_異動主檔'!$D:$D,A1006,'01_異動主檔'!$E:$E,"新增")</f>
        <v/>
      </c>
      <c r="G1006" s="4">
        <f>-SUMIFS('01_異動主檔'!$F:$F,'01_異動主檔'!$B:$B,101,'01_異動主檔'!$D:$D,A1006,'01_異動主檔'!$E:$E,"減列")</f>
        <v/>
      </c>
      <c r="H1006" s="4">
        <f>-SUMIFS('01_異動主檔'!$F:$F,'01_異動主檔'!$B:$B,101,'01_異動主檔'!$D:$D,A1006,'01_異動主檔'!$E:$E,"精簡")</f>
        <v/>
      </c>
      <c r="I1006" s="8">
        <f>C1006+D1006+E1006+F1006+G1006+H1006</f>
        <v/>
      </c>
    </row>
    <row r="1007" ht="18" customHeight="1">
      <c r="A1007" s="3" t="inlineStr">
        <is>
          <t>監理中心</t>
        </is>
      </c>
      <c r="B1007" s="4" t="n">
        <v>102</v>
      </c>
      <c r="C1007" s="8">
        <f>I1006</f>
        <v/>
      </c>
      <c r="D1007" s="4">
        <f>SUMIFS('01_異動主檔'!$F:$F,'01_異動主檔'!$B:$B,102,'01_異動主檔'!$D:$D,A1007,'01_異動主檔'!$E:$E,"移入")</f>
        <v/>
      </c>
      <c r="E1007" s="4">
        <f>-SUMIFS('01_異動主檔'!$F:$F,'01_異動主檔'!$B:$B,102,'01_異動主檔'!$D:$D,A1007,'01_異動主檔'!$E:$E,"移出")</f>
        <v/>
      </c>
      <c r="F1007" s="4">
        <f>SUMIFS('01_異動主檔'!$F:$F,'01_異動主檔'!$B:$B,102,'01_異動主檔'!$D:$D,A1007,'01_異動主檔'!$E:$E,"新增")</f>
        <v/>
      </c>
      <c r="G1007" s="4">
        <f>-SUMIFS('01_異動主檔'!$F:$F,'01_異動主檔'!$B:$B,102,'01_異動主檔'!$D:$D,A1007,'01_異動主檔'!$E:$E,"減列")</f>
        <v/>
      </c>
      <c r="H1007" s="4">
        <f>-SUMIFS('01_異動主檔'!$F:$F,'01_異動主檔'!$B:$B,102,'01_異動主檔'!$D:$D,A1007,'01_異動主檔'!$E:$E,"精簡")</f>
        <v/>
      </c>
      <c r="I1007" s="8">
        <f>C1007+D1007+E1007+F1007+G1007+H1007</f>
        <v/>
      </c>
    </row>
    <row r="1008" ht="18" customHeight="1">
      <c r="A1008" s="5" t="inlineStr">
        <is>
          <t>監理中心</t>
        </is>
      </c>
      <c r="B1008" s="6" t="n">
        <v>103</v>
      </c>
      <c r="C1008" s="8">
        <f>I1007</f>
        <v/>
      </c>
      <c r="D1008" s="4">
        <f>SUMIFS('01_異動主檔'!$F:$F,'01_異動主檔'!$B:$B,103,'01_異動主檔'!$D:$D,A1008,'01_異動主檔'!$E:$E,"移入")</f>
        <v/>
      </c>
      <c r="E1008" s="4">
        <f>-SUMIFS('01_異動主檔'!$F:$F,'01_異動主檔'!$B:$B,103,'01_異動主檔'!$D:$D,A1008,'01_異動主檔'!$E:$E,"移出")</f>
        <v/>
      </c>
      <c r="F1008" s="4">
        <f>SUMIFS('01_異動主檔'!$F:$F,'01_異動主檔'!$B:$B,103,'01_異動主檔'!$D:$D,A1008,'01_異動主檔'!$E:$E,"新增")</f>
        <v/>
      </c>
      <c r="G1008" s="4">
        <f>-SUMIFS('01_異動主檔'!$F:$F,'01_異動主檔'!$B:$B,103,'01_異動主檔'!$D:$D,A1008,'01_異動主檔'!$E:$E,"減列")</f>
        <v/>
      </c>
      <c r="H1008" s="4">
        <f>-SUMIFS('01_異動主檔'!$F:$F,'01_異動主檔'!$B:$B,103,'01_異動主檔'!$D:$D,A1008,'01_異動主檔'!$E:$E,"精簡")</f>
        <v/>
      </c>
      <c r="I1008" s="8">
        <f>C1008+D1008+E1008+F1008+G1008+H1008</f>
        <v/>
      </c>
    </row>
    <row r="1009" ht="18" customHeight="1">
      <c r="A1009" s="3" t="inlineStr">
        <is>
          <t>監理中心</t>
        </is>
      </c>
      <c r="B1009" s="4" t="n">
        <v>104</v>
      </c>
      <c r="C1009" s="8">
        <f>I1008</f>
        <v/>
      </c>
      <c r="D1009" s="4">
        <f>SUMIFS('01_異動主檔'!$F:$F,'01_異動主檔'!$B:$B,104,'01_異動主檔'!$D:$D,A1009,'01_異動主檔'!$E:$E,"移入")</f>
        <v/>
      </c>
      <c r="E1009" s="4">
        <f>-SUMIFS('01_異動主檔'!$F:$F,'01_異動主檔'!$B:$B,104,'01_異動主檔'!$D:$D,A1009,'01_異動主檔'!$E:$E,"移出")</f>
        <v/>
      </c>
      <c r="F1009" s="4">
        <f>SUMIFS('01_異動主檔'!$F:$F,'01_異動主檔'!$B:$B,104,'01_異動主檔'!$D:$D,A1009,'01_異動主檔'!$E:$E,"新增")</f>
        <v/>
      </c>
      <c r="G1009" s="4">
        <f>-SUMIFS('01_異動主檔'!$F:$F,'01_異動主檔'!$B:$B,104,'01_異動主檔'!$D:$D,A1009,'01_異動主檔'!$E:$E,"減列")</f>
        <v/>
      </c>
      <c r="H1009" s="4">
        <f>-SUMIFS('01_異動主檔'!$F:$F,'01_異動主檔'!$B:$B,104,'01_異動主檔'!$D:$D,A1009,'01_異動主檔'!$E:$E,"精簡")</f>
        <v/>
      </c>
      <c r="I1009" s="8">
        <f>C1009+D1009+E1009+F1009+G1009+H1009</f>
        <v/>
      </c>
    </row>
    <row r="1010" ht="18" customHeight="1">
      <c r="A1010" s="5" t="inlineStr">
        <is>
          <t>監理中心</t>
        </is>
      </c>
      <c r="B1010" s="6" t="n">
        <v>105</v>
      </c>
      <c r="C1010" s="8">
        <f>I1009</f>
        <v/>
      </c>
      <c r="D1010" s="4">
        <f>SUMIFS('01_異動主檔'!$F:$F,'01_異動主檔'!$B:$B,105,'01_異動主檔'!$D:$D,A1010,'01_異動主檔'!$E:$E,"移入")</f>
        <v/>
      </c>
      <c r="E1010" s="4">
        <f>-SUMIFS('01_異動主檔'!$F:$F,'01_異動主檔'!$B:$B,105,'01_異動主檔'!$D:$D,A1010,'01_異動主檔'!$E:$E,"移出")</f>
        <v/>
      </c>
      <c r="F1010" s="4">
        <f>SUMIFS('01_異動主檔'!$F:$F,'01_異動主檔'!$B:$B,105,'01_異動主檔'!$D:$D,A1010,'01_異動主檔'!$E:$E,"新增")</f>
        <v/>
      </c>
      <c r="G1010" s="4">
        <f>-SUMIFS('01_異動主檔'!$F:$F,'01_異動主檔'!$B:$B,105,'01_異動主檔'!$D:$D,A1010,'01_異動主檔'!$E:$E,"減列")</f>
        <v/>
      </c>
      <c r="H1010" s="4">
        <f>-SUMIFS('01_異動主檔'!$F:$F,'01_異動主檔'!$B:$B,105,'01_異動主檔'!$D:$D,A1010,'01_異動主檔'!$E:$E,"精簡")</f>
        <v/>
      </c>
      <c r="I1010" s="8">
        <f>C1010+D1010+E1010+F1010+G1010+H1010</f>
        <v/>
      </c>
    </row>
    <row r="1011" ht="18" customHeight="1">
      <c r="A1011" s="3" t="inlineStr">
        <is>
          <t>監理中心</t>
        </is>
      </c>
      <c r="B1011" s="4" t="n">
        <v>106</v>
      </c>
      <c r="C1011" s="8">
        <f>I1010</f>
        <v/>
      </c>
      <c r="D1011" s="4">
        <f>SUMIFS('01_異動主檔'!$F:$F,'01_異動主檔'!$B:$B,106,'01_異動主檔'!$D:$D,A1011,'01_異動主檔'!$E:$E,"移入")</f>
        <v/>
      </c>
      <c r="E1011" s="4">
        <f>-SUMIFS('01_異動主檔'!$F:$F,'01_異動主檔'!$B:$B,106,'01_異動主檔'!$D:$D,A1011,'01_異動主檔'!$E:$E,"移出")</f>
        <v/>
      </c>
      <c r="F1011" s="4">
        <f>SUMIFS('01_異動主檔'!$F:$F,'01_異動主檔'!$B:$B,106,'01_異動主檔'!$D:$D,A1011,'01_異動主檔'!$E:$E,"新增")</f>
        <v/>
      </c>
      <c r="G1011" s="4">
        <f>-SUMIFS('01_異動主檔'!$F:$F,'01_異動主檔'!$B:$B,106,'01_異動主檔'!$D:$D,A1011,'01_異動主檔'!$E:$E,"減列")</f>
        <v/>
      </c>
      <c r="H1011" s="4">
        <f>-SUMIFS('01_異動主檔'!$F:$F,'01_異動主檔'!$B:$B,106,'01_異動主檔'!$D:$D,A1011,'01_異動主檔'!$E:$E,"精簡")</f>
        <v/>
      </c>
      <c r="I1011" s="8">
        <f>C1011+D1011+E1011+F1011+G1011+H1011</f>
        <v/>
      </c>
    </row>
    <row r="1012" ht="18" customHeight="1">
      <c r="A1012" s="5" t="inlineStr">
        <is>
          <t>監理中心</t>
        </is>
      </c>
      <c r="B1012" s="6" t="n">
        <v>107</v>
      </c>
      <c r="C1012" s="8">
        <f>I1011</f>
        <v/>
      </c>
      <c r="D1012" s="4">
        <f>SUMIFS('01_異動主檔'!$F:$F,'01_異動主檔'!$B:$B,107,'01_異動主檔'!$D:$D,A1012,'01_異動主檔'!$E:$E,"移入")</f>
        <v/>
      </c>
      <c r="E1012" s="4">
        <f>-SUMIFS('01_異動主檔'!$F:$F,'01_異動主檔'!$B:$B,107,'01_異動主檔'!$D:$D,A1012,'01_異動主檔'!$E:$E,"移出")</f>
        <v/>
      </c>
      <c r="F1012" s="4">
        <f>SUMIFS('01_異動主檔'!$F:$F,'01_異動主檔'!$B:$B,107,'01_異動主檔'!$D:$D,A1012,'01_異動主檔'!$E:$E,"新增")</f>
        <v/>
      </c>
      <c r="G1012" s="4">
        <f>-SUMIFS('01_異動主檔'!$F:$F,'01_異動主檔'!$B:$B,107,'01_異動主檔'!$D:$D,A1012,'01_異動主檔'!$E:$E,"減列")</f>
        <v/>
      </c>
      <c r="H1012" s="4">
        <f>-SUMIFS('01_異動主檔'!$F:$F,'01_異動主檔'!$B:$B,107,'01_異動主檔'!$D:$D,A1012,'01_異動主檔'!$E:$E,"精簡")</f>
        <v/>
      </c>
      <c r="I1012" s="8">
        <f>C1012+D1012+E1012+F1012+G1012+H1012</f>
        <v/>
      </c>
    </row>
    <row r="1013" ht="18" customHeight="1">
      <c r="A1013" s="3" t="inlineStr">
        <is>
          <t>監理中心</t>
        </is>
      </c>
      <c r="B1013" s="4" t="n">
        <v>108</v>
      </c>
      <c r="C1013" s="8">
        <f>I1012</f>
        <v/>
      </c>
      <c r="D1013" s="4">
        <f>SUMIFS('01_異動主檔'!$F:$F,'01_異動主檔'!$B:$B,108,'01_異動主檔'!$D:$D,A1013,'01_異動主檔'!$E:$E,"移入")</f>
        <v/>
      </c>
      <c r="E1013" s="4">
        <f>-SUMIFS('01_異動主檔'!$F:$F,'01_異動主檔'!$B:$B,108,'01_異動主檔'!$D:$D,A1013,'01_異動主檔'!$E:$E,"移出")</f>
        <v/>
      </c>
      <c r="F1013" s="4">
        <f>SUMIFS('01_異動主檔'!$F:$F,'01_異動主檔'!$B:$B,108,'01_異動主檔'!$D:$D,A1013,'01_異動主檔'!$E:$E,"新增")</f>
        <v/>
      </c>
      <c r="G1013" s="4">
        <f>-SUMIFS('01_異動主檔'!$F:$F,'01_異動主檔'!$B:$B,108,'01_異動主檔'!$D:$D,A1013,'01_異動主檔'!$E:$E,"減列")</f>
        <v/>
      </c>
      <c r="H1013" s="4">
        <f>-SUMIFS('01_異動主檔'!$F:$F,'01_異動主檔'!$B:$B,108,'01_異動主檔'!$D:$D,A1013,'01_異動主檔'!$E:$E,"精簡")</f>
        <v/>
      </c>
      <c r="I1013" s="8">
        <f>C1013+D1013+E1013+F1013+G1013+H1013</f>
        <v/>
      </c>
    </row>
    <row r="1014" ht="18" customHeight="1">
      <c r="A1014" s="5" t="inlineStr">
        <is>
          <t>監理中心</t>
        </is>
      </c>
      <c r="B1014" s="6" t="n">
        <v>109</v>
      </c>
      <c r="C1014" s="8">
        <f>I1013</f>
        <v/>
      </c>
      <c r="D1014" s="4">
        <f>SUMIFS('01_異動主檔'!$F:$F,'01_異動主檔'!$B:$B,109,'01_異動主檔'!$D:$D,A1014,'01_異動主檔'!$E:$E,"移入")</f>
        <v/>
      </c>
      <c r="E1014" s="4">
        <f>-SUMIFS('01_異動主檔'!$F:$F,'01_異動主檔'!$B:$B,109,'01_異動主檔'!$D:$D,A1014,'01_異動主檔'!$E:$E,"移出")</f>
        <v/>
      </c>
      <c r="F1014" s="4">
        <f>SUMIFS('01_異動主檔'!$F:$F,'01_異動主檔'!$B:$B,109,'01_異動主檔'!$D:$D,A1014,'01_異動主檔'!$E:$E,"新增")</f>
        <v/>
      </c>
      <c r="G1014" s="4">
        <f>-SUMIFS('01_異動主檔'!$F:$F,'01_異動主檔'!$B:$B,109,'01_異動主檔'!$D:$D,A1014,'01_異動主檔'!$E:$E,"減列")</f>
        <v/>
      </c>
      <c r="H1014" s="4">
        <f>-SUMIFS('01_異動主檔'!$F:$F,'01_異動主檔'!$B:$B,109,'01_異動主檔'!$D:$D,A1014,'01_異動主檔'!$E:$E,"精簡")</f>
        <v/>
      </c>
      <c r="I1014" s="8">
        <f>C1014+D1014+E1014+F1014+G1014+H1014</f>
        <v/>
      </c>
    </row>
    <row r="1015" ht="18" customHeight="1">
      <c r="A1015" s="3" t="inlineStr">
        <is>
          <t>監理中心</t>
        </is>
      </c>
      <c r="B1015" s="4" t="n">
        <v>110</v>
      </c>
      <c r="C1015" s="8">
        <f>I1014</f>
        <v/>
      </c>
      <c r="D1015" s="4">
        <f>SUMIFS('01_異動主檔'!$F:$F,'01_異動主檔'!$B:$B,110,'01_異動主檔'!$D:$D,A1015,'01_異動主檔'!$E:$E,"移入")</f>
        <v/>
      </c>
      <c r="E1015" s="4">
        <f>-SUMIFS('01_異動主檔'!$F:$F,'01_異動主檔'!$B:$B,110,'01_異動主檔'!$D:$D,A1015,'01_異動主檔'!$E:$E,"移出")</f>
        <v/>
      </c>
      <c r="F1015" s="4">
        <f>SUMIFS('01_異動主檔'!$F:$F,'01_異動主檔'!$B:$B,110,'01_異動主檔'!$D:$D,A1015,'01_異動主檔'!$E:$E,"新增")</f>
        <v/>
      </c>
      <c r="G1015" s="4">
        <f>-SUMIFS('01_異動主檔'!$F:$F,'01_異動主檔'!$B:$B,110,'01_異動主檔'!$D:$D,A1015,'01_異動主檔'!$E:$E,"減列")</f>
        <v/>
      </c>
      <c r="H1015" s="4">
        <f>-SUMIFS('01_異動主檔'!$F:$F,'01_異動主檔'!$B:$B,110,'01_異動主檔'!$D:$D,A1015,'01_異動主檔'!$E:$E,"精簡")</f>
        <v/>
      </c>
      <c r="I1015" s="8">
        <f>C1015+D1015+E1015+F1015+G1015+H1015</f>
        <v/>
      </c>
    </row>
    <row r="1016" ht="18" customHeight="1">
      <c r="A1016" s="5" t="inlineStr">
        <is>
          <t>監理中心</t>
        </is>
      </c>
      <c r="B1016" s="6" t="n">
        <v>111</v>
      </c>
      <c r="C1016" s="8">
        <f>I1015</f>
        <v/>
      </c>
      <c r="D1016" s="4">
        <f>SUMIFS('01_異動主檔'!$F:$F,'01_異動主檔'!$B:$B,111,'01_異動主檔'!$D:$D,A1016,'01_異動主檔'!$E:$E,"移入")</f>
        <v/>
      </c>
      <c r="E1016" s="4">
        <f>-SUMIFS('01_異動主檔'!$F:$F,'01_異動主檔'!$B:$B,111,'01_異動主檔'!$D:$D,A1016,'01_異動主檔'!$E:$E,"移出")</f>
        <v/>
      </c>
      <c r="F1016" s="4">
        <f>SUMIFS('01_異動主檔'!$F:$F,'01_異動主檔'!$B:$B,111,'01_異動主檔'!$D:$D,A1016,'01_異動主檔'!$E:$E,"新增")</f>
        <v/>
      </c>
      <c r="G1016" s="4">
        <f>-SUMIFS('01_異動主檔'!$F:$F,'01_異動主檔'!$B:$B,111,'01_異動主檔'!$D:$D,A1016,'01_異動主檔'!$E:$E,"減列")</f>
        <v/>
      </c>
      <c r="H1016" s="4">
        <f>-SUMIFS('01_異動主檔'!$F:$F,'01_異動主檔'!$B:$B,111,'01_異動主檔'!$D:$D,A1016,'01_異動主檔'!$E:$E,"精簡")</f>
        <v/>
      </c>
      <c r="I1016" s="8">
        <f>C1016+D1016+E1016+F1016+G1016+H1016</f>
        <v/>
      </c>
    </row>
    <row r="1017" ht="18" customHeight="1">
      <c r="A1017" s="3" t="inlineStr">
        <is>
          <t>監理中心</t>
        </is>
      </c>
      <c r="B1017" s="4" t="n">
        <v>112</v>
      </c>
      <c r="C1017" s="8">
        <f>I1016</f>
        <v/>
      </c>
      <c r="D1017" s="4">
        <f>SUMIFS('01_異動主檔'!$F:$F,'01_異動主檔'!$B:$B,112,'01_異動主檔'!$D:$D,A1017,'01_異動主檔'!$E:$E,"移入")</f>
        <v/>
      </c>
      <c r="E1017" s="4">
        <f>-SUMIFS('01_異動主檔'!$F:$F,'01_異動主檔'!$B:$B,112,'01_異動主檔'!$D:$D,A1017,'01_異動主檔'!$E:$E,"移出")</f>
        <v/>
      </c>
      <c r="F1017" s="4">
        <f>SUMIFS('01_異動主檔'!$F:$F,'01_異動主檔'!$B:$B,112,'01_異動主檔'!$D:$D,A1017,'01_異動主檔'!$E:$E,"新增")</f>
        <v/>
      </c>
      <c r="G1017" s="4">
        <f>-SUMIFS('01_異動主檔'!$F:$F,'01_異動主檔'!$B:$B,112,'01_異動主檔'!$D:$D,A1017,'01_異動主檔'!$E:$E,"減列")</f>
        <v/>
      </c>
      <c r="H1017" s="4">
        <f>-SUMIFS('01_異動主檔'!$F:$F,'01_異動主檔'!$B:$B,112,'01_異動主檔'!$D:$D,A1017,'01_異動主檔'!$E:$E,"精簡")</f>
        <v/>
      </c>
      <c r="I1017" s="8">
        <f>C1017+D1017+E1017+F1017+G1017+H1017</f>
        <v/>
      </c>
    </row>
    <row r="1018" ht="18" customHeight="1">
      <c r="A1018" s="5" t="inlineStr">
        <is>
          <t>監理中心</t>
        </is>
      </c>
      <c r="B1018" s="6" t="n">
        <v>113</v>
      </c>
      <c r="C1018" s="8">
        <f>I1017</f>
        <v/>
      </c>
      <c r="D1018" s="4">
        <f>SUMIFS('01_異動主檔'!$F:$F,'01_異動主檔'!$B:$B,113,'01_異動主檔'!$D:$D,A1018,'01_異動主檔'!$E:$E,"移入")</f>
        <v/>
      </c>
      <c r="E1018" s="4">
        <f>-SUMIFS('01_異動主檔'!$F:$F,'01_異動主檔'!$B:$B,113,'01_異動主檔'!$D:$D,A1018,'01_異動主檔'!$E:$E,"移出")</f>
        <v/>
      </c>
      <c r="F1018" s="4">
        <f>SUMIFS('01_異動主檔'!$F:$F,'01_異動主檔'!$B:$B,113,'01_異動主檔'!$D:$D,A1018,'01_異動主檔'!$E:$E,"新增")</f>
        <v/>
      </c>
      <c r="G1018" s="4">
        <f>-SUMIFS('01_異動主檔'!$F:$F,'01_異動主檔'!$B:$B,113,'01_異動主檔'!$D:$D,A1018,'01_異動主檔'!$E:$E,"減列")</f>
        <v/>
      </c>
      <c r="H1018" s="4">
        <f>-SUMIFS('01_異動主檔'!$F:$F,'01_異動主檔'!$B:$B,113,'01_異動主檔'!$D:$D,A1018,'01_異動主檔'!$E:$E,"精簡")</f>
        <v/>
      </c>
      <c r="I1018" s="8">
        <f>C1018+D1018+E1018+F1018+G1018+H1018</f>
        <v/>
      </c>
    </row>
    <row r="1019" ht="18" customHeight="1">
      <c r="A1019" s="3" t="inlineStr">
        <is>
          <t>監理中心</t>
        </is>
      </c>
      <c r="B1019" s="4" t="n">
        <v>114</v>
      </c>
      <c r="C1019" s="8">
        <f>I1018</f>
        <v/>
      </c>
      <c r="D1019" s="4">
        <f>SUMIFS('01_異動主檔'!$F:$F,'01_異動主檔'!$B:$B,114,'01_異動主檔'!$D:$D,A1019,'01_異動主檔'!$E:$E,"移入")</f>
        <v/>
      </c>
      <c r="E1019" s="4">
        <f>-SUMIFS('01_異動主檔'!$F:$F,'01_異動主檔'!$B:$B,114,'01_異動主檔'!$D:$D,A1019,'01_異動主檔'!$E:$E,"移出")</f>
        <v/>
      </c>
      <c r="F1019" s="4">
        <f>SUMIFS('01_異動主檔'!$F:$F,'01_異動主檔'!$B:$B,114,'01_異動主檔'!$D:$D,A1019,'01_異動主檔'!$E:$E,"新增")</f>
        <v/>
      </c>
      <c r="G1019" s="4">
        <f>-SUMIFS('01_異動主檔'!$F:$F,'01_異動主檔'!$B:$B,114,'01_異動主檔'!$D:$D,A1019,'01_異動主檔'!$E:$E,"減列")</f>
        <v/>
      </c>
      <c r="H1019" s="4">
        <f>-SUMIFS('01_異動主檔'!$F:$F,'01_異動主檔'!$B:$B,114,'01_異動主檔'!$D:$D,A1019,'01_異動主檔'!$E:$E,"精簡")</f>
        <v/>
      </c>
      <c r="I1019" s="8">
        <f>C1019+D1019+E1019+F1019+G1019+H1019</f>
        <v/>
      </c>
    </row>
    <row r="1020" ht="18" customHeight="1">
      <c r="A1020" s="5" t="inlineStr">
        <is>
          <t>監理中心</t>
        </is>
      </c>
      <c r="B1020" s="6" t="n">
        <v>115</v>
      </c>
      <c r="C1020" s="8">
        <f>I1019</f>
        <v/>
      </c>
      <c r="D1020" s="4">
        <f>SUMIFS('01_異動主檔'!$F:$F,'01_異動主檔'!$B:$B,115,'01_異動主檔'!$D:$D,A1020,'01_異動主檔'!$E:$E,"移入")</f>
        <v/>
      </c>
      <c r="E1020" s="4">
        <f>-SUMIFS('01_異動主檔'!$F:$F,'01_異動主檔'!$B:$B,115,'01_異動主檔'!$D:$D,A1020,'01_異動主檔'!$E:$E,"移出")</f>
        <v/>
      </c>
      <c r="F1020" s="4">
        <f>SUMIFS('01_異動主檔'!$F:$F,'01_異動主檔'!$B:$B,115,'01_異動主檔'!$D:$D,A1020,'01_異動主檔'!$E:$E,"新增")</f>
        <v/>
      </c>
      <c r="G1020" s="4">
        <f>-SUMIFS('01_異動主檔'!$F:$F,'01_異動主檔'!$B:$B,115,'01_異動主檔'!$D:$D,A1020,'01_異動主檔'!$E:$E,"減列")</f>
        <v/>
      </c>
      <c r="H1020" s="4">
        <f>-SUMIFS('01_異動主檔'!$F:$F,'01_異動主檔'!$B:$B,115,'01_異動主檔'!$D:$D,A1020,'01_異動主檔'!$E:$E,"精簡")</f>
        <v/>
      </c>
      <c r="I1020" s="8">
        <f>C1020+D1020+E1020+F1020+G1020+H1020</f>
        <v/>
      </c>
    </row>
    <row r="1021" ht="18" customHeight="1">
      <c r="A1021" s="3" t="inlineStr">
        <is>
          <t>監理中心</t>
        </is>
      </c>
      <c r="B1021" s="4" t="n">
        <v>116</v>
      </c>
      <c r="C1021" s="8">
        <f>I1020</f>
        <v/>
      </c>
      <c r="D1021" s="4">
        <f>SUMIFS('01_異動主檔'!$F:$F,'01_異動主檔'!$B:$B,116,'01_異動主檔'!$D:$D,A1021,'01_異動主檔'!$E:$E,"移入")</f>
        <v/>
      </c>
      <c r="E1021" s="4">
        <f>-SUMIFS('01_異動主檔'!$F:$F,'01_異動主檔'!$B:$B,116,'01_異動主檔'!$D:$D,A1021,'01_異動主檔'!$E:$E,"移出")</f>
        <v/>
      </c>
      <c r="F1021" s="4">
        <f>SUMIFS('01_異動主檔'!$F:$F,'01_異動主檔'!$B:$B,116,'01_異動主檔'!$D:$D,A1021,'01_異動主檔'!$E:$E,"新增")</f>
        <v/>
      </c>
      <c r="G1021" s="4">
        <f>-SUMIFS('01_異動主檔'!$F:$F,'01_異動主檔'!$B:$B,116,'01_異動主檔'!$D:$D,A1021,'01_異動主檔'!$E:$E,"減列")</f>
        <v/>
      </c>
      <c r="H1021" s="4">
        <f>-SUMIFS('01_異動主檔'!$F:$F,'01_異動主檔'!$B:$B,116,'01_異動主檔'!$D:$D,A1021,'01_異動主檔'!$E:$E,"精簡")</f>
        <v/>
      </c>
      <c r="I1021" s="8">
        <f>C1021+D1021+E1021+F1021+G1021+H1021</f>
        <v/>
      </c>
    </row>
    <row r="1022" ht="18" customHeight="1">
      <c r="A1022" s="5" t="inlineStr">
        <is>
          <t>監理中心</t>
        </is>
      </c>
      <c r="B1022" s="6" t="n">
        <v>117</v>
      </c>
      <c r="C1022" s="8">
        <f>I1021</f>
        <v/>
      </c>
      <c r="D1022" s="4">
        <f>SUMIFS('01_異動主檔'!$F:$F,'01_異動主檔'!$B:$B,117,'01_異動主檔'!$D:$D,A1022,'01_異動主檔'!$E:$E,"移入")</f>
        <v/>
      </c>
      <c r="E1022" s="4">
        <f>-SUMIFS('01_異動主檔'!$F:$F,'01_異動主檔'!$B:$B,117,'01_異動主檔'!$D:$D,A1022,'01_異動主檔'!$E:$E,"移出")</f>
        <v/>
      </c>
      <c r="F1022" s="4">
        <f>SUMIFS('01_異動主檔'!$F:$F,'01_異動主檔'!$B:$B,117,'01_異動主檔'!$D:$D,A1022,'01_異動主檔'!$E:$E,"新增")</f>
        <v/>
      </c>
      <c r="G1022" s="4">
        <f>-SUMIFS('01_異動主檔'!$F:$F,'01_異動主檔'!$B:$B,117,'01_異動主檔'!$D:$D,A1022,'01_異動主檔'!$E:$E,"減列")</f>
        <v/>
      </c>
      <c r="H1022" s="4">
        <f>-SUMIFS('01_異動主檔'!$F:$F,'01_異動主檔'!$B:$B,117,'01_異動主檔'!$D:$D,A1022,'01_異動主檔'!$E:$E,"精簡")</f>
        <v/>
      </c>
      <c r="I1022" s="8">
        <f>C1022+D1022+E1022+F1022+G1022+H1022</f>
        <v/>
      </c>
    </row>
    <row r="1023" ht="18" customHeight="1">
      <c r="A1023" s="3" t="inlineStr">
        <is>
          <t>監理中心</t>
        </is>
      </c>
      <c r="B1023" s="4" t="n">
        <v>118</v>
      </c>
      <c r="C1023" s="8">
        <f>I1022</f>
        <v/>
      </c>
      <c r="D1023" s="4">
        <f>SUMIFS('01_異動主檔'!$F:$F,'01_異動主檔'!$B:$B,118,'01_異動主檔'!$D:$D,A1023,'01_異動主檔'!$E:$E,"移入")</f>
        <v/>
      </c>
      <c r="E1023" s="4">
        <f>-SUMIFS('01_異動主檔'!$F:$F,'01_異動主檔'!$B:$B,118,'01_異動主檔'!$D:$D,A1023,'01_異動主檔'!$E:$E,"移出")</f>
        <v/>
      </c>
      <c r="F1023" s="4">
        <f>SUMIFS('01_異動主檔'!$F:$F,'01_異動主檔'!$B:$B,118,'01_異動主檔'!$D:$D,A1023,'01_異動主檔'!$E:$E,"新增")</f>
        <v/>
      </c>
      <c r="G1023" s="4">
        <f>-SUMIFS('01_異動主檔'!$F:$F,'01_異動主檔'!$B:$B,118,'01_異動主檔'!$D:$D,A1023,'01_異動主檔'!$E:$E,"減列")</f>
        <v/>
      </c>
      <c r="H1023" s="4">
        <f>-SUMIFS('01_異動主檔'!$F:$F,'01_異動主檔'!$B:$B,118,'01_異動主檔'!$D:$D,A1023,'01_異動主檔'!$E:$E,"精簡")</f>
        <v/>
      </c>
      <c r="I1023" s="8">
        <f>C1023+D1023+E1023+F1023+G1023+H1023</f>
        <v/>
      </c>
    </row>
    <row r="1024" ht="18" customHeight="1">
      <c r="A1024" s="5" t="inlineStr">
        <is>
          <t>監理中心</t>
        </is>
      </c>
      <c r="B1024" s="6" t="n">
        <v>119</v>
      </c>
      <c r="C1024" s="8">
        <f>I1023</f>
        <v/>
      </c>
      <c r="D1024" s="4">
        <f>SUMIFS('01_異動主檔'!$F:$F,'01_異動主檔'!$B:$B,119,'01_異動主檔'!$D:$D,A1024,'01_異動主檔'!$E:$E,"移入")</f>
        <v/>
      </c>
      <c r="E1024" s="4">
        <f>-SUMIFS('01_異動主檔'!$F:$F,'01_異動主檔'!$B:$B,119,'01_異動主檔'!$D:$D,A1024,'01_異動主檔'!$E:$E,"移出")</f>
        <v/>
      </c>
      <c r="F1024" s="4">
        <f>SUMIFS('01_異動主檔'!$F:$F,'01_異動主檔'!$B:$B,119,'01_異動主檔'!$D:$D,A1024,'01_異動主檔'!$E:$E,"新增")</f>
        <v/>
      </c>
      <c r="G1024" s="4">
        <f>-SUMIFS('01_異動主檔'!$F:$F,'01_異動主檔'!$B:$B,119,'01_異動主檔'!$D:$D,A1024,'01_異動主檔'!$E:$E,"減列")</f>
        <v/>
      </c>
      <c r="H1024" s="4">
        <f>-SUMIFS('01_異動主檔'!$F:$F,'01_異動主檔'!$B:$B,119,'01_異動主檔'!$D:$D,A1024,'01_異動主檔'!$E:$E,"精簡")</f>
        <v/>
      </c>
      <c r="I1024" s="8">
        <f>C1024+D1024+E1024+F1024+G1024+H1024</f>
        <v/>
      </c>
    </row>
    <row r="1025" ht="18" customHeight="1">
      <c r="A1025" s="3" t="inlineStr">
        <is>
          <t>監理中心</t>
        </is>
      </c>
      <c r="B1025" s="4" t="n">
        <v>120</v>
      </c>
      <c r="C1025" s="8">
        <f>I1024</f>
        <v/>
      </c>
      <c r="D1025" s="4">
        <f>SUMIFS('01_異動主檔'!$F:$F,'01_異動主檔'!$B:$B,120,'01_異動主檔'!$D:$D,A1025,'01_異動主檔'!$E:$E,"移入")</f>
        <v/>
      </c>
      <c r="E1025" s="4">
        <f>-SUMIFS('01_異動主檔'!$F:$F,'01_異動主檔'!$B:$B,120,'01_異動主檔'!$D:$D,A1025,'01_異動主檔'!$E:$E,"移出")</f>
        <v/>
      </c>
      <c r="F1025" s="4">
        <f>SUMIFS('01_異動主檔'!$F:$F,'01_異動主檔'!$B:$B,120,'01_異動主檔'!$D:$D,A1025,'01_異動主檔'!$E:$E,"新增")</f>
        <v/>
      </c>
      <c r="G1025" s="4">
        <f>-SUMIFS('01_異動主檔'!$F:$F,'01_異動主檔'!$B:$B,120,'01_異動主檔'!$D:$D,A1025,'01_異動主檔'!$E:$E,"減列")</f>
        <v/>
      </c>
      <c r="H1025" s="4">
        <f>-SUMIFS('01_異動主檔'!$F:$F,'01_異動主檔'!$B:$B,120,'01_異動主檔'!$D:$D,A1025,'01_異動主檔'!$E:$E,"精簡")</f>
        <v/>
      </c>
      <c r="I1025" s="8">
        <f>C1025+D1025+E1025+F1025+G1025+H1025</f>
        <v/>
      </c>
    </row>
    <row r="1026" ht="18" customHeight="1">
      <c r="A1026" s="5" t="inlineStr">
        <is>
          <t>監理中心</t>
        </is>
      </c>
      <c r="B1026" s="6" t="n">
        <v>121</v>
      </c>
      <c r="C1026" s="8">
        <f>I1025</f>
        <v/>
      </c>
      <c r="D1026" s="4">
        <f>SUMIFS('01_異動主檔'!$F:$F,'01_異動主檔'!$B:$B,121,'01_異動主檔'!$D:$D,A1026,'01_異動主檔'!$E:$E,"移入")</f>
        <v/>
      </c>
      <c r="E1026" s="4">
        <f>-SUMIFS('01_異動主檔'!$F:$F,'01_異動主檔'!$B:$B,121,'01_異動主檔'!$D:$D,A1026,'01_異動主檔'!$E:$E,"移出")</f>
        <v/>
      </c>
      <c r="F1026" s="4">
        <f>SUMIFS('01_異動主檔'!$F:$F,'01_異動主檔'!$B:$B,121,'01_異動主檔'!$D:$D,A1026,'01_異動主檔'!$E:$E,"新增")</f>
        <v/>
      </c>
      <c r="G1026" s="4">
        <f>-SUMIFS('01_異動主檔'!$F:$F,'01_異動主檔'!$B:$B,121,'01_異動主檔'!$D:$D,A1026,'01_異動主檔'!$E:$E,"減列")</f>
        <v/>
      </c>
      <c r="H1026" s="4">
        <f>-SUMIFS('01_異動主檔'!$F:$F,'01_異動主檔'!$B:$B,121,'01_異動主檔'!$D:$D,A1026,'01_異動主檔'!$E:$E,"精簡")</f>
        <v/>
      </c>
      <c r="I1026" s="8">
        <f>C1026+D1026+E1026+F1026+G1026+H1026</f>
        <v/>
      </c>
    </row>
    <row r="1027" ht="18" customHeight="1">
      <c r="A1027" s="3" t="inlineStr">
        <is>
          <t>監理中心</t>
        </is>
      </c>
      <c r="B1027" s="4" t="n">
        <v>122</v>
      </c>
      <c r="C1027" s="8">
        <f>I1026</f>
        <v/>
      </c>
      <c r="D1027" s="4">
        <f>SUMIFS('01_異動主檔'!$F:$F,'01_異動主檔'!$B:$B,122,'01_異動主檔'!$D:$D,A1027,'01_異動主檔'!$E:$E,"移入")</f>
        <v/>
      </c>
      <c r="E1027" s="4">
        <f>-SUMIFS('01_異動主檔'!$F:$F,'01_異動主檔'!$B:$B,122,'01_異動主檔'!$D:$D,A1027,'01_異動主檔'!$E:$E,"移出")</f>
        <v/>
      </c>
      <c r="F1027" s="4">
        <f>SUMIFS('01_異動主檔'!$F:$F,'01_異動主檔'!$B:$B,122,'01_異動主檔'!$D:$D,A1027,'01_異動主檔'!$E:$E,"新增")</f>
        <v/>
      </c>
      <c r="G1027" s="4">
        <f>-SUMIFS('01_異動主檔'!$F:$F,'01_異動主檔'!$B:$B,122,'01_異動主檔'!$D:$D,A1027,'01_異動主檔'!$E:$E,"減列")</f>
        <v/>
      </c>
      <c r="H1027" s="4">
        <f>-SUMIFS('01_異動主檔'!$F:$F,'01_異動主檔'!$B:$B,122,'01_異動主檔'!$D:$D,A1027,'01_異動主檔'!$E:$E,"精簡")</f>
        <v/>
      </c>
      <c r="I1027" s="8">
        <f>C1027+D1027+E1027+F1027+G1027+H1027</f>
        <v/>
      </c>
    </row>
    <row r="1028" ht="18" customHeight="1">
      <c r="A1028" s="5" t="inlineStr">
        <is>
          <t>監理中心</t>
        </is>
      </c>
      <c r="B1028" s="6" t="n">
        <v>123</v>
      </c>
      <c r="C1028" s="8">
        <f>I1027</f>
        <v/>
      </c>
      <c r="D1028" s="4">
        <f>SUMIFS('01_異動主檔'!$F:$F,'01_異動主檔'!$B:$B,123,'01_異動主檔'!$D:$D,A1028,'01_異動主檔'!$E:$E,"移入")</f>
        <v/>
      </c>
      <c r="E1028" s="4">
        <f>-SUMIFS('01_異動主檔'!$F:$F,'01_異動主檔'!$B:$B,123,'01_異動主檔'!$D:$D,A1028,'01_異動主檔'!$E:$E,"移出")</f>
        <v/>
      </c>
      <c r="F1028" s="4">
        <f>SUMIFS('01_異動主檔'!$F:$F,'01_異動主檔'!$B:$B,123,'01_異動主檔'!$D:$D,A1028,'01_異動主檔'!$E:$E,"新增")</f>
        <v/>
      </c>
      <c r="G1028" s="4">
        <f>-SUMIFS('01_異動主檔'!$F:$F,'01_異動主檔'!$B:$B,123,'01_異動主檔'!$D:$D,A1028,'01_異動主檔'!$E:$E,"減列")</f>
        <v/>
      </c>
      <c r="H1028" s="4">
        <f>-SUMIFS('01_異動主檔'!$F:$F,'01_異動主檔'!$B:$B,123,'01_異動主檔'!$D:$D,A1028,'01_異動主檔'!$E:$E,"精簡")</f>
        <v/>
      </c>
      <c r="I1028" s="8">
        <f>C1028+D1028+E1028+F1028+G1028+H1028</f>
        <v/>
      </c>
    </row>
    <row r="1029" ht="18" customHeight="1">
      <c r="A1029" s="3" t="inlineStr">
        <is>
          <t>監理中心</t>
        </is>
      </c>
      <c r="B1029" s="4" t="n">
        <v>124</v>
      </c>
      <c r="C1029" s="8">
        <f>I1028</f>
        <v/>
      </c>
      <c r="D1029" s="4">
        <f>SUMIFS('01_異動主檔'!$F:$F,'01_異動主檔'!$B:$B,124,'01_異動主檔'!$D:$D,A1029,'01_異動主檔'!$E:$E,"移入")</f>
        <v/>
      </c>
      <c r="E1029" s="4">
        <f>-SUMIFS('01_異動主檔'!$F:$F,'01_異動主檔'!$B:$B,124,'01_異動主檔'!$D:$D,A1029,'01_異動主檔'!$E:$E,"移出")</f>
        <v/>
      </c>
      <c r="F1029" s="4">
        <f>SUMIFS('01_異動主檔'!$F:$F,'01_異動主檔'!$B:$B,124,'01_異動主檔'!$D:$D,A1029,'01_異動主檔'!$E:$E,"新增")</f>
        <v/>
      </c>
      <c r="G1029" s="4">
        <f>-SUMIFS('01_異動主檔'!$F:$F,'01_異動主檔'!$B:$B,124,'01_異動主檔'!$D:$D,A1029,'01_異動主檔'!$E:$E,"減列")</f>
        <v/>
      </c>
      <c r="H1029" s="4">
        <f>-SUMIFS('01_異動主檔'!$F:$F,'01_異動主檔'!$B:$B,124,'01_異動主檔'!$D:$D,A1029,'01_異動主檔'!$E:$E,"精簡")</f>
        <v/>
      </c>
      <c r="I1029" s="8">
        <f>C1029+D1029+E1029+F1029+G1029+H1029</f>
        <v/>
      </c>
    </row>
    <row r="1030" ht="18" customHeight="1">
      <c r="A1030" s="5" t="inlineStr">
        <is>
          <t>監理中心</t>
        </is>
      </c>
      <c r="B1030" s="6" t="n">
        <v>125</v>
      </c>
      <c r="C1030" s="8">
        <f>I1029</f>
        <v/>
      </c>
      <c r="D1030" s="4">
        <f>SUMIFS('01_異動主檔'!$F:$F,'01_異動主檔'!$B:$B,125,'01_異動主檔'!$D:$D,A1030,'01_異動主檔'!$E:$E,"移入")</f>
        <v/>
      </c>
      <c r="E1030" s="4">
        <f>-SUMIFS('01_異動主檔'!$F:$F,'01_異動主檔'!$B:$B,125,'01_異動主檔'!$D:$D,A1030,'01_異動主檔'!$E:$E,"移出")</f>
        <v/>
      </c>
      <c r="F1030" s="4">
        <f>SUMIFS('01_異動主檔'!$F:$F,'01_異動主檔'!$B:$B,125,'01_異動主檔'!$D:$D,A1030,'01_異動主檔'!$E:$E,"新增")</f>
        <v/>
      </c>
      <c r="G1030" s="4">
        <f>-SUMIFS('01_異動主檔'!$F:$F,'01_異動主檔'!$B:$B,125,'01_異動主檔'!$D:$D,A1030,'01_異動主檔'!$E:$E,"減列")</f>
        <v/>
      </c>
      <c r="H1030" s="4">
        <f>-SUMIFS('01_異動主檔'!$F:$F,'01_異動主檔'!$B:$B,125,'01_異動主檔'!$D:$D,A1030,'01_異動主檔'!$E:$E,"精簡")</f>
        <v/>
      </c>
      <c r="I1030" s="8">
        <f>C1030+D1030+E1030+F1030+G1030+H1030</f>
        <v/>
      </c>
    </row>
    <row r="1031" ht="18" customHeight="1">
      <c r="A1031" s="3" t="inlineStr">
        <is>
          <t>稽核中心</t>
        </is>
      </c>
      <c r="B1031" s="4" t="n">
        <v>99</v>
      </c>
      <c r="C1031" s="8">
        <f>'02_年初員額設定'!B43</f>
        <v/>
      </c>
      <c r="D1031" s="4">
        <f>SUMIFS('01_異動主檔'!$F:$F,'01_異動主檔'!$B:$B,99,'01_異動主檔'!$D:$D,A1031,'01_異動主檔'!$E:$E,"移入")</f>
        <v/>
      </c>
      <c r="E1031" s="4">
        <f>-SUMIFS('01_異動主檔'!$F:$F,'01_異動主檔'!$B:$B,99,'01_異動主檔'!$D:$D,A1031,'01_異動主檔'!$E:$E,"移出")</f>
        <v/>
      </c>
      <c r="F1031" s="4">
        <f>SUMIFS('01_異動主檔'!$F:$F,'01_異動主檔'!$B:$B,99,'01_異動主檔'!$D:$D,A1031,'01_異動主檔'!$E:$E,"新增")</f>
        <v/>
      </c>
      <c r="G1031" s="4">
        <f>-SUMIFS('01_異動主檔'!$F:$F,'01_異動主檔'!$B:$B,99,'01_異動主檔'!$D:$D,A1031,'01_異動主檔'!$E:$E,"減列")</f>
        <v/>
      </c>
      <c r="H1031" s="4">
        <f>-SUMIFS('01_異動主檔'!$F:$F,'01_異動主檔'!$B:$B,99,'01_異動主檔'!$D:$D,A1031,'01_異動主檔'!$E:$E,"精簡")</f>
        <v/>
      </c>
      <c r="I1031" s="8">
        <f>C1031+D1031+E1031+F1031+G1031+H1031</f>
        <v/>
      </c>
    </row>
    <row r="1032" ht="18" customHeight="1">
      <c r="A1032" s="5" t="inlineStr">
        <is>
          <t>稽核中心</t>
        </is>
      </c>
      <c r="B1032" s="6" t="n">
        <v>100</v>
      </c>
      <c r="C1032" s="8">
        <f>I1031</f>
        <v/>
      </c>
      <c r="D1032" s="4">
        <f>SUMIFS('01_異動主檔'!$F:$F,'01_異動主檔'!$B:$B,100,'01_異動主檔'!$D:$D,A1032,'01_異動主檔'!$E:$E,"移入")</f>
        <v/>
      </c>
      <c r="E1032" s="4">
        <f>-SUMIFS('01_異動主檔'!$F:$F,'01_異動主檔'!$B:$B,100,'01_異動主檔'!$D:$D,A1032,'01_異動主檔'!$E:$E,"移出")</f>
        <v/>
      </c>
      <c r="F1032" s="4">
        <f>SUMIFS('01_異動主檔'!$F:$F,'01_異動主檔'!$B:$B,100,'01_異動主檔'!$D:$D,A1032,'01_異動主檔'!$E:$E,"新增")</f>
        <v/>
      </c>
      <c r="G1032" s="4">
        <f>-SUMIFS('01_異動主檔'!$F:$F,'01_異動主檔'!$B:$B,100,'01_異動主檔'!$D:$D,A1032,'01_異動主檔'!$E:$E,"減列")</f>
        <v/>
      </c>
      <c r="H1032" s="4">
        <f>-SUMIFS('01_異動主檔'!$F:$F,'01_異動主檔'!$B:$B,100,'01_異動主檔'!$D:$D,A1032,'01_異動主檔'!$E:$E,"精簡")</f>
        <v/>
      </c>
      <c r="I1032" s="8">
        <f>C1032+D1032+E1032+F1032+G1032+H1032</f>
        <v/>
      </c>
    </row>
    <row r="1033" ht="18" customHeight="1">
      <c r="A1033" s="3" t="inlineStr">
        <is>
          <t>稽核中心</t>
        </is>
      </c>
      <c r="B1033" s="4" t="n">
        <v>101</v>
      </c>
      <c r="C1033" s="8">
        <f>I1032</f>
        <v/>
      </c>
      <c r="D1033" s="4">
        <f>SUMIFS('01_異動主檔'!$F:$F,'01_異動主檔'!$B:$B,101,'01_異動主檔'!$D:$D,A1033,'01_異動主檔'!$E:$E,"移入")</f>
        <v/>
      </c>
      <c r="E1033" s="4">
        <f>-SUMIFS('01_異動主檔'!$F:$F,'01_異動主檔'!$B:$B,101,'01_異動主檔'!$D:$D,A1033,'01_異動主檔'!$E:$E,"移出")</f>
        <v/>
      </c>
      <c r="F1033" s="4">
        <f>SUMIFS('01_異動主檔'!$F:$F,'01_異動主檔'!$B:$B,101,'01_異動主檔'!$D:$D,A1033,'01_異動主檔'!$E:$E,"新增")</f>
        <v/>
      </c>
      <c r="G1033" s="4">
        <f>-SUMIFS('01_異動主檔'!$F:$F,'01_異動主檔'!$B:$B,101,'01_異動主檔'!$D:$D,A1033,'01_異動主檔'!$E:$E,"減列")</f>
        <v/>
      </c>
      <c r="H1033" s="4">
        <f>-SUMIFS('01_異動主檔'!$F:$F,'01_異動主檔'!$B:$B,101,'01_異動主檔'!$D:$D,A1033,'01_異動主檔'!$E:$E,"精簡")</f>
        <v/>
      </c>
      <c r="I1033" s="8">
        <f>C1033+D1033+E1033+F1033+G1033+H1033</f>
        <v/>
      </c>
    </row>
    <row r="1034" ht="18" customHeight="1">
      <c r="A1034" s="5" t="inlineStr">
        <is>
          <t>稽核中心</t>
        </is>
      </c>
      <c r="B1034" s="6" t="n">
        <v>102</v>
      </c>
      <c r="C1034" s="8">
        <f>I1033</f>
        <v/>
      </c>
      <c r="D1034" s="4">
        <f>SUMIFS('01_異動主檔'!$F:$F,'01_異動主檔'!$B:$B,102,'01_異動主檔'!$D:$D,A1034,'01_異動主檔'!$E:$E,"移入")</f>
        <v/>
      </c>
      <c r="E1034" s="4">
        <f>-SUMIFS('01_異動主檔'!$F:$F,'01_異動主檔'!$B:$B,102,'01_異動主檔'!$D:$D,A1034,'01_異動主檔'!$E:$E,"移出")</f>
        <v/>
      </c>
      <c r="F1034" s="4">
        <f>SUMIFS('01_異動主檔'!$F:$F,'01_異動主檔'!$B:$B,102,'01_異動主檔'!$D:$D,A1034,'01_異動主檔'!$E:$E,"新增")</f>
        <v/>
      </c>
      <c r="G1034" s="4">
        <f>-SUMIFS('01_異動主檔'!$F:$F,'01_異動主檔'!$B:$B,102,'01_異動主檔'!$D:$D,A1034,'01_異動主檔'!$E:$E,"減列")</f>
        <v/>
      </c>
      <c r="H1034" s="4">
        <f>-SUMIFS('01_異動主檔'!$F:$F,'01_異動主檔'!$B:$B,102,'01_異動主檔'!$D:$D,A1034,'01_異動主檔'!$E:$E,"精簡")</f>
        <v/>
      </c>
      <c r="I1034" s="8">
        <f>C1034+D1034+E1034+F1034+G1034+H1034</f>
        <v/>
      </c>
    </row>
    <row r="1035" ht="18" customHeight="1">
      <c r="A1035" s="3" t="inlineStr">
        <is>
          <t>稽核中心</t>
        </is>
      </c>
      <c r="B1035" s="4" t="n">
        <v>103</v>
      </c>
      <c r="C1035" s="8">
        <f>I1034</f>
        <v/>
      </c>
      <c r="D1035" s="4">
        <f>SUMIFS('01_異動主檔'!$F:$F,'01_異動主檔'!$B:$B,103,'01_異動主檔'!$D:$D,A1035,'01_異動主檔'!$E:$E,"移入")</f>
        <v/>
      </c>
      <c r="E1035" s="4">
        <f>-SUMIFS('01_異動主檔'!$F:$F,'01_異動主檔'!$B:$B,103,'01_異動主檔'!$D:$D,A1035,'01_異動主檔'!$E:$E,"移出")</f>
        <v/>
      </c>
      <c r="F1035" s="4">
        <f>SUMIFS('01_異動主檔'!$F:$F,'01_異動主檔'!$B:$B,103,'01_異動主檔'!$D:$D,A1035,'01_異動主檔'!$E:$E,"新增")</f>
        <v/>
      </c>
      <c r="G1035" s="4">
        <f>-SUMIFS('01_異動主檔'!$F:$F,'01_異動主檔'!$B:$B,103,'01_異動主檔'!$D:$D,A1035,'01_異動主檔'!$E:$E,"減列")</f>
        <v/>
      </c>
      <c r="H1035" s="4">
        <f>-SUMIFS('01_異動主檔'!$F:$F,'01_異動主檔'!$B:$B,103,'01_異動主檔'!$D:$D,A1035,'01_異動主檔'!$E:$E,"精簡")</f>
        <v/>
      </c>
      <c r="I1035" s="8">
        <f>C1035+D1035+E1035+F1035+G1035+H1035</f>
        <v/>
      </c>
    </row>
    <row r="1036" ht="18" customHeight="1">
      <c r="A1036" s="5" t="inlineStr">
        <is>
          <t>稽核中心</t>
        </is>
      </c>
      <c r="B1036" s="6" t="n">
        <v>104</v>
      </c>
      <c r="C1036" s="8">
        <f>I1035</f>
        <v/>
      </c>
      <c r="D1036" s="4">
        <f>SUMIFS('01_異動主檔'!$F:$F,'01_異動主檔'!$B:$B,104,'01_異動主檔'!$D:$D,A1036,'01_異動主檔'!$E:$E,"移入")</f>
        <v/>
      </c>
      <c r="E1036" s="4">
        <f>-SUMIFS('01_異動主檔'!$F:$F,'01_異動主檔'!$B:$B,104,'01_異動主檔'!$D:$D,A1036,'01_異動主檔'!$E:$E,"移出")</f>
        <v/>
      </c>
      <c r="F1036" s="4">
        <f>SUMIFS('01_異動主檔'!$F:$F,'01_異動主檔'!$B:$B,104,'01_異動主檔'!$D:$D,A1036,'01_異動主檔'!$E:$E,"新增")</f>
        <v/>
      </c>
      <c r="G1036" s="4">
        <f>-SUMIFS('01_異動主檔'!$F:$F,'01_異動主檔'!$B:$B,104,'01_異動主檔'!$D:$D,A1036,'01_異動主檔'!$E:$E,"減列")</f>
        <v/>
      </c>
      <c r="H1036" s="4">
        <f>-SUMIFS('01_異動主檔'!$F:$F,'01_異動主檔'!$B:$B,104,'01_異動主檔'!$D:$D,A1036,'01_異動主檔'!$E:$E,"精簡")</f>
        <v/>
      </c>
      <c r="I1036" s="8">
        <f>C1036+D1036+E1036+F1036+G1036+H1036</f>
        <v/>
      </c>
    </row>
    <row r="1037" ht="18" customHeight="1">
      <c r="A1037" s="3" t="inlineStr">
        <is>
          <t>稽核中心</t>
        </is>
      </c>
      <c r="B1037" s="4" t="n">
        <v>105</v>
      </c>
      <c r="C1037" s="8">
        <f>I1036</f>
        <v/>
      </c>
      <c r="D1037" s="4">
        <f>SUMIFS('01_異動主檔'!$F:$F,'01_異動主檔'!$B:$B,105,'01_異動主檔'!$D:$D,A1037,'01_異動主檔'!$E:$E,"移入")</f>
        <v/>
      </c>
      <c r="E1037" s="4">
        <f>-SUMIFS('01_異動主檔'!$F:$F,'01_異動主檔'!$B:$B,105,'01_異動主檔'!$D:$D,A1037,'01_異動主檔'!$E:$E,"移出")</f>
        <v/>
      </c>
      <c r="F1037" s="4">
        <f>SUMIFS('01_異動主檔'!$F:$F,'01_異動主檔'!$B:$B,105,'01_異動主檔'!$D:$D,A1037,'01_異動主檔'!$E:$E,"新增")</f>
        <v/>
      </c>
      <c r="G1037" s="4">
        <f>-SUMIFS('01_異動主檔'!$F:$F,'01_異動主檔'!$B:$B,105,'01_異動主檔'!$D:$D,A1037,'01_異動主檔'!$E:$E,"減列")</f>
        <v/>
      </c>
      <c r="H1037" s="4">
        <f>-SUMIFS('01_異動主檔'!$F:$F,'01_異動主檔'!$B:$B,105,'01_異動主檔'!$D:$D,A1037,'01_異動主檔'!$E:$E,"精簡")</f>
        <v/>
      </c>
      <c r="I1037" s="8">
        <f>C1037+D1037+E1037+F1037+G1037+H1037</f>
        <v/>
      </c>
    </row>
    <row r="1038" ht="18" customHeight="1">
      <c r="A1038" s="5" t="inlineStr">
        <is>
          <t>稽核中心</t>
        </is>
      </c>
      <c r="B1038" s="6" t="n">
        <v>106</v>
      </c>
      <c r="C1038" s="8">
        <f>I1037</f>
        <v/>
      </c>
      <c r="D1038" s="4">
        <f>SUMIFS('01_異動主檔'!$F:$F,'01_異動主檔'!$B:$B,106,'01_異動主檔'!$D:$D,A1038,'01_異動主檔'!$E:$E,"移入")</f>
        <v/>
      </c>
      <c r="E1038" s="4">
        <f>-SUMIFS('01_異動主檔'!$F:$F,'01_異動主檔'!$B:$B,106,'01_異動主檔'!$D:$D,A1038,'01_異動主檔'!$E:$E,"移出")</f>
        <v/>
      </c>
      <c r="F1038" s="4">
        <f>SUMIFS('01_異動主檔'!$F:$F,'01_異動主檔'!$B:$B,106,'01_異動主檔'!$D:$D,A1038,'01_異動主檔'!$E:$E,"新增")</f>
        <v/>
      </c>
      <c r="G1038" s="4">
        <f>-SUMIFS('01_異動主檔'!$F:$F,'01_異動主檔'!$B:$B,106,'01_異動主檔'!$D:$D,A1038,'01_異動主檔'!$E:$E,"減列")</f>
        <v/>
      </c>
      <c r="H1038" s="4">
        <f>-SUMIFS('01_異動主檔'!$F:$F,'01_異動主檔'!$B:$B,106,'01_異動主檔'!$D:$D,A1038,'01_異動主檔'!$E:$E,"精簡")</f>
        <v/>
      </c>
      <c r="I1038" s="8">
        <f>C1038+D1038+E1038+F1038+G1038+H1038</f>
        <v/>
      </c>
    </row>
    <row r="1039" ht="18" customHeight="1">
      <c r="A1039" s="3" t="inlineStr">
        <is>
          <t>稽核中心</t>
        </is>
      </c>
      <c r="B1039" s="4" t="n">
        <v>107</v>
      </c>
      <c r="C1039" s="8">
        <f>I1038</f>
        <v/>
      </c>
      <c r="D1039" s="4">
        <f>SUMIFS('01_異動主檔'!$F:$F,'01_異動主檔'!$B:$B,107,'01_異動主檔'!$D:$D,A1039,'01_異動主檔'!$E:$E,"移入")</f>
        <v/>
      </c>
      <c r="E1039" s="4">
        <f>-SUMIFS('01_異動主檔'!$F:$F,'01_異動主檔'!$B:$B,107,'01_異動主檔'!$D:$D,A1039,'01_異動主檔'!$E:$E,"移出")</f>
        <v/>
      </c>
      <c r="F1039" s="4">
        <f>SUMIFS('01_異動主檔'!$F:$F,'01_異動主檔'!$B:$B,107,'01_異動主檔'!$D:$D,A1039,'01_異動主檔'!$E:$E,"新增")</f>
        <v/>
      </c>
      <c r="G1039" s="4">
        <f>-SUMIFS('01_異動主檔'!$F:$F,'01_異動主檔'!$B:$B,107,'01_異動主檔'!$D:$D,A1039,'01_異動主檔'!$E:$E,"減列")</f>
        <v/>
      </c>
      <c r="H1039" s="4">
        <f>-SUMIFS('01_異動主檔'!$F:$F,'01_異動主檔'!$B:$B,107,'01_異動主檔'!$D:$D,A1039,'01_異動主檔'!$E:$E,"精簡")</f>
        <v/>
      </c>
      <c r="I1039" s="8">
        <f>C1039+D1039+E1039+F1039+G1039+H1039</f>
        <v/>
      </c>
    </row>
    <row r="1040" ht="18" customHeight="1">
      <c r="A1040" s="5" t="inlineStr">
        <is>
          <t>稽核中心</t>
        </is>
      </c>
      <c r="B1040" s="6" t="n">
        <v>108</v>
      </c>
      <c r="C1040" s="8">
        <f>I1039</f>
        <v/>
      </c>
      <c r="D1040" s="4">
        <f>SUMIFS('01_異動主檔'!$F:$F,'01_異動主檔'!$B:$B,108,'01_異動主檔'!$D:$D,A1040,'01_異動主檔'!$E:$E,"移入")</f>
        <v/>
      </c>
      <c r="E1040" s="4">
        <f>-SUMIFS('01_異動主檔'!$F:$F,'01_異動主檔'!$B:$B,108,'01_異動主檔'!$D:$D,A1040,'01_異動主檔'!$E:$E,"移出")</f>
        <v/>
      </c>
      <c r="F1040" s="4">
        <f>SUMIFS('01_異動主檔'!$F:$F,'01_異動主檔'!$B:$B,108,'01_異動主檔'!$D:$D,A1040,'01_異動主檔'!$E:$E,"新增")</f>
        <v/>
      </c>
      <c r="G1040" s="4">
        <f>-SUMIFS('01_異動主檔'!$F:$F,'01_異動主檔'!$B:$B,108,'01_異動主檔'!$D:$D,A1040,'01_異動主檔'!$E:$E,"減列")</f>
        <v/>
      </c>
      <c r="H1040" s="4">
        <f>-SUMIFS('01_異動主檔'!$F:$F,'01_異動主檔'!$B:$B,108,'01_異動主檔'!$D:$D,A1040,'01_異動主檔'!$E:$E,"精簡")</f>
        <v/>
      </c>
      <c r="I1040" s="8">
        <f>C1040+D1040+E1040+F1040+G1040+H1040</f>
        <v/>
      </c>
    </row>
    <row r="1041" ht="18" customHeight="1">
      <c r="A1041" s="3" t="inlineStr">
        <is>
          <t>稽核中心</t>
        </is>
      </c>
      <c r="B1041" s="4" t="n">
        <v>109</v>
      </c>
      <c r="C1041" s="8">
        <f>I1040</f>
        <v/>
      </c>
      <c r="D1041" s="4">
        <f>SUMIFS('01_異動主檔'!$F:$F,'01_異動主檔'!$B:$B,109,'01_異動主檔'!$D:$D,A1041,'01_異動主檔'!$E:$E,"移入")</f>
        <v/>
      </c>
      <c r="E1041" s="4">
        <f>-SUMIFS('01_異動主檔'!$F:$F,'01_異動主檔'!$B:$B,109,'01_異動主檔'!$D:$D,A1041,'01_異動主檔'!$E:$E,"移出")</f>
        <v/>
      </c>
      <c r="F1041" s="4">
        <f>SUMIFS('01_異動主檔'!$F:$F,'01_異動主檔'!$B:$B,109,'01_異動主檔'!$D:$D,A1041,'01_異動主檔'!$E:$E,"新增")</f>
        <v/>
      </c>
      <c r="G1041" s="4">
        <f>-SUMIFS('01_異動主檔'!$F:$F,'01_異動主檔'!$B:$B,109,'01_異動主檔'!$D:$D,A1041,'01_異動主檔'!$E:$E,"減列")</f>
        <v/>
      </c>
      <c r="H1041" s="4">
        <f>-SUMIFS('01_異動主檔'!$F:$F,'01_異動主檔'!$B:$B,109,'01_異動主檔'!$D:$D,A1041,'01_異動主檔'!$E:$E,"精簡")</f>
        <v/>
      </c>
      <c r="I1041" s="8">
        <f>C1041+D1041+E1041+F1041+G1041+H1041</f>
        <v/>
      </c>
    </row>
    <row r="1042" ht="18" customHeight="1">
      <c r="A1042" s="5" t="inlineStr">
        <is>
          <t>稽核中心</t>
        </is>
      </c>
      <c r="B1042" s="6" t="n">
        <v>110</v>
      </c>
      <c r="C1042" s="8">
        <f>I1041</f>
        <v/>
      </c>
      <c r="D1042" s="4">
        <f>SUMIFS('01_異動主檔'!$F:$F,'01_異動主檔'!$B:$B,110,'01_異動主檔'!$D:$D,A1042,'01_異動主檔'!$E:$E,"移入")</f>
        <v/>
      </c>
      <c r="E1042" s="4">
        <f>-SUMIFS('01_異動主檔'!$F:$F,'01_異動主檔'!$B:$B,110,'01_異動主檔'!$D:$D,A1042,'01_異動主檔'!$E:$E,"移出")</f>
        <v/>
      </c>
      <c r="F1042" s="4">
        <f>SUMIFS('01_異動主檔'!$F:$F,'01_異動主檔'!$B:$B,110,'01_異動主檔'!$D:$D,A1042,'01_異動主檔'!$E:$E,"新增")</f>
        <v/>
      </c>
      <c r="G1042" s="4">
        <f>-SUMIFS('01_異動主檔'!$F:$F,'01_異動主檔'!$B:$B,110,'01_異動主檔'!$D:$D,A1042,'01_異動主檔'!$E:$E,"減列")</f>
        <v/>
      </c>
      <c r="H1042" s="4">
        <f>-SUMIFS('01_異動主檔'!$F:$F,'01_異動主檔'!$B:$B,110,'01_異動主檔'!$D:$D,A1042,'01_異動主檔'!$E:$E,"精簡")</f>
        <v/>
      </c>
      <c r="I1042" s="8">
        <f>C1042+D1042+E1042+F1042+G1042+H1042</f>
        <v/>
      </c>
    </row>
    <row r="1043" ht="18" customHeight="1">
      <c r="A1043" s="3" t="inlineStr">
        <is>
          <t>稽核中心</t>
        </is>
      </c>
      <c r="B1043" s="4" t="n">
        <v>111</v>
      </c>
      <c r="C1043" s="8">
        <f>I1042</f>
        <v/>
      </c>
      <c r="D1043" s="4">
        <f>SUMIFS('01_異動主檔'!$F:$F,'01_異動主檔'!$B:$B,111,'01_異動主檔'!$D:$D,A1043,'01_異動主檔'!$E:$E,"移入")</f>
        <v/>
      </c>
      <c r="E1043" s="4">
        <f>-SUMIFS('01_異動主檔'!$F:$F,'01_異動主檔'!$B:$B,111,'01_異動主檔'!$D:$D,A1043,'01_異動主檔'!$E:$E,"移出")</f>
        <v/>
      </c>
      <c r="F1043" s="4">
        <f>SUMIFS('01_異動主檔'!$F:$F,'01_異動主檔'!$B:$B,111,'01_異動主檔'!$D:$D,A1043,'01_異動主檔'!$E:$E,"新增")</f>
        <v/>
      </c>
      <c r="G1043" s="4">
        <f>-SUMIFS('01_異動主檔'!$F:$F,'01_異動主檔'!$B:$B,111,'01_異動主檔'!$D:$D,A1043,'01_異動主檔'!$E:$E,"減列")</f>
        <v/>
      </c>
      <c r="H1043" s="4">
        <f>-SUMIFS('01_異動主檔'!$F:$F,'01_異動主檔'!$B:$B,111,'01_異動主檔'!$D:$D,A1043,'01_異動主檔'!$E:$E,"精簡")</f>
        <v/>
      </c>
      <c r="I1043" s="8">
        <f>C1043+D1043+E1043+F1043+G1043+H1043</f>
        <v/>
      </c>
    </row>
    <row r="1044" ht="18" customHeight="1">
      <c r="A1044" s="5" t="inlineStr">
        <is>
          <t>稽核中心</t>
        </is>
      </c>
      <c r="B1044" s="6" t="n">
        <v>112</v>
      </c>
      <c r="C1044" s="8">
        <f>I1043</f>
        <v/>
      </c>
      <c r="D1044" s="4">
        <f>SUMIFS('01_異動主檔'!$F:$F,'01_異動主檔'!$B:$B,112,'01_異動主檔'!$D:$D,A1044,'01_異動主檔'!$E:$E,"移入")</f>
        <v/>
      </c>
      <c r="E1044" s="4">
        <f>-SUMIFS('01_異動主檔'!$F:$F,'01_異動主檔'!$B:$B,112,'01_異動主檔'!$D:$D,A1044,'01_異動主檔'!$E:$E,"移出")</f>
        <v/>
      </c>
      <c r="F1044" s="4">
        <f>SUMIFS('01_異動主檔'!$F:$F,'01_異動主檔'!$B:$B,112,'01_異動主檔'!$D:$D,A1044,'01_異動主檔'!$E:$E,"新增")</f>
        <v/>
      </c>
      <c r="G1044" s="4">
        <f>-SUMIFS('01_異動主檔'!$F:$F,'01_異動主檔'!$B:$B,112,'01_異動主檔'!$D:$D,A1044,'01_異動主檔'!$E:$E,"減列")</f>
        <v/>
      </c>
      <c r="H1044" s="4">
        <f>-SUMIFS('01_異動主檔'!$F:$F,'01_異動主檔'!$B:$B,112,'01_異動主檔'!$D:$D,A1044,'01_異動主檔'!$E:$E,"精簡")</f>
        <v/>
      </c>
      <c r="I1044" s="8">
        <f>C1044+D1044+E1044+F1044+G1044+H1044</f>
        <v/>
      </c>
    </row>
    <row r="1045" ht="18" customHeight="1">
      <c r="A1045" s="3" t="inlineStr">
        <is>
          <t>稽核中心</t>
        </is>
      </c>
      <c r="B1045" s="4" t="n">
        <v>113</v>
      </c>
      <c r="C1045" s="8">
        <f>I1044</f>
        <v/>
      </c>
      <c r="D1045" s="4">
        <f>SUMIFS('01_異動主檔'!$F:$F,'01_異動主檔'!$B:$B,113,'01_異動主檔'!$D:$D,A1045,'01_異動主檔'!$E:$E,"移入")</f>
        <v/>
      </c>
      <c r="E1045" s="4">
        <f>-SUMIFS('01_異動主檔'!$F:$F,'01_異動主檔'!$B:$B,113,'01_異動主檔'!$D:$D,A1045,'01_異動主檔'!$E:$E,"移出")</f>
        <v/>
      </c>
      <c r="F1045" s="4">
        <f>SUMIFS('01_異動主檔'!$F:$F,'01_異動主檔'!$B:$B,113,'01_異動主檔'!$D:$D,A1045,'01_異動主檔'!$E:$E,"新增")</f>
        <v/>
      </c>
      <c r="G1045" s="4">
        <f>-SUMIFS('01_異動主檔'!$F:$F,'01_異動主檔'!$B:$B,113,'01_異動主檔'!$D:$D,A1045,'01_異動主檔'!$E:$E,"減列")</f>
        <v/>
      </c>
      <c r="H1045" s="4">
        <f>-SUMIFS('01_異動主檔'!$F:$F,'01_異動主檔'!$B:$B,113,'01_異動主檔'!$D:$D,A1045,'01_異動主檔'!$E:$E,"精簡")</f>
        <v/>
      </c>
      <c r="I1045" s="8">
        <f>C1045+D1045+E1045+F1045+G1045+H1045</f>
        <v/>
      </c>
    </row>
    <row r="1046" ht="18" customHeight="1">
      <c r="A1046" s="5" t="inlineStr">
        <is>
          <t>稽核中心</t>
        </is>
      </c>
      <c r="B1046" s="6" t="n">
        <v>114</v>
      </c>
      <c r="C1046" s="8">
        <f>I1045</f>
        <v/>
      </c>
      <c r="D1046" s="4">
        <f>SUMIFS('01_異動主檔'!$F:$F,'01_異動主檔'!$B:$B,114,'01_異動主檔'!$D:$D,A1046,'01_異動主檔'!$E:$E,"移入")</f>
        <v/>
      </c>
      <c r="E1046" s="4">
        <f>-SUMIFS('01_異動主檔'!$F:$F,'01_異動主檔'!$B:$B,114,'01_異動主檔'!$D:$D,A1046,'01_異動主檔'!$E:$E,"移出")</f>
        <v/>
      </c>
      <c r="F1046" s="4">
        <f>SUMIFS('01_異動主檔'!$F:$F,'01_異動主檔'!$B:$B,114,'01_異動主檔'!$D:$D,A1046,'01_異動主檔'!$E:$E,"新增")</f>
        <v/>
      </c>
      <c r="G1046" s="4">
        <f>-SUMIFS('01_異動主檔'!$F:$F,'01_異動主檔'!$B:$B,114,'01_異動主檔'!$D:$D,A1046,'01_異動主檔'!$E:$E,"減列")</f>
        <v/>
      </c>
      <c r="H1046" s="4">
        <f>-SUMIFS('01_異動主檔'!$F:$F,'01_異動主檔'!$B:$B,114,'01_異動主檔'!$D:$D,A1046,'01_異動主檔'!$E:$E,"精簡")</f>
        <v/>
      </c>
      <c r="I1046" s="8">
        <f>C1046+D1046+E1046+F1046+G1046+H1046</f>
        <v/>
      </c>
    </row>
    <row r="1047" ht="18" customHeight="1">
      <c r="A1047" s="3" t="inlineStr">
        <is>
          <t>稽核中心</t>
        </is>
      </c>
      <c r="B1047" s="4" t="n">
        <v>115</v>
      </c>
      <c r="C1047" s="8">
        <f>I1046</f>
        <v/>
      </c>
      <c r="D1047" s="4">
        <f>SUMIFS('01_異動主檔'!$F:$F,'01_異動主檔'!$B:$B,115,'01_異動主檔'!$D:$D,A1047,'01_異動主檔'!$E:$E,"移入")</f>
        <v/>
      </c>
      <c r="E1047" s="4">
        <f>-SUMIFS('01_異動主檔'!$F:$F,'01_異動主檔'!$B:$B,115,'01_異動主檔'!$D:$D,A1047,'01_異動主檔'!$E:$E,"移出")</f>
        <v/>
      </c>
      <c r="F1047" s="4">
        <f>SUMIFS('01_異動主檔'!$F:$F,'01_異動主檔'!$B:$B,115,'01_異動主檔'!$D:$D,A1047,'01_異動主檔'!$E:$E,"新增")</f>
        <v/>
      </c>
      <c r="G1047" s="4">
        <f>-SUMIFS('01_異動主檔'!$F:$F,'01_異動主檔'!$B:$B,115,'01_異動主檔'!$D:$D,A1047,'01_異動主檔'!$E:$E,"減列")</f>
        <v/>
      </c>
      <c r="H1047" s="4">
        <f>-SUMIFS('01_異動主檔'!$F:$F,'01_異動主檔'!$B:$B,115,'01_異動主檔'!$D:$D,A1047,'01_異動主檔'!$E:$E,"精簡")</f>
        <v/>
      </c>
      <c r="I1047" s="8">
        <f>C1047+D1047+E1047+F1047+G1047+H1047</f>
        <v/>
      </c>
    </row>
    <row r="1048" ht="18" customHeight="1">
      <c r="A1048" s="5" t="inlineStr">
        <is>
          <t>稽核中心</t>
        </is>
      </c>
      <c r="B1048" s="6" t="n">
        <v>116</v>
      </c>
      <c r="C1048" s="8">
        <f>I1047</f>
        <v/>
      </c>
      <c r="D1048" s="4">
        <f>SUMIFS('01_異動主檔'!$F:$F,'01_異動主檔'!$B:$B,116,'01_異動主檔'!$D:$D,A1048,'01_異動主檔'!$E:$E,"移入")</f>
        <v/>
      </c>
      <c r="E1048" s="4">
        <f>-SUMIFS('01_異動主檔'!$F:$F,'01_異動主檔'!$B:$B,116,'01_異動主檔'!$D:$D,A1048,'01_異動主檔'!$E:$E,"移出")</f>
        <v/>
      </c>
      <c r="F1048" s="4">
        <f>SUMIFS('01_異動主檔'!$F:$F,'01_異動主檔'!$B:$B,116,'01_異動主檔'!$D:$D,A1048,'01_異動主檔'!$E:$E,"新增")</f>
        <v/>
      </c>
      <c r="G1048" s="4">
        <f>-SUMIFS('01_異動主檔'!$F:$F,'01_異動主檔'!$B:$B,116,'01_異動主檔'!$D:$D,A1048,'01_異動主檔'!$E:$E,"減列")</f>
        <v/>
      </c>
      <c r="H1048" s="4">
        <f>-SUMIFS('01_異動主檔'!$F:$F,'01_異動主檔'!$B:$B,116,'01_異動主檔'!$D:$D,A1048,'01_異動主檔'!$E:$E,"精簡")</f>
        <v/>
      </c>
      <c r="I1048" s="8">
        <f>C1048+D1048+E1048+F1048+G1048+H1048</f>
        <v/>
      </c>
    </row>
    <row r="1049" ht="18" customHeight="1">
      <c r="A1049" s="3" t="inlineStr">
        <is>
          <t>稽核中心</t>
        </is>
      </c>
      <c r="B1049" s="4" t="n">
        <v>117</v>
      </c>
      <c r="C1049" s="8">
        <f>I1048</f>
        <v/>
      </c>
      <c r="D1049" s="4">
        <f>SUMIFS('01_異動主檔'!$F:$F,'01_異動主檔'!$B:$B,117,'01_異動主檔'!$D:$D,A1049,'01_異動主檔'!$E:$E,"移入")</f>
        <v/>
      </c>
      <c r="E1049" s="4">
        <f>-SUMIFS('01_異動主檔'!$F:$F,'01_異動主檔'!$B:$B,117,'01_異動主檔'!$D:$D,A1049,'01_異動主檔'!$E:$E,"移出")</f>
        <v/>
      </c>
      <c r="F1049" s="4">
        <f>SUMIFS('01_異動主檔'!$F:$F,'01_異動主檔'!$B:$B,117,'01_異動主檔'!$D:$D,A1049,'01_異動主檔'!$E:$E,"新增")</f>
        <v/>
      </c>
      <c r="G1049" s="4">
        <f>-SUMIFS('01_異動主檔'!$F:$F,'01_異動主檔'!$B:$B,117,'01_異動主檔'!$D:$D,A1049,'01_異動主檔'!$E:$E,"減列")</f>
        <v/>
      </c>
      <c r="H1049" s="4">
        <f>-SUMIFS('01_異動主檔'!$F:$F,'01_異動主檔'!$B:$B,117,'01_異動主檔'!$D:$D,A1049,'01_異動主檔'!$E:$E,"精簡")</f>
        <v/>
      </c>
      <c r="I1049" s="8">
        <f>C1049+D1049+E1049+F1049+G1049+H1049</f>
        <v/>
      </c>
    </row>
    <row r="1050" ht="18" customHeight="1">
      <c r="A1050" s="5" t="inlineStr">
        <is>
          <t>稽核中心</t>
        </is>
      </c>
      <c r="B1050" s="6" t="n">
        <v>118</v>
      </c>
      <c r="C1050" s="8">
        <f>I1049</f>
        <v/>
      </c>
      <c r="D1050" s="4">
        <f>SUMIFS('01_異動主檔'!$F:$F,'01_異動主檔'!$B:$B,118,'01_異動主檔'!$D:$D,A1050,'01_異動主檔'!$E:$E,"移入")</f>
        <v/>
      </c>
      <c r="E1050" s="4">
        <f>-SUMIFS('01_異動主檔'!$F:$F,'01_異動主檔'!$B:$B,118,'01_異動主檔'!$D:$D,A1050,'01_異動主檔'!$E:$E,"移出")</f>
        <v/>
      </c>
      <c r="F1050" s="4">
        <f>SUMIFS('01_異動主檔'!$F:$F,'01_異動主檔'!$B:$B,118,'01_異動主檔'!$D:$D,A1050,'01_異動主檔'!$E:$E,"新增")</f>
        <v/>
      </c>
      <c r="G1050" s="4">
        <f>-SUMIFS('01_異動主檔'!$F:$F,'01_異動主檔'!$B:$B,118,'01_異動主檔'!$D:$D,A1050,'01_異動主檔'!$E:$E,"減列")</f>
        <v/>
      </c>
      <c r="H1050" s="4">
        <f>-SUMIFS('01_異動主檔'!$F:$F,'01_異動主檔'!$B:$B,118,'01_異動主檔'!$D:$D,A1050,'01_異動主檔'!$E:$E,"精簡")</f>
        <v/>
      </c>
      <c r="I1050" s="8">
        <f>C1050+D1050+E1050+F1050+G1050+H1050</f>
        <v/>
      </c>
    </row>
    <row r="1051" ht="18" customHeight="1">
      <c r="A1051" s="3" t="inlineStr">
        <is>
          <t>稽核中心</t>
        </is>
      </c>
      <c r="B1051" s="4" t="n">
        <v>119</v>
      </c>
      <c r="C1051" s="8">
        <f>I1050</f>
        <v/>
      </c>
      <c r="D1051" s="4">
        <f>SUMIFS('01_異動主檔'!$F:$F,'01_異動主檔'!$B:$B,119,'01_異動主檔'!$D:$D,A1051,'01_異動主檔'!$E:$E,"移入")</f>
        <v/>
      </c>
      <c r="E1051" s="4">
        <f>-SUMIFS('01_異動主檔'!$F:$F,'01_異動主檔'!$B:$B,119,'01_異動主檔'!$D:$D,A1051,'01_異動主檔'!$E:$E,"移出")</f>
        <v/>
      </c>
      <c r="F1051" s="4">
        <f>SUMIFS('01_異動主檔'!$F:$F,'01_異動主檔'!$B:$B,119,'01_異動主檔'!$D:$D,A1051,'01_異動主檔'!$E:$E,"新增")</f>
        <v/>
      </c>
      <c r="G1051" s="4">
        <f>-SUMIFS('01_異動主檔'!$F:$F,'01_異動主檔'!$B:$B,119,'01_異動主檔'!$D:$D,A1051,'01_異動主檔'!$E:$E,"減列")</f>
        <v/>
      </c>
      <c r="H1051" s="4">
        <f>-SUMIFS('01_異動主檔'!$F:$F,'01_異動主檔'!$B:$B,119,'01_異動主檔'!$D:$D,A1051,'01_異動主檔'!$E:$E,"精簡")</f>
        <v/>
      </c>
      <c r="I1051" s="8">
        <f>C1051+D1051+E1051+F1051+G1051+H1051</f>
        <v/>
      </c>
    </row>
    <row r="1052" ht="18" customHeight="1">
      <c r="A1052" s="5" t="inlineStr">
        <is>
          <t>稽核中心</t>
        </is>
      </c>
      <c r="B1052" s="6" t="n">
        <v>120</v>
      </c>
      <c r="C1052" s="8">
        <f>I1051</f>
        <v/>
      </c>
      <c r="D1052" s="4">
        <f>SUMIFS('01_異動主檔'!$F:$F,'01_異動主檔'!$B:$B,120,'01_異動主檔'!$D:$D,A1052,'01_異動主檔'!$E:$E,"移入")</f>
        <v/>
      </c>
      <c r="E1052" s="4">
        <f>-SUMIFS('01_異動主檔'!$F:$F,'01_異動主檔'!$B:$B,120,'01_異動主檔'!$D:$D,A1052,'01_異動主檔'!$E:$E,"移出")</f>
        <v/>
      </c>
      <c r="F1052" s="4">
        <f>SUMIFS('01_異動主檔'!$F:$F,'01_異動主檔'!$B:$B,120,'01_異動主檔'!$D:$D,A1052,'01_異動主檔'!$E:$E,"新增")</f>
        <v/>
      </c>
      <c r="G1052" s="4">
        <f>-SUMIFS('01_異動主檔'!$F:$F,'01_異動主檔'!$B:$B,120,'01_異動主檔'!$D:$D,A1052,'01_異動主檔'!$E:$E,"減列")</f>
        <v/>
      </c>
      <c r="H1052" s="4">
        <f>-SUMIFS('01_異動主檔'!$F:$F,'01_異動主檔'!$B:$B,120,'01_異動主檔'!$D:$D,A1052,'01_異動主檔'!$E:$E,"精簡")</f>
        <v/>
      </c>
      <c r="I1052" s="8">
        <f>C1052+D1052+E1052+F1052+G1052+H1052</f>
        <v/>
      </c>
    </row>
    <row r="1053" ht="18" customHeight="1">
      <c r="A1053" s="3" t="inlineStr">
        <is>
          <t>稽核中心</t>
        </is>
      </c>
      <c r="B1053" s="4" t="n">
        <v>121</v>
      </c>
      <c r="C1053" s="8">
        <f>I1052</f>
        <v/>
      </c>
      <c r="D1053" s="4">
        <f>SUMIFS('01_異動主檔'!$F:$F,'01_異動主檔'!$B:$B,121,'01_異動主檔'!$D:$D,A1053,'01_異動主檔'!$E:$E,"移入")</f>
        <v/>
      </c>
      <c r="E1053" s="4">
        <f>-SUMIFS('01_異動主檔'!$F:$F,'01_異動主檔'!$B:$B,121,'01_異動主檔'!$D:$D,A1053,'01_異動主檔'!$E:$E,"移出")</f>
        <v/>
      </c>
      <c r="F1053" s="4">
        <f>SUMIFS('01_異動主檔'!$F:$F,'01_異動主檔'!$B:$B,121,'01_異動主檔'!$D:$D,A1053,'01_異動主檔'!$E:$E,"新增")</f>
        <v/>
      </c>
      <c r="G1053" s="4">
        <f>-SUMIFS('01_異動主檔'!$F:$F,'01_異動主檔'!$B:$B,121,'01_異動主檔'!$D:$D,A1053,'01_異動主檔'!$E:$E,"減列")</f>
        <v/>
      </c>
      <c r="H1053" s="4">
        <f>-SUMIFS('01_異動主檔'!$F:$F,'01_異動主檔'!$B:$B,121,'01_異動主檔'!$D:$D,A1053,'01_異動主檔'!$E:$E,"精簡")</f>
        <v/>
      </c>
      <c r="I1053" s="8">
        <f>C1053+D1053+E1053+F1053+G1053+H1053</f>
        <v/>
      </c>
    </row>
    <row r="1054" ht="18" customHeight="1">
      <c r="A1054" s="5" t="inlineStr">
        <is>
          <t>稽核中心</t>
        </is>
      </c>
      <c r="B1054" s="6" t="n">
        <v>122</v>
      </c>
      <c r="C1054" s="8">
        <f>I1053</f>
        <v/>
      </c>
      <c r="D1054" s="4">
        <f>SUMIFS('01_異動主檔'!$F:$F,'01_異動主檔'!$B:$B,122,'01_異動主檔'!$D:$D,A1054,'01_異動主檔'!$E:$E,"移入")</f>
        <v/>
      </c>
      <c r="E1054" s="4">
        <f>-SUMIFS('01_異動主檔'!$F:$F,'01_異動主檔'!$B:$B,122,'01_異動主檔'!$D:$D,A1054,'01_異動主檔'!$E:$E,"移出")</f>
        <v/>
      </c>
      <c r="F1054" s="4">
        <f>SUMIFS('01_異動主檔'!$F:$F,'01_異動主檔'!$B:$B,122,'01_異動主檔'!$D:$D,A1054,'01_異動主檔'!$E:$E,"新增")</f>
        <v/>
      </c>
      <c r="G1054" s="4">
        <f>-SUMIFS('01_異動主檔'!$F:$F,'01_異動主檔'!$B:$B,122,'01_異動主檔'!$D:$D,A1054,'01_異動主檔'!$E:$E,"減列")</f>
        <v/>
      </c>
      <c r="H1054" s="4">
        <f>-SUMIFS('01_異動主檔'!$F:$F,'01_異動主檔'!$B:$B,122,'01_異動主檔'!$D:$D,A1054,'01_異動主檔'!$E:$E,"精簡")</f>
        <v/>
      </c>
      <c r="I1054" s="8">
        <f>C1054+D1054+E1054+F1054+G1054+H1054</f>
        <v/>
      </c>
    </row>
    <row r="1055" ht="18" customHeight="1">
      <c r="A1055" s="3" t="inlineStr">
        <is>
          <t>稽核中心</t>
        </is>
      </c>
      <c r="B1055" s="4" t="n">
        <v>123</v>
      </c>
      <c r="C1055" s="8">
        <f>I1054</f>
        <v/>
      </c>
      <c r="D1055" s="4">
        <f>SUMIFS('01_異動主檔'!$F:$F,'01_異動主檔'!$B:$B,123,'01_異動主檔'!$D:$D,A1055,'01_異動主檔'!$E:$E,"移入")</f>
        <v/>
      </c>
      <c r="E1055" s="4">
        <f>-SUMIFS('01_異動主檔'!$F:$F,'01_異動主檔'!$B:$B,123,'01_異動主檔'!$D:$D,A1055,'01_異動主檔'!$E:$E,"移出")</f>
        <v/>
      </c>
      <c r="F1055" s="4">
        <f>SUMIFS('01_異動主檔'!$F:$F,'01_異動主檔'!$B:$B,123,'01_異動主檔'!$D:$D,A1055,'01_異動主檔'!$E:$E,"新增")</f>
        <v/>
      </c>
      <c r="G1055" s="4">
        <f>-SUMIFS('01_異動主檔'!$F:$F,'01_異動主檔'!$B:$B,123,'01_異動主檔'!$D:$D,A1055,'01_異動主檔'!$E:$E,"減列")</f>
        <v/>
      </c>
      <c r="H1055" s="4">
        <f>-SUMIFS('01_異動主檔'!$F:$F,'01_異動主檔'!$B:$B,123,'01_異動主檔'!$D:$D,A1055,'01_異動主檔'!$E:$E,"精簡")</f>
        <v/>
      </c>
      <c r="I1055" s="8">
        <f>C1055+D1055+E1055+F1055+G1055+H1055</f>
        <v/>
      </c>
    </row>
    <row r="1056" ht="18" customHeight="1">
      <c r="A1056" s="5" t="inlineStr">
        <is>
          <t>稽核中心</t>
        </is>
      </c>
      <c r="B1056" s="6" t="n">
        <v>124</v>
      </c>
      <c r="C1056" s="8">
        <f>I1055</f>
        <v/>
      </c>
      <c r="D1056" s="4">
        <f>SUMIFS('01_異動主檔'!$F:$F,'01_異動主檔'!$B:$B,124,'01_異動主檔'!$D:$D,A1056,'01_異動主檔'!$E:$E,"移入")</f>
        <v/>
      </c>
      <c r="E1056" s="4">
        <f>-SUMIFS('01_異動主檔'!$F:$F,'01_異動主檔'!$B:$B,124,'01_異動主檔'!$D:$D,A1056,'01_異動主檔'!$E:$E,"移出")</f>
        <v/>
      </c>
      <c r="F1056" s="4">
        <f>SUMIFS('01_異動主檔'!$F:$F,'01_異動主檔'!$B:$B,124,'01_異動主檔'!$D:$D,A1056,'01_異動主檔'!$E:$E,"新增")</f>
        <v/>
      </c>
      <c r="G1056" s="4">
        <f>-SUMIFS('01_異動主檔'!$F:$F,'01_異動主檔'!$B:$B,124,'01_異動主檔'!$D:$D,A1056,'01_異動主檔'!$E:$E,"減列")</f>
        <v/>
      </c>
      <c r="H1056" s="4">
        <f>-SUMIFS('01_異動主檔'!$F:$F,'01_異動主檔'!$B:$B,124,'01_異動主檔'!$D:$D,A1056,'01_異動主檔'!$E:$E,"精簡")</f>
        <v/>
      </c>
      <c r="I1056" s="8">
        <f>C1056+D1056+E1056+F1056+G1056+H1056</f>
        <v/>
      </c>
    </row>
    <row r="1057" ht="18" customHeight="1">
      <c r="A1057" s="3" t="inlineStr">
        <is>
          <t>稽核中心</t>
        </is>
      </c>
      <c r="B1057" s="4" t="n">
        <v>125</v>
      </c>
      <c r="C1057" s="8">
        <f>I1056</f>
        <v/>
      </c>
      <c r="D1057" s="4">
        <f>SUMIFS('01_異動主檔'!$F:$F,'01_異動主檔'!$B:$B,125,'01_異動主檔'!$D:$D,A1057,'01_異動主檔'!$E:$E,"移入")</f>
        <v/>
      </c>
      <c r="E1057" s="4">
        <f>-SUMIFS('01_異動主檔'!$F:$F,'01_異動主檔'!$B:$B,125,'01_異動主檔'!$D:$D,A1057,'01_異動主檔'!$E:$E,"移出")</f>
        <v/>
      </c>
      <c r="F1057" s="4">
        <f>SUMIFS('01_異動主檔'!$F:$F,'01_異動主檔'!$B:$B,125,'01_異動主檔'!$D:$D,A1057,'01_異動主檔'!$E:$E,"新增")</f>
        <v/>
      </c>
      <c r="G1057" s="4">
        <f>-SUMIFS('01_異動主檔'!$F:$F,'01_異動主檔'!$B:$B,125,'01_異動主檔'!$D:$D,A1057,'01_異動主檔'!$E:$E,"減列")</f>
        <v/>
      </c>
      <c r="H1057" s="4">
        <f>-SUMIFS('01_異動主檔'!$F:$F,'01_異動主檔'!$B:$B,125,'01_異動主檔'!$D:$D,A1057,'01_異動主檔'!$E:$E,"精簡")</f>
        <v/>
      </c>
      <c r="I1057" s="8">
        <f>C1057+D1057+E1057+F1057+G1057+H1057</f>
        <v/>
      </c>
    </row>
    <row r="1058" ht="18" customHeight="1">
      <c r="A1058" s="5" t="inlineStr">
        <is>
          <t>協調中心</t>
        </is>
      </c>
      <c r="B1058" s="6" t="n">
        <v>99</v>
      </c>
      <c r="C1058" s="8">
        <f>'02_年初員額設定'!B44</f>
        <v/>
      </c>
      <c r="D1058" s="4">
        <f>SUMIFS('01_異動主檔'!$F:$F,'01_異動主檔'!$B:$B,99,'01_異動主檔'!$D:$D,A1058,'01_異動主檔'!$E:$E,"移入")</f>
        <v/>
      </c>
      <c r="E1058" s="4">
        <f>-SUMIFS('01_異動主檔'!$F:$F,'01_異動主檔'!$B:$B,99,'01_異動主檔'!$D:$D,A1058,'01_異動主檔'!$E:$E,"移出")</f>
        <v/>
      </c>
      <c r="F1058" s="4">
        <f>SUMIFS('01_異動主檔'!$F:$F,'01_異動主檔'!$B:$B,99,'01_異動主檔'!$D:$D,A1058,'01_異動主檔'!$E:$E,"新增")</f>
        <v/>
      </c>
      <c r="G1058" s="4">
        <f>-SUMIFS('01_異動主檔'!$F:$F,'01_異動主檔'!$B:$B,99,'01_異動主檔'!$D:$D,A1058,'01_異動主檔'!$E:$E,"減列")</f>
        <v/>
      </c>
      <c r="H1058" s="4">
        <f>-SUMIFS('01_異動主檔'!$F:$F,'01_異動主檔'!$B:$B,99,'01_異動主檔'!$D:$D,A1058,'01_異動主檔'!$E:$E,"精簡")</f>
        <v/>
      </c>
      <c r="I1058" s="8">
        <f>C1058+D1058+E1058+F1058+G1058+H1058</f>
        <v/>
      </c>
    </row>
    <row r="1059" ht="18" customHeight="1">
      <c r="A1059" s="3" t="inlineStr">
        <is>
          <t>協調中心</t>
        </is>
      </c>
      <c r="B1059" s="4" t="n">
        <v>100</v>
      </c>
      <c r="C1059" s="8">
        <f>I1058</f>
        <v/>
      </c>
      <c r="D1059" s="4">
        <f>SUMIFS('01_異動主檔'!$F:$F,'01_異動主檔'!$B:$B,100,'01_異動主檔'!$D:$D,A1059,'01_異動主檔'!$E:$E,"移入")</f>
        <v/>
      </c>
      <c r="E1059" s="4">
        <f>-SUMIFS('01_異動主檔'!$F:$F,'01_異動主檔'!$B:$B,100,'01_異動主檔'!$D:$D,A1059,'01_異動主檔'!$E:$E,"移出")</f>
        <v/>
      </c>
      <c r="F1059" s="4">
        <f>SUMIFS('01_異動主檔'!$F:$F,'01_異動主檔'!$B:$B,100,'01_異動主檔'!$D:$D,A1059,'01_異動主檔'!$E:$E,"新增")</f>
        <v/>
      </c>
      <c r="G1059" s="4">
        <f>-SUMIFS('01_異動主檔'!$F:$F,'01_異動主檔'!$B:$B,100,'01_異動主檔'!$D:$D,A1059,'01_異動主檔'!$E:$E,"減列")</f>
        <v/>
      </c>
      <c r="H1059" s="4">
        <f>-SUMIFS('01_異動主檔'!$F:$F,'01_異動主檔'!$B:$B,100,'01_異動主檔'!$D:$D,A1059,'01_異動主檔'!$E:$E,"精簡")</f>
        <v/>
      </c>
      <c r="I1059" s="8">
        <f>C1059+D1059+E1059+F1059+G1059+H1059</f>
        <v/>
      </c>
    </row>
    <row r="1060" ht="18" customHeight="1">
      <c r="A1060" s="5" t="inlineStr">
        <is>
          <t>協調中心</t>
        </is>
      </c>
      <c r="B1060" s="6" t="n">
        <v>101</v>
      </c>
      <c r="C1060" s="8">
        <f>I1059</f>
        <v/>
      </c>
      <c r="D1060" s="4">
        <f>SUMIFS('01_異動主檔'!$F:$F,'01_異動主檔'!$B:$B,101,'01_異動主檔'!$D:$D,A1060,'01_異動主檔'!$E:$E,"移入")</f>
        <v/>
      </c>
      <c r="E1060" s="4">
        <f>-SUMIFS('01_異動主檔'!$F:$F,'01_異動主檔'!$B:$B,101,'01_異動主檔'!$D:$D,A1060,'01_異動主檔'!$E:$E,"移出")</f>
        <v/>
      </c>
      <c r="F1060" s="4">
        <f>SUMIFS('01_異動主檔'!$F:$F,'01_異動主檔'!$B:$B,101,'01_異動主檔'!$D:$D,A1060,'01_異動主檔'!$E:$E,"新增")</f>
        <v/>
      </c>
      <c r="G1060" s="4">
        <f>-SUMIFS('01_異動主檔'!$F:$F,'01_異動主檔'!$B:$B,101,'01_異動主檔'!$D:$D,A1060,'01_異動主檔'!$E:$E,"減列")</f>
        <v/>
      </c>
      <c r="H1060" s="4">
        <f>-SUMIFS('01_異動主檔'!$F:$F,'01_異動主檔'!$B:$B,101,'01_異動主檔'!$D:$D,A1060,'01_異動主檔'!$E:$E,"精簡")</f>
        <v/>
      </c>
      <c r="I1060" s="8">
        <f>C1060+D1060+E1060+F1060+G1060+H1060</f>
        <v/>
      </c>
    </row>
    <row r="1061" ht="18" customHeight="1">
      <c r="A1061" s="3" t="inlineStr">
        <is>
          <t>協調中心</t>
        </is>
      </c>
      <c r="B1061" s="4" t="n">
        <v>102</v>
      </c>
      <c r="C1061" s="8">
        <f>I1060</f>
        <v/>
      </c>
      <c r="D1061" s="4">
        <f>SUMIFS('01_異動主檔'!$F:$F,'01_異動主檔'!$B:$B,102,'01_異動主檔'!$D:$D,A1061,'01_異動主檔'!$E:$E,"移入")</f>
        <v/>
      </c>
      <c r="E1061" s="4">
        <f>-SUMIFS('01_異動主檔'!$F:$F,'01_異動主檔'!$B:$B,102,'01_異動主檔'!$D:$D,A1061,'01_異動主檔'!$E:$E,"移出")</f>
        <v/>
      </c>
      <c r="F1061" s="4">
        <f>SUMIFS('01_異動主檔'!$F:$F,'01_異動主檔'!$B:$B,102,'01_異動主檔'!$D:$D,A1061,'01_異動主檔'!$E:$E,"新增")</f>
        <v/>
      </c>
      <c r="G1061" s="4">
        <f>-SUMIFS('01_異動主檔'!$F:$F,'01_異動主檔'!$B:$B,102,'01_異動主檔'!$D:$D,A1061,'01_異動主檔'!$E:$E,"減列")</f>
        <v/>
      </c>
      <c r="H1061" s="4">
        <f>-SUMIFS('01_異動主檔'!$F:$F,'01_異動主檔'!$B:$B,102,'01_異動主檔'!$D:$D,A1061,'01_異動主檔'!$E:$E,"精簡")</f>
        <v/>
      </c>
      <c r="I1061" s="8">
        <f>C1061+D1061+E1061+F1061+G1061+H1061</f>
        <v/>
      </c>
    </row>
    <row r="1062" ht="18" customHeight="1">
      <c r="A1062" s="5" t="inlineStr">
        <is>
          <t>協調中心</t>
        </is>
      </c>
      <c r="B1062" s="6" t="n">
        <v>103</v>
      </c>
      <c r="C1062" s="8">
        <f>I1061</f>
        <v/>
      </c>
      <c r="D1062" s="4">
        <f>SUMIFS('01_異動主檔'!$F:$F,'01_異動主檔'!$B:$B,103,'01_異動主檔'!$D:$D,A1062,'01_異動主檔'!$E:$E,"移入")</f>
        <v/>
      </c>
      <c r="E1062" s="4">
        <f>-SUMIFS('01_異動主檔'!$F:$F,'01_異動主檔'!$B:$B,103,'01_異動主檔'!$D:$D,A1062,'01_異動主檔'!$E:$E,"移出")</f>
        <v/>
      </c>
      <c r="F1062" s="4">
        <f>SUMIFS('01_異動主檔'!$F:$F,'01_異動主檔'!$B:$B,103,'01_異動主檔'!$D:$D,A1062,'01_異動主檔'!$E:$E,"新增")</f>
        <v/>
      </c>
      <c r="G1062" s="4">
        <f>-SUMIFS('01_異動主檔'!$F:$F,'01_異動主檔'!$B:$B,103,'01_異動主檔'!$D:$D,A1062,'01_異動主檔'!$E:$E,"減列")</f>
        <v/>
      </c>
      <c r="H1062" s="4">
        <f>-SUMIFS('01_異動主檔'!$F:$F,'01_異動主檔'!$B:$B,103,'01_異動主檔'!$D:$D,A1062,'01_異動主檔'!$E:$E,"精簡")</f>
        <v/>
      </c>
      <c r="I1062" s="8">
        <f>C1062+D1062+E1062+F1062+G1062+H1062</f>
        <v/>
      </c>
    </row>
    <row r="1063" ht="18" customHeight="1">
      <c r="A1063" s="3" t="inlineStr">
        <is>
          <t>協調中心</t>
        </is>
      </c>
      <c r="B1063" s="4" t="n">
        <v>104</v>
      </c>
      <c r="C1063" s="8">
        <f>I1062</f>
        <v/>
      </c>
      <c r="D1063" s="4">
        <f>SUMIFS('01_異動主檔'!$F:$F,'01_異動主檔'!$B:$B,104,'01_異動主檔'!$D:$D,A1063,'01_異動主檔'!$E:$E,"移入")</f>
        <v/>
      </c>
      <c r="E1063" s="4">
        <f>-SUMIFS('01_異動主檔'!$F:$F,'01_異動主檔'!$B:$B,104,'01_異動主檔'!$D:$D,A1063,'01_異動主檔'!$E:$E,"移出")</f>
        <v/>
      </c>
      <c r="F1063" s="4">
        <f>SUMIFS('01_異動主檔'!$F:$F,'01_異動主檔'!$B:$B,104,'01_異動主檔'!$D:$D,A1063,'01_異動主檔'!$E:$E,"新增")</f>
        <v/>
      </c>
      <c r="G1063" s="4">
        <f>-SUMIFS('01_異動主檔'!$F:$F,'01_異動主檔'!$B:$B,104,'01_異動主檔'!$D:$D,A1063,'01_異動主檔'!$E:$E,"減列")</f>
        <v/>
      </c>
      <c r="H1063" s="4">
        <f>-SUMIFS('01_異動主檔'!$F:$F,'01_異動主檔'!$B:$B,104,'01_異動主檔'!$D:$D,A1063,'01_異動主檔'!$E:$E,"精簡")</f>
        <v/>
      </c>
      <c r="I1063" s="8">
        <f>C1063+D1063+E1063+F1063+G1063+H1063</f>
        <v/>
      </c>
    </row>
    <row r="1064" ht="18" customHeight="1">
      <c r="A1064" s="5" t="inlineStr">
        <is>
          <t>協調中心</t>
        </is>
      </c>
      <c r="B1064" s="6" t="n">
        <v>105</v>
      </c>
      <c r="C1064" s="8">
        <f>I1063</f>
        <v/>
      </c>
      <c r="D1064" s="4">
        <f>SUMIFS('01_異動主檔'!$F:$F,'01_異動主檔'!$B:$B,105,'01_異動主檔'!$D:$D,A1064,'01_異動主檔'!$E:$E,"移入")</f>
        <v/>
      </c>
      <c r="E1064" s="4">
        <f>-SUMIFS('01_異動主檔'!$F:$F,'01_異動主檔'!$B:$B,105,'01_異動主檔'!$D:$D,A1064,'01_異動主檔'!$E:$E,"移出")</f>
        <v/>
      </c>
      <c r="F1064" s="4">
        <f>SUMIFS('01_異動主檔'!$F:$F,'01_異動主檔'!$B:$B,105,'01_異動主檔'!$D:$D,A1064,'01_異動主檔'!$E:$E,"新增")</f>
        <v/>
      </c>
      <c r="G1064" s="4">
        <f>-SUMIFS('01_異動主檔'!$F:$F,'01_異動主檔'!$B:$B,105,'01_異動主檔'!$D:$D,A1064,'01_異動主檔'!$E:$E,"減列")</f>
        <v/>
      </c>
      <c r="H1064" s="4">
        <f>-SUMIFS('01_異動主檔'!$F:$F,'01_異動主檔'!$B:$B,105,'01_異動主檔'!$D:$D,A1064,'01_異動主檔'!$E:$E,"精簡")</f>
        <v/>
      </c>
      <c r="I1064" s="8">
        <f>C1064+D1064+E1064+F1064+G1064+H1064</f>
        <v/>
      </c>
    </row>
    <row r="1065" ht="18" customHeight="1">
      <c r="A1065" s="3" t="inlineStr">
        <is>
          <t>協調中心</t>
        </is>
      </c>
      <c r="B1065" s="4" t="n">
        <v>106</v>
      </c>
      <c r="C1065" s="8">
        <f>I1064</f>
        <v/>
      </c>
      <c r="D1065" s="4">
        <f>SUMIFS('01_異動主檔'!$F:$F,'01_異動主檔'!$B:$B,106,'01_異動主檔'!$D:$D,A1065,'01_異動主檔'!$E:$E,"移入")</f>
        <v/>
      </c>
      <c r="E1065" s="4">
        <f>-SUMIFS('01_異動主檔'!$F:$F,'01_異動主檔'!$B:$B,106,'01_異動主檔'!$D:$D,A1065,'01_異動主檔'!$E:$E,"移出")</f>
        <v/>
      </c>
      <c r="F1065" s="4">
        <f>SUMIFS('01_異動主檔'!$F:$F,'01_異動主檔'!$B:$B,106,'01_異動主檔'!$D:$D,A1065,'01_異動主檔'!$E:$E,"新增")</f>
        <v/>
      </c>
      <c r="G1065" s="4">
        <f>-SUMIFS('01_異動主檔'!$F:$F,'01_異動主檔'!$B:$B,106,'01_異動主檔'!$D:$D,A1065,'01_異動主檔'!$E:$E,"減列")</f>
        <v/>
      </c>
      <c r="H1065" s="4">
        <f>-SUMIFS('01_異動主檔'!$F:$F,'01_異動主檔'!$B:$B,106,'01_異動主檔'!$D:$D,A1065,'01_異動主檔'!$E:$E,"精簡")</f>
        <v/>
      </c>
      <c r="I1065" s="8">
        <f>C1065+D1065+E1065+F1065+G1065+H1065</f>
        <v/>
      </c>
    </row>
    <row r="1066" ht="18" customHeight="1">
      <c r="A1066" s="5" t="inlineStr">
        <is>
          <t>協調中心</t>
        </is>
      </c>
      <c r="B1066" s="6" t="n">
        <v>107</v>
      </c>
      <c r="C1066" s="8">
        <f>I1065</f>
        <v/>
      </c>
      <c r="D1066" s="4">
        <f>SUMIFS('01_異動主檔'!$F:$F,'01_異動主檔'!$B:$B,107,'01_異動主檔'!$D:$D,A1066,'01_異動主檔'!$E:$E,"移入")</f>
        <v/>
      </c>
      <c r="E1066" s="4">
        <f>-SUMIFS('01_異動主檔'!$F:$F,'01_異動主檔'!$B:$B,107,'01_異動主檔'!$D:$D,A1066,'01_異動主檔'!$E:$E,"移出")</f>
        <v/>
      </c>
      <c r="F1066" s="4">
        <f>SUMIFS('01_異動主檔'!$F:$F,'01_異動主檔'!$B:$B,107,'01_異動主檔'!$D:$D,A1066,'01_異動主檔'!$E:$E,"新增")</f>
        <v/>
      </c>
      <c r="G1066" s="4">
        <f>-SUMIFS('01_異動主檔'!$F:$F,'01_異動主檔'!$B:$B,107,'01_異動主檔'!$D:$D,A1066,'01_異動主檔'!$E:$E,"減列")</f>
        <v/>
      </c>
      <c r="H1066" s="4">
        <f>-SUMIFS('01_異動主檔'!$F:$F,'01_異動主檔'!$B:$B,107,'01_異動主檔'!$D:$D,A1066,'01_異動主檔'!$E:$E,"精簡")</f>
        <v/>
      </c>
      <c r="I1066" s="8">
        <f>C1066+D1066+E1066+F1066+G1066+H1066</f>
        <v/>
      </c>
    </row>
    <row r="1067" ht="18" customHeight="1">
      <c r="A1067" s="3" t="inlineStr">
        <is>
          <t>協調中心</t>
        </is>
      </c>
      <c r="B1067" s="4" t="n">
        <v>108</v>
      </c>
      <c r="C1067" s="8">
        <f>I1066</f>
        <v/>
      </c>
      <c r="D1067" s="4">
        <f>SUMIFS('01_異動主檔'!$F:$F,'01_異動主檔'!$B:$B,108,'01_異動主檔'!$D:$D,A1067,'01_異動主檔'!$E:$E,"移入")</f>
        <v/>
      </c>
      <c r="E1067" s="4">
        <f>-SUMIFS('01_異動主檔'!$F:$F,'01_異動主檔'!$B:$B,108,'01_異動主檔'!$D:$D,A1067,'01_異動主檔'!$E:$E,"移出")</f>
        <v/>
      </c>
      <c r="F1067" s="4">
        <f>SUMIFS('01_異動主檔'!$F:$F,'01_異動主檔'!$B:$B,108,'01_異動主檔'!$D:$D,A1067,'01_異動主檔'!$E:$E,"新增")</f>
        <v/>
      </c>
      <c r="G1067" s="4">
        <f>-SUMIFS('01_異動主檔'!$F:$F,'01_異動主檔'!$B:$B,108,'01_異動主檔'!$D:$D,A1067,'01_異動主檔'!$E:$E,"減列")</f>
        <v/>
      </c>
      <c r="H1067" s="4">
        <f>-SUMIFS('01_異動主檔'!$F:$F,'01_異動主檔'!$B:$B,108,'01_異動主檔'!$D:$D,A1067,'01_異動主檔'!$E:$E,"精簡")</f>
        <v/>
      </c>
      <c r="I1067" s="8">
        <f>C1067+D1067+E1067+F1067+G1067+H1067</f>
        <v/>
      </c>
    </row>
    <row r="1068" ht="18" customHeight="1">
      <c r="A1068" s="5" t="inlineStr">
        <is>
          <t>協調中心</t>
        </is>
      </c>
      <c r="B1068" s="6" t="n">
        <v>109</v>
      </c>
      <c r="C1068" s="8">
        <f>I1067</f>
        <v/>
      </c>
      <c r="D1068" s="4">
        <f>SUMIFS('01_異動主檔'!$F:$F,'01_異動主檔'!$B:$B,109,'01_異動主檔'!$D:$D,A1068,'01_異動主檔'!$E:$E,"移入")</f>
        <v/>
      </c>
      <c r="E1068" s="4">
        <f>-SUMIFS('01_異動主檔'!$F:$F,'01_異動主檔'!$B:$B,109,'01_異動主檔'!$D:$D,A1068,'01_異動主檔'!$E:$E,"移出")</f>
        <v/>
      </c>
      <c r="F1068" s="4">
        <f>SUMIFS('01_異動主檔'!$F:$F,'01_異動主檔'!$B:$B,109,'01_異動主檔'!$D:$D,A1068,'01_異動主檔'!$E:$E,"新增")</f>
        <v/>
      </c>
      <c r="G1068" s="4">
        <f>-SUMIFS('01_異動主檔'!$F:$F,'01_異動主檔'!$B:$B,109,'01_異動主檔'!$D:$D,A1068,'01_異動主檔'!$E:$E,"減列")</f>
        <v/>
      </c>
      <c r="H1068" s="4">
        <f>-SUMIFS('01_異動主檔'!$F:$F,'01_異動主檔'!$B:$B,109,'01_異動主檔'!$D:$D,A1068,'01_異動主檔'!$E:$E,"精簡")</f>
        <v/>
      </c>
      <c r="I1068" s="8">
        <f>C1068+D1068+E1068+F1068+G1068+H1068</f>
        <v/>
      </c>
    </row>
    <row r="1069" ht="18" customHeight="1">
      <c r="A1069" s="3" t="inlineStr">
        <is>
          <t>協調中心</t>
        </is>
      </c>
      <c r="B1069" s="4" t="n">
        <v>110</v>
      </c>
      <c r="C1069" s="8">
        <f>I1068</f>
        <v/>
      </c>
      <c r="D1069" s="4">
        <f>SUMIFS('01_異動主檔'!$F:$F,'01_異動主檔'!$B:$B,110,'01_異動主檔'!$D:$D,A1069,'01_異動主檔'!$E:$E,"移入")</f>
        <v/>
      </c>
      <c r="E1069" s="4">
        <f>-SUMIFS('01_異動主檔'!$F:$F,'01_異動主檔'!$B:$B,110,'01_異動主檔'!$D:$D,A1069,'01_異動主檔'!$E:$E,"移出")</f>
        <v/>
      </c>
      <c r="F1069" s="4">
        <f>SUMIFS('01_異動主檔'!$F:$F,'01_異動主檔'!$B:$B,110,'01_異動主檔'!$D:$D,A1069,'01_異動主檔'!$E:$E,"新增")</f>
        <v/>
      </c>
      <c r="G1069" s="4">
        <f>-SUMIFS('01_異動主檔'!$F:$F,'01_異動主檔'!$B:$B,110,'01_異動主檔'!$D:$D,A1069,'01_異動主檔'!$E:$E,"減列")</f>
        <v/>
      </c>
      <c r="H1069" s="4">
        <f>-SUMIFS('01_異動主檔'!$F:$F,'01_異動主檔'!$B:$B,110,'01_異動主檔'!$D:$D,A1069,'01_異動主檔'!$E:$E,"精簡")</f>
        <v/>
      </c>
      <c r="I1069" s="8">
        <f>C1069+D1069+E1069+F1069+G1069+H1069</f>
        <v/>
      </c>
    </row>
    <row r="1070" ht="18" customHeight="1">
      <c r="A1070" s="5" t="inlineStr">
        <is>
          <t>協調中心</t>
        </is>
      </c>
      <c r="B1070" s="6" t="n">
        <v>111</v>
      </c>
      <c r="C1070" s="8">
        <f>I1069</f>
        <v/>
      </c>
      <c r="D1070" s="4">
        <f>SUMIFS('01_異動主檔'!$F:$F,'01_異動主檔'!$B:$B,111,'01_異動主檔'!$D:$D,A1070,'01_異動主檔'!$E:$E,"移入")</f>
        <v/>
      </c>
      <c r="E1070" s="4">
        <f>-SUMIFS('01_異動主檔'!$F:$F,'01_異動主檔'!$B:$B,111,'01_異動主檔'!$D:$D,A1070,'01_異動主檔'!$E:$E,"移出")</f>
        <v/>
      </c>
      <c r="F1070" s="4">
        <f>SUMIFS('01_異動主檔'!$F:$F,'01_異動主檔'!$B:$B,111,'01_異動主檔'!$D:$D,A1070,'01_異動主檔'!$E:$E,"新增")</f>
        <v/>
      </c>
      <c r="G1070" s="4">
        <f>-SUMIFS('01_異動主檔'!$F:$F,'01_異動主檔'!$B:$B,111,'01_異動主檔'!$D:$D,A1070,'01_異動主檔'!$E:$E,"減列")</f>
        <v/>
      </c>
      <c r="H1070" s="4">
        <f>-SUMIFS('01_異動主檔'!$F:$F,'01_異動主檔'!$B:$B,111,'01_異動主檔'!$D:$D,A1070,'01_異動主檔'!$E:$E,"精簡")</f>
        <v/>
      </c>
      <c r="I1070" s="8">
        <f>C1070+D1070+E1070+F1070+G1070+H1070</f>
        <v/>
      </c>
    </row>
    <row r="1071" ht="18" customHeight="1">
      <c r="A1071" s="3" t="inlineStr">
        <is>
          <t>協調中心</t>
        </is>
      </c>
      <c r="B1071" s="4" t="n">
        <v>112</v>
      </c>
      <c r="C1071" s="8">
        <f>I1070</f>
        <v/>
      </c>
      <c r="D1071" s="4">
        <f>SUMIFS('01_異動主檔'!$F:$F,'01_異動主檔'!$B:$B,112,'01_異動主檔'!$D:$D,A1071,'01_異動主檔'!$E:$E,"移入")</f>
        <v/>
      </c>
      <c r="E1071" s="4">
        <f>-SUMIFS('01_異動主檔'!$F:$F,'01_異動主檔'!$B:$B,112,'01_異動主檔'!$D:$D,A1071,'01_異動主檔'!$E:$E,"移出")</f>
        <v/>
      </c>
      <c r="F1071" s="4">
        <f>SUMIFS('01_異動主檔'!$F:$F,'01_異動主檔'!$B:$B,112,'01_異動主檔'!$D:$D,A1071,'01_異動主檔'!$E:$E,"新增")</f>
        <v/>
      </c>
      <c r="G1071" s="4">
        <f>-SUMIFS('01_異動主檔'!$F:$F,'01_異動主檔'!$B:$B,112,'01_異動主檔'!$D:$D,A1071,'01_異動主檔'!$E:$E,"減列")</f>
        <v/>
      </c>
      <c r="H1071" s="4">
        <f>-SUMIFS('01_異動主檔'!$F:$F,'01_異動主檔'!$B:$B,112,'01_異動主檔'!$D:$D,A1071,'01_異動主檔'!$E:$E,"精簡")</f>
        <v/>
      </c>
      <c r="I1071" s="8">
        <f>C1071+D1071+E1071+F1071+G1071+H1071</f>
        <v/>
      </c>
    </row>
    <row r="1072" ht="18" customHeight="1">
      <c r="A1072" s="5" t="inlineStr">
        <is>
          <t>協調中心</t>
        </is>
      </c>
      <c r="B1072" s="6" t="n">
        <v>113</v>
      </c>
      <c r="C1072" s="8">
        <f>I1071</f>
        <v/>
      </c>
      <c r="D1072" s="4">
        <f>SUMIFS('01_異動主檔'!$F:$F,'01_異動主檔'!$B:$B,113,'01_異動主檔'!$D:$D,A1072,'01_異動主檔'!$E:$E,"移入")</f>
        <v/>
      </c>
      <c r="E1072" s="4">
        <f>-SUMIFS('01_異動主檔'!$F:$F,'01_異動主檔'!$B:$B,113,'01_異動主檔'!$D:$D,A1072,'01_異動主檔'!$E:$E,"移出")</f>
        <v/>
      </c>
      <c r="F1072" s="4">
        <f>SUMIFS('01_異動主檔'!$F:$F,'01_異動主檔'!$B:$B,113,'01_異動主檔'!$D:$D,A1072,'01_異動主檔'!$E:$E,"新增")</f>
        <v/>
      </c>
      <c r="G1072" s="4">
        <f>-SUMIFS('01_異動主檔'!$F:$F,'01_異動主檔'!$B:$B,113,'01_異動主檔'!$D:$D,A1072,'01_異動主檔'!$E:$E,"減列")</f>
        <v/>
      </c>
      <c r="H1072" s="4">
        <f>-SUMIFS('01_異動主檔'!$F:$F,'01_異動主檔'!$B:$B,113,'01_異動主檔'!$D:$D,A1072,'01_異動主檔'!$E:$E,"精簡")</f>
        <v/>
      </c>
      <c r="I1072" s="8">
        <f>C1072+D1072+E1072+F1072+G1072+H1072</f>
        <v/>
      </c>
    </row>
    <row r="1073" ht="18" customHeight="1">
      <c r="A1073" s="3" t="inlineStr">
        <is>
          <t>協調中心</t>
        </is>
      </c>
      <c r="B1073" s="4" t="n">
        <v>114</v>
      </c>
      <c r="C1073" s="8">
        <f>I1072</f>
        <v/>
      </c>
      <c r="D1073" s="4">
        <f>SUMIFS('01_異動主檔'!$F:$F,'01_異動主檔'!$B:$B,114,'01_異動主檔'!$D:$D,A1073,'01_異動主檔'!$E:$E,"移入")</f>
        <v/>
      </c>
      <c r="E1073" s="4">
        <f>-SUMIFS('01_異動主檔'!$F:$F,'01_異動主檔'!$B:$B,114,'01_異動主檔'!$D:$D,A1073,'01_異動主檔'!$E:$E,"移出")</f>
        <v/>
      </c>
      <c r="F1073" s="4">
        <f>SUMIFS('01_異動主檔'!$F:$F,'01_異動主檔'!$B:$B,114,'01_異動主檔'!$D:$D,A1073,'01_異動主檔'!$E:$E,"新增")</f>
        <v/>
      </c>
      <c r="G1073" s="4">
        <f>-SUMIFS('01_異動主檔'!$F:$F,'01_異動主檔'!$B:$B,114,'01_異動主檔'!$D:$D,A1073,'01_異動主檔'!$E:$E,"減列")</f>
        <v/>
      </c>
      <c r="H1073" s="4">
        <f>-SUMIFS('01_異動主檔'!$F:$F,'01_異動主檔'!$B:$B,114,'01_異動主檔'!$D:$D,A1073,'01_異動主檔'!$E:$E,"精簡")</f>
        <v/>
      </c>
      <c r="I1073" s="8">
        <f>C1073+D1073+E1073+F1073+G1073+H1073</f>
        <v/>
      </c>
    </row>
    <row r="1074" ht="18" customHeight="1">
      <c r="A1074" s="5" t="inlineStr">
        <is>
          <t>協調中心</t>
        </is>
      </c>
      <c r="B1074" s="6" t="n">
        <v>115</v>
      </c>
      <c r="C1074" s="8">
        <f>I1073</f>
        <v/>
      </c>
      <c r="D1074" s="4">
        <f>SUMIFS('01_異動主檔'!$F:$F,'01_異動主檔'!$B:$B,115,'01_異動主檔'!$D:$D,A1074,'01_異動主檔'!$E:$E,"移入")</f>
        <v/>
      </c>
      <c r="E1074" s="4">
        <f>-SUMIFS('01_異動主檔'!$F:$F,'01_異動主檔'!$B:$B,115,'01_異動主檔'!$D:$D,A1074,'01_異動主檔'!$E:$E,"移出")</f>
        <v/>
      </c>
      <c r="F1074" s="4">
        <f>SUMIFS('01_異動主檔'!$F:$F,'01_異動主檔'!$B:$B,115,'01_異動主檔'!$D:$D,A1074,'01_異動主檔'!$E:$E,"新增")</f>
        <v/>
      </c>
      <c r="G1074" s="4">
        <f>-SUMIFS('01_異動主檔'!$F:$F,'01_異動主檔'!$B:$B,115,'01_異動主檔'!$D:$D,A1074,'01_異動主檔'!$E:$E,"減列")</f>
        <v/>
      </c>
      <c r="H1074" s="4">
        <f>-SUMIFS('01_異動主檔'!$F:$F,'01_異動主檔'!$B:$B,115,'01_異動主檔'!$D:$D,A1074,'01_異動主檔'!$E:$E,"精簡")</f>
        <v/>
      </c>
      <c r="I1074" s="8">
        <f>C1074+D1074+E1074+F1074+G1074+H1074</f>
        <v/>
      </c>
    </row>
    <row r="1075" ht="18" customHeight="1">
      <c r="A1075" s="3" t="inlineStr">
        <is>
          <t>協調中心</t>
        </is>
      </c>
      <c r="B1075" s="4" t="n">
        <v>116</v>
      </c>
      <c r="C1075" s="8">
        <f>I1074</f>
        <v/>
      </c>
      <c r="D1075" s="4">
        <f>SUMIFS('01_異動主檔'!$F:$F,'01_異動主檔'!$B:$B,116,'01_異動主檔'!$D:$D,A1075,'01_異動主檔'!$E:$E,"移入")</f>
        <v/>
      </c>
      <c r="E1075" s="4">
        <f>-SUMIFS('01_異動主檔'!$F:$F,'01_異動主檔'!$B:$B,116,'01_異動主檔'!$D:$D,A1075,'01_異動主檔'!$E:$E,"移出")</f>
        <v/>
      </c>
      <c r="F1075" s="4">
        <f>SUMIFS('01_異動主檔'!$F:$F,'01_異動主檔'!$B:$B,116,'01_異動主檔'!$D:$D,A1075,'01_異動主檔'!$E:$E,"新增")</f>
        <v/>
      </c>
      <c r="G1075" s="4">
        <f>-SUMIFS('01_異動主檔'!$F:$F,'01_異動主檔'!$B:$B,116,'01_異動主檔'!$D:$D,A1075,'01_異動主檔'!$E:$E,"減列")</f>
        <v/>
      </c>
      <c r="H1075" s="4">
        <f>-SUMIFS('01_異動主檔'!$F:$F,'01_異動主檔'!$B:$B,116,'01_異動主檔'!$D:$D,A1075,'01_異動主檔'!$E:$E,"精簡")</f>
        <v/>
      </c>
      <c r="I1075" s="8">
        <f>C1075+D1075+E1075+F1075+G1075+H1075</f>
        <v/>
      </c>
    </row>
    <row r="1076" ht="18" customHeight="1">
      <c r="A1076" s="5" t="inlineStr">
        <is>
          <t>協調中心</t>
        </is>
      </c>
      <c r="B1076" s="6" t="n">
        <v>117</v>
      </c>
      <c r="C1076" s="8">
        <f>I1075</f>
        <v/>
      </c>
      <c r="D1076" s="4">
        <f>SUMIFS('01_異動主檔'!$F:$F,'01_異動主檔'!$B:$B,117,'01_異動主檔'!$D:$D,A1076,'01_異動主檔'!$E:$E,"移入")</f>
        <v/>
      </c>
      <c r="E1076" s="4">
        <f>-SUMIFS('01_異動主檔'!$F:$F,'01_異動主檔'!$B:$B,117,'01_異動主檔'!$D:$D,A1076,'01_異動主檔'!$E:$E,"移出")</f>
        <v/>
      </c>
      <c r="F1076" s="4">
        <f>SUMIFS('01_異動主檔'!$F:$F,'01_異動主檔'!$B:$B,117,'01_異動主檔'!$D:$D,A1076,'01_異動主檔'!$E:$E,"新增")</f>
        <v/>
      </c>
      <c r="G1076" s="4">
        <f>-SUMIFS('01_異動主檔'!$F:$F,'01_異動主檔'!$B:$B,117,'01_異動主檔'!$D:$D,A1076,'01_異動主檔'!$E:$E,"減列")</f>
        <v/>
      </c>
      <c r="H1076" s="4">
        <f>-SUMIFS('01_異動主檔'!$F:$F,'01_異動主檔'!$B:$B,117,'01_異動主檔'!$D:$D,A1076,'01_異動主檔'!$E:$E,"精簡")</f>
        <v/>
      </c>
      <c r="I1076" s="8">
        <f>C1076+D1076+E1076+F1076+G1076+H1076</f>
        <v/>
      </c>
    </row>
    <row r="1077" ht="18" customHeight="1">
      <c r="A1077" s="3" t="inlineStr">
        <is>
          <t>協調中心</t>
        </is>
      </c>
      <c r="B1077" s="4" t="n">
        <v>118</v>
      </c>
      <c r="C1077" s="8">
        <f>I1076</f>
        <v/>
      </c>
      <c r="D1077" s="4">
        <f>SUMIFS('01_異動主檔'!$F:$F,'01_異動主檔'!$B:$B,118,'01_異動主檔'!$D:$D,A1077,'01_異動主檔'!$E:$E,"移入")</f>
        <v/>
      </c>
      <c r="E1077" s="4">
        <f>-SUMIFS('01_異動主檔'!$F:$F,'01_異動主檔'!$B:$B,118,'01_異動主檔'!$D:$D,A1077,'01_異動主檔'!$E:$E,"移出")</f>
        <v/>
      </c>
      <c r="F1077" s="4">
        <f>SUMIFS('01_異動主檔'!$F:$F,'01_異動主檔'!$B:$B,118,'01_異動主檔'!$D:$D,A1077,'01_異動主檔'!$E:$E,"新增")</f>
        <v/>
      </c>
      <c r="G1077" s="4">
        <f>-SUMIFS('01_異動主檔'!$F:$F,'01_異動主檔'!$B:$B,118,'01_異動主檔'!$D:$D,A1077,'01_異動主檔'!$E:$E,"減列")</f>
        <v/>
      </c>
      <c r="H1077" s="4">
        <f>-SUMIFS('01_異動主檔'!$F:$F,'01_異動主檔'!$B:$B,118,'01_異動主檔'!$D:$D,A1077,'01_異動主檔'!$E:$E,"精簡")</f>
        <v/>
      </c>
      <c r="I1077" s="8">
        <f>C1077+D1077+E1077+F1077+G1077+H1077</f>
        <v/>
      </c>
    </row>
    <row r="1078" ht="18" customHeight="1">
      <c r="A1078" s="5" t="inlineStr">
        <is>
          <t>協調中心</t>
        </is>
      </c>
      <c r="B1078" s="6" t="n">
        <v>119</v>
      </c>
      <c r="C1078" s="8">
        <f>I1077</f>
        <v/>
      </c>
      <c r="D1078" s="4">
        <f>SUMIFS('01_異動主檔'!$F:$F,'01_異動主檔'!$B:$B,119,'01_異動主檔'!$D:$D,A1078,'01_異動主檔'!$E:$E,"移入")</f>
        <v/>
      </c>
      <c r="E1078" s="4">
        <f>-SUMIFS('01_異動主檔'!$F:$F,'01_異動主檔'!$B:$B,119,'01_異動主檔'!$D:$D,A1078,'01_異動主檔'!$E:$E,"移出")</f>
        <v/>
      </c>
      <c r="F1078" s="4">
        <f>SUMIFS('01_異動主檔'!$F:$F,'01_異動主檔'!$B:$B,119,'01_異動主檔'!$D:$D,A1078,'01_異動主檔'!$E:$E,"新增")</f>
        <v/>
      </c>
      <c r="G1078" s="4">
        <f>-SUMIFS('01_異動主檔'!$F:$F,'01_異動主檔'!$B:$B,119,'01_異動主檔'!$D:$D,A1078,'01_異動主檔'!$E:$E,"減列")</f>
        <v/>
      </c>
      <c r="H1078" s="4">
        <f>-SUMIFS('01_異動主檔'!$F:$F,'01_異動主檔'!$B:$B,119,'01_異動主檔'!$D:$D,A1078,'01_異動主檔'!$E:$E,"精簡")</f>
        <v/>
      </c>
      <c r="I1078" s="8">
        <f>C1078+D1078+E1078+F1078+G1078+H1078</f>
        <v/>
      </c>
    </row>
    <row r="1079" ht="18" customHeight="1">
      <c r="A1079" s="3" t="inlineStr">
        <is>
          <t>協調中心</t>
        </is>
      </c>
      <c r="B1079" s="4" t="n">
        <v>120</v>
      </c>
      <c r="C1079" s="8">
        <f>I1078</f>
        <v/>
      </c>
      <c r="D1079" s="4">
        <f>SUMIFS('01_異動主檔'!$F:$F,'01_異動主檔'!$B:$B,120,'01_異動主檔'!$D:$D,A1079,'01_異動主檔'!$E:$E,"移入")</f>
        <v/>
      </c>
      <c r="E1079" s="4">
        <f>-SUMIFS('01_異動主檔'!$F:$F,'01_異動主檔'!$B:$B,120,'01_異動主檔'!$D:$D,A1079,'01_異動主檔'!$E:$E,"移出")</f>
        <v/>
      </c>
      <c r="F1079" s="4">
        <f>SUMIFS('01_異動主檔'!$F:$F,'01_異動主檔'!$B:$B,120,'01_異動主檔'!$D:$D,A1079,'01_異動主檔'!$E:$E,"新增")</f>
        <v/>
      </c>
      <c r="G1079" s="4">
        <f>-SUMIFS('01_異動主檔'!$F:$F,'01_異動主檔'!$B:$B,120,'01_異動主檔'!$D:$D,A1079,'01_異動主檔'!$E:$E,"減列")</f>
        <v/>
      </c>
      <c r="H1079" s="4">
        <f>-SUMIFS('01_異動主檔'!$F:$F,'01_異動主檔'!$B:$B,120,'01_異動主檔'!$D:$D,A1079,'01_異動主檔'!$E:$E,"精簡")</f>
        <v/>
      </c>
      <c r="I1079" s="8">
        <f>C1079+D1079+E1079+F1079+G1079+H1079</f>
        <v/>
      </c>
    </row>
    <row r="1080" ht="18" customHeight="1">
      <c r="A1080" s="5" t="inlineStr">
        <is>
          <t>協調中心</t>
        </is>
      </c>
      <c r="B1080" s="6" t="n">
        <v>121</v>
      </c>
      <c r="C1080" s="8">
        <f>I1079</f>
        <v/>
      </c>
      <c r="D1080" s="4">
        <f>SUMIFS('01_異動主檔'!$F:$F,'01_異動主檔'!$B:$B,121,'01_異動主檔'!$D:$D,A1080,'01_異動主檔'!$E:$E,"移入")</f>
        <v/>
      </c>
      <c r="E1080" s="4">
        <f>-SUMIFS('01_異動主檔'!$F:$F,'01_異動主檔'!$B:$B,121,'01_異動主檔'!$D:$D,A1080,'01_異動主檔'!$E:$E,"移出")</f>
        <v/>
      </c>
      <c r="F1080" s="4">
        <f>SUMIFS('01_異動主檔'!$F:$F,'01_異動主檔'!$B:$B,121,'01_異動主檔'!$D:$D,A1080,'01_異動主檔'!$E:$E,"新增")</f>
        <v/>
      </c>
      <c r="G1080" s="4">
        <f>-SUMIFS('01_異動主檔'!$F:$F,'01_異動主檔'!$B:$B,121,'01_異動主檔'!$D:$D,A1080,'01_異動主檔'!$E:$E,"減列")</f>
        <v/>
      </c>
      <c r="H1080" s="4">
        <f>-SUMIFS('01_異動主檔'!$F:$F,'01_異動主檔'!$B:$B,121,'01_異動主檔'!$D:$D,A1080,'01_異動主檔'!$E:$E,"精簡")</f>
        <v/>
      </c>
      <c r="I1080" s="8">
        <f>C1080+D1080+E1080+F1080+G1080+H1080</f>
        <v/>
      </c>
    </row>
    <row r="1081" ht="18" customHeight="1">
      <c r="A1081" s="3" t="inlineStr">
        <is>
          <t>協調中心</t>
        </is>
      </c>
      <c r="B1081" s="4" t="n">
        <v>122</v>
      </c>
      <c r="C1081" s="8">
        <f>I1080</f>
        <v/>
      </c>
      <c r="D1081" s="4">
        <f>SUMIFS('01_異動主檔'!$F:$F,'01_異動主檔'!$B:$B,122,'01_異動主檔'!$D:$D,A1081,'01_異動主檔'!$E:$E,"移入")</f>
        <v/>
      </c>
      <c r="E1081" s="4">
        <f>-SUMIFS('01_異動主檔'!$F:$F,'01_異動主檔'!$B:$B,122,'01_異動主檔'!$D:$D,A1081,'01_異動主檔'!$E:$E,"移出")</f>
        <v/>
      </c>
      <c r="F1081" s="4">
        <f>SUMIFS('01_異動主檔'!$F:$F,'01_異動主檔'!$B:$B,122,'01_異動主檔'!$D:$D,A1081,'01_異動主檔'!$E:$E,"新增")</f>
        <v/>
      </c>
      <c r="G1081" s="4">
        <f>-SUMIFS('01_異動主檔'!$F:$F,'01_異動主檔'!$B:$B,122,'01_異動主檔'!$D:$D,A1081,'01_異動主檔'!$E:$E,"減列")</f>
        <v/>
      </c>
      <c r="H1081" s="4">
        <f>-SUMIFS('01_異動主檔'!$F:$F,'01_異動主檔'!$B:$B,122,'01_異動主檔'!$D:$D,A1081,'01_異動主檔'!$E:$E,"精簡")</f>
        <v/>
      </c>
      <c r="I1081" s="8">
        <f>C1081+D1081+E1081+F1081+G1081+H1081</f>
        <v/>
      </c>
    </row>
    <row r="1082" ht="18" customHeight="1">
      <c r="A1082" s="5" t="inlineStr">
        <is>
          <t>協調中心</t>
        </is>
      </c>
      <c r="B1082" s="6" t="n">
        <v>123</v>
      </c>
      <c r="C1082" s="8">
        <f>I1081</f>
        <v/>
      </c>
      <c r="D1082" s="4">
        <f>SUMIFS('01_異動主檔'!$F:$F,'01_異動主檔'!$B:$B,123,'01_異動主檔'!$D:$D,A1082,'01_異動主檔'!$E:$E,"移入")</f>
        <v/>
      </c>
      <c r="E1082" s="4">
        <f>-SUMIFS('01_異動主檔'!$F:$F,'01_異動主檔'!$B:$B,123,'01_異動主檔'!$D:$D,A1082,'01_異動主檔'!$E:$E,"移出")</f>
        <v/>
      </c>
      <c r="F1082" s="4">
        <f>SUMIFS('01_異動主檔'!$F:$F,'01_異動主檔'!$B:$B,123,'01_異動主檔'!$D:$D,A1082,'01_異動主檔'!$E:$E,"新增")</f>
        <v/>
      </c>
      <c r="G1082" s="4">
        <f>-SUMIFS('01_異動主檔'!$F:$F,'01_異動主檔'!$B:$B,123,'01_異動主檔'!$D:$D,A1082,'01_異動主檔'!$E:$E,"減列")</f>
        <v/>
      </c>
      <c r="H1082" s="4">
        <f>-SUMIFS('01_異動主檔'!$F:$F,'01_異動主檔'!$B:$B,123,'01_異動主檔'!$D:$D,A1082,'01_異動主檔'!$E:$E,"精簡")</f>
        <v/>
      </c>
      <c r="I1082" s="8">
        <f>C1082+D1082+E1082+F1082+G1082+H1082</f>
        <v/>
      </c>
    </row>
    <row r="1083" ht="18" customHeight="1">
      <c r="A1083" s="3" t="inlineStr">
        <is>
          <t>協調中心</t>
        </is>
      </c>
      <c r="B1083" s="4" t="n">
        <v>124</v>
      </c>
      <c r="C1083" s="8">
        <f>I1082</f>
        <v/>
      </c>
      <c r="D1083" s="4">
        <f>SUMIFS('01_異動主檔'!$F:$F,'01_異動主檔'!$B:$B,124,'01_異動主檔'!$D:$D,A1083,'01_異動主檔'!$E:$E,"移入")</f>
        <v/>
      </c>
      <c r="E1083" s="4">
        <f>-SUMIFS('01_異動主檔'!$F:$F,'01_異動主檔'!$B:$B,124,'01_異動主檔'!$D:$D,A1083,'01_異動主檔'!$E:$E,"移出")</f>
        <v/>
      </c>
      <c r="F1083" s="4">
        <f>SUMIFS('01_異動主檔'!$F:$F,'01_異動主檔'!$B:$B,124,'01_異動主檔'!$D:$D,A1083,'01_異動主檔'!$E:$E,"新增")</f>
        <v/>
      </c>
      <c r="G1083" s="4">
        <f>-SUMIFS('01_異動主檔'!$F:$F,'01_異動主檔'!$B:$B,124,'01_異動主檔'!$D:$D,A1083,'01_異動主檔'!$E:$E,"減列")</f>
        <v/>
      </c>
      <c r="H1083" s="4">
        <f>-SUMIFS('01_異動主檔'!$F:$F,'01_異動主檔'!$B:$B,124,'01_異動主檔'!$D:$D,A1083,'01_異動主檔'!$E:$E,"精簡")</f>
        <v/>
      </c>
      <c r="I1083" s="8">
        <f>C1083+D1083+E1083+F1083+G1083+H1083</f>
        <v/>
      </c>
    </row>
    <row r="1084" ht="18" customHeight="1">
      <c r="A1084" s="5" t="inlineStr">
        <is>
          <t>協調中心</t>
        </is>
      </c>
      <c r="B1084" s="6" t="n">
        <v>125</v>
      </c>
      <c r="C1084" s="8">
        <f>I1083</f>
        <v/>
      </c>
      <c r="D1084" s="4">
        <f>SUMIFS('01_異動主檔'!$F:$F,'01_異動主檔'!$B:$B,125,'01_異動主檔'!$D:$D,A1084,'01_異動主檔'!$E:$E,"移入")</f>
        <v/>
      </c>
      <c r="E1084" s="4">
        <f>-SUMIFS('01_異動主檔'!$F:$F,'01_異動主檔'!$B:$B,125,'01_異動主檔'!$D:$D,A1084,'01_異動主檔'!$E:$E,"移出")</f>
        <v/>
      </c>
      <c r="F1084" s="4">
        <f>SUMIFS('01_異動主檔'!$F:$F,'01_異動主檔'!$B:$B,125,'01_異動主檔'!$D:$D,A1084,'01_異動主檔'!$E:$E,"新增")</f>
        <v/>
      </c>
      <c r="G1084" s="4">
        <f>-SUMIFS('01_異動主檔'!$F:$F,'01_異動主檔'!$B:$B,125,'01_異動主檔'!$D:$D,A1084,'01_異動主檔'!$E:$E,"減列")</f>
        <v/>
      </c>
      <c r="H1084" s="4">
        <f>-SUMIFS('01_異動主檔'!$F:$F,'01_異動主檔'!$B:$B,125,'01_異動主檔'!$D:$D,A1084,'01_異動主檔'!$E:$E,"精簡")</f>
        <v/>
      </c>
      <c r="I1084" s="8">
        <f>C1084+D1084+E1084+F1084+G1084+H1084</f>
        <v/>
      </c>
    </row>
    <row r="1085" ht="18" customHeight="1">
      <c r="A1085" s="3" t="inlineStr">
        <is>
          <t>企劃組</t>
        </is>
      </c>
      <c r="B1085" s="4" t="n">
        <v>99</v>
      </c>
      <c r="C1085" s="8">
        <f>'02_年初員額設定'!B45</f>
        <v/>
      </c>
      <c r="D1085" s="4">
        <f>SUMIFS('01_異動主檔'!$F:$F,'01_異動主檔'!$B:$B,99,'01_異動主檔'!$D:$D,A1085,'01_異動主檔'!$E:$E,"移入")</f>
        <v/>
      </c>
      <c r="E1085" s="4">
        <f>-SUMIFS('01_異動主檔'!$F:$F,'01_異動主檔'!$B:$B,99,'01_異動主檔'!$D:$D,A1085,'01_異動主檔'!$E:$E,"移出")</f>
        <v/>
      </c>
      <c r="F1085" s="4">
        <f>SUMIFS('01_異動主檔'!$F:$F,'01_異動主檔'!$B:$B,99,'01_異動主檔'!$D:$D,A1085,'01_異動主檔'!$E:$E,"新增")</f>
        <v/>
      </c>
      <c r="G1085" s="4">
        <f>-SUMIFS('01_異動主檔'!$F:$F,'01_異動主檔'!$B:$B,99,'01_異動主檔'!$D:$D,A1085,'01_異動主檔'!$E:$E,"減列")</f>
        <v/>
      </c>
      <c r="H1085" s="4">
        <f>-SUMIFS('01_異動主檔'!$F:$F,'01_異動主檔'!$B:$B,99,'01_異動主檔'!$D:$D,A1085,'01_異動主檔'!$E:$E,"精簡")</f>
        <v/>
      </c>
      <c r="I1085" s="8">
        <f>C1085+D1085+E1085+F1085+G1085+H1085</f>
        <v/>
      </c>
    </row>
    <row r="1086" ht="18" customHeight="1">
      <c r="A1086" s="5" t="inlineStr">
        <is>
          <t>企劃組</t>
        </is>
      </c>
      <c r="B1086" s="6" t="n">
        <v>100</v>
      </c>
      <c r="C1086" s="8">
        <f>I1085</f>
        <v/>
      </c>
      <c r="D1086" s="4">
        <f>SUMIFS('01_異動主檔'!$F:$F,'01_異動主檔'!$B:$B,100,'01_異動主檔'!$D:$D,A1086,'01_異動主檔'!$E:$E,"移入")</f>
        <v/>
      </c>
      <c r="E1086" s="4">
        <f>-SUMIFS('01_異動主檔'!$F:$F,'01_異動主檔'!$B:$B,100,'01_異動主檔'!$D:$D,A1086,'01_異動主檔'!$E:$E,"移出")</f>
        <v/>
      </c>
      <c r="F1086" s="4">
        <f>SUMIFS('01_異動主檔'!$F:$F,'01_異動主檔'!$B:$B,100,'01_異動主檔'!$D:$D,A1086,'01_異動主檔'!$E:$E,"新增")</f>
        <v/>
      </c>
      <c r="G1086" s="4">
        <f>-SUMIFS('01_異動主檔'!$F:$F,'01_異動主檔'!$B:$B,100,'01_異動主檔'!$D:$D,A1086,'01_異動主檔'!$E:$E,"減列")</f>
        <v/>
      </c>
      <c r="H1086" s="4">
        <f>-SUMIFS('01_異動主檔'!$F:$F,'01_異動主檔'!$B:$B,100,'01_異動主檔'!$D:$D,A1086,'01_異動主檔'!$E:$E,"精簡")</f>
        <v/>
      </c>
      <c r="I1086" s="8">
        <f>C1086+D1086+E1086+F1086+G1086+H1086</f>
        <v/>
      </c>
    </row>
    <row r="1087" ht="18" customHeight="1">
      <c r="A1087" s="3" t="inlineStr">
        <is>
          <t>企劃組</t>
        </is>
      </c>
      <c r="B1087" s="4" t="n">
        <v>101</v>
      </c>
      <c r="C1087" s="8">
        <f>I1086</f>
        <v/>
      </c>
      <c r="D1087" s="4">
        <f>SUMIFS('01_異動主檔'!$F:$F,'01_異動主檔'!$B:$B,101,'01_異動主檔'!$D:$D,A1087,'01_異動主檔'!$E:$E,"移入")</f>
        <v/>
      </c>
      <c r="E1087" s="4">
        <f>-SUMIFS('01_異動主檔'!$F:$F,'01_異動主檔'!$B:$B,101,'01_異動主檔'!$D:$D,A1087,'01_異動主檔'!$E:$E,"移出")</f>
        <v/>
      </c>
      <c r="F1087" s="4">
        <f>SUMIFS('01_異動主檔'!$F:$F,'01_異動主檔'!$B:$B,101,'01_異動主檔'!$D:$D,A1087,'01_異動主檔'!$E:$E,"新增")</f>
        <v/>
      </c>
      <c r="G1087" s="4">
        <f>-SUMIFS('01_異動主檔'!$F:$F,'01_異動主檔'!$B:$B,101,'01_異動主檔'!$D:$D,A1087,'01_異動主檔'!$E:$E,"減列")</f>
        <v/>
      </c>
      <c r="H1087" s="4">
        <f>-SUMIFS('01_異動主檔'!$F:$F,'01_異動主檔'!$B:$B,101,'01_異動主檔'!$D:$D,A1087,'01_異動主檔'!$E:$E,"精簡")</f>
        <v/>
      </c>
      <c r="I1087" s="8">
        <f>C1087+D1087+E1087+F1087+G1087+H1087</f>
        <v/>
      </c>
    </row>
    <row r="1088" ht="18" customHeight="1">
      <c r="A1088" s="5" t="inlineStr">
        <is>
          <t>企劃組</t>
        </is>
      </c>
      <c r="B1088" s="6" t="n">
        <v>102</v>
      </c>
      <c r="C1088" s="8">
        <f>I1087</f>
        <v/>
      </c>
      <c r="D1088" s="4">
        <f>SUMIFS('01_異動主檔'!$F:$F,'01_異動主檔'!$B:$B,102,'01_異動主檔'!$D:$D,A1088,'01_異動主檔'!$E:$E,"移入")</f>
        <v/>
      </c>
      <c r="E1088" s="4">
        <f>-SUMIFS('01_異動主檔'!$F:$F,'01_異動主檔'!$B:$B,102,'01_異動主檔'!$D:$D,A1088,'01_異動主檔'!$E:$E,"移出")</f>
        <v/>
      </c>
      <c r="F1088" s="4">
        <f>SUMIFS('01_異動主檔'!$F:$F,'01_異動主檔'!$B:$B,102,'01_異動主檔'!$D:$D,A1088,'01_異動主檔'!$E:$E,"新增")</f>
        <v/>
      </c>
      <c r="G1088" s="4">
        <f>-SUMIFS('01_異動主檔'!$F:$F,'01_異動主檔'!$B:$B,102,'01_異動主檔'!$D:$D,A1088,'01_異動主檔'!$E:$E,"減列")</f>
        <v/>
      </c>
      <c r="H1088" s="4">
        <f>-SUMIFS('01_異動主檔'!$F:$F,'01_異動主檔'!$B:$B,102,'01_異動主檔'!$D:$D,A1088,'01_異動主檔'!$E:$E,"精簡")</f>
        <v/>
      </c>
      <c r="I1088" s="8">
        <f>C1088+D1088+E1088+F1088+G1088+H1088</f>
        <v/>
      </c>
    </row>
    <row r="1089" ht="18" customHeight="1">
      <c r="A1089" s="3" t="inlineStr">
        <is>
          <t>企劃組</t>
        </is>
      </c>
      <c r="B1089" s="4" t="n">
        <v>103</v>
      </c>
      <c r="C1089" s="8">
        <f>I1088</f>
        <v/>
      </c>
      <c r="D1089" s="4">
        <f>SUMIFS('01_異動主檔'!$F:$F,'01_異動主檔'!$B:$B,103,'01_異動主檔'!$D:$D,A1089,'01_異動主檔'!$E:$E,"移入")</f>
        <v/>
      </c>
      <c r="E1089" s="4">
        <f>-SUMIFS('01_異動主檔'!$F:$F,'01_異動主檔'!$B:$B,103,'01_異動主檔'!$D:$D,A1089,'01_異動主檔'!$E:$E,"移出")</f>
        <v/>
      </c>
      <c r="F1089" s="4">
        <f>SUMIFS('01_異動主檔'!$F:$F,'01_異動主檔'!$B:$B,103,'01_異動主檔'!$D:$D,A1089,'01_異動主檔'!$E:$E,"新增")</f>
        <v/>
      </c>
      <c r="G1089" s="4">
        <f>-SUMIFS('01_異動主檔'!$F:$F,'01_異動主檔'!$B:$B,103,'01_異動主檔'!$D:$D,A1089,'01_異動主檔'!$E:$E,"減列")</f>
        <v/>
      </c>
      <c r="H1089" s="4">
        <f>-SUMIFS('01_異動主檔'!$F:$F,'01_異動主檔'!$B:$B,103,'01_異動主檔'!$D:$D,A1089,'01_異動主檔'!$E:$E,"精簡")</f>
        <v/>
      </c>
      <c r="I1089" s="8">
        <f>C1089+D1089+E1089+F1089+G1089+H1089</f>
        <v/>
      </c>
    </row>
    <row r="1090" ht="18" customHeight="1">
      <c r="A1090" s="5" t="inlineStr">
        <is>
          <t>企劃組</t>
        </is>
      </c>
      <c r="B1090" s="6" t="n">
        <v>104</v>
      </c>
      <c r="C1090" s="8">
        <f>I1089</f>
        <v/>
      </c>
      <c r="D1090" s="4">
        <f>SUMIFS('01_異動主檔'!$F:$F,'01_異動主檔'!$B:$B,104,'01_異動主檔'!$D:$D,A1090,'01_異動主檔'!$E:$E,"移入")</f>
        <v/>
      </c>
      <c r="E1090" s="4">
        <f>-SUMIFS('01_異動主檔'!$F:$F,'01_異動主檔'!$B:$B,104,'01_異動主檔'!$D:$D,A1090,'01_異動主檔'!$E:$E,"移出")</f>
        <v/>
      </c>
      <c r="F1090" s="4">
        <f>SUMIFS('01_異動主檔'!$F:$F,'01_異動主檔'!$B:$B,104,'01_異動主檔'!$D:$D,A1090,'01_異動主檔'!$E:$E,"新增")</f>
        <v/>
      </c>
      <c r="G1090" s="4">
        <f>-SUMIFS('01_異動主檔'!$F:$F,'01_異動主檔'!$B:$B,104,'01_異動主檔'!$D:$D,A1090,'01_異動主檔'!$E:$E,"減列")</f>
        <v/>
      </c>
      <c r="H1090" s="4">
        <f>-SUMIFS('01_異動主檔'!$F:$F,'01_異動主檔'!$B:$B,104,'01_異動主檔'!$D:$D,A1090,'01_異動主檔'!$E:$E,"精簡")</f>
        <v/>
      </c>
      <c r="I1090" s="8">
        <f>C1090+D1090+E1090+F1090+G1090+H1090</f>
        <v/>
      </c>
    </row>
    <row r="1091" ht="18" customHeight="1">
      <c r="A1091" s="3" t="inlineStr">
        <is>
          <t>企劃組</t>
        </is>
      </c>
      <c r="B1091" s="4" t="n">
        <v>105</v>
      </c>
      <c r="C1091" s="8">
        <f>I1090</f>
        <v/>
      </c>
      <c r="D1091" s="4">
        <f>SUMIFS('01_異動主檔'!$F:$F,'01_異動主檔'!$B:$B,105,'01_異動主檔'!$D:$D,A1091,'01_異動主檔'!$E:$E,"移入")</f>
        <v/>
      </c>
      <c r="E1091" s="4">
        <f>-SUMIFS('01_異動主檔'!$F:$F,'01_異動主檔'!$B:$B,105,'01_異動主檔'!$D:$D,A1091,'01_異動主檔'!$E:$E,"移出")</f>
        <v/>
      </c>
      <c r="F1091" s="4">
        <f>SUMIFS('01_異動主檔'!$F:$F,'01_異動主檔'!$B:$B,105,'01_異動主檔'!$D:$D,A1091,'01_異動主檔'!$E:$E,"新增")</f>
        <v/>
      </c>
      <c r="G1091" s="4">
        <f>-SUMIFS('01_異動主檔'!$F:$F,'01_異動主檔'!$B:$B,105,'01_異動主檔'!$D:$D,A1091,'01_異動主檔'!$E:$E,"減列")</f>
        <v/>
      </c>
      <c r="H1091" s="4">
        <f>-SUMIFS('01_異動主檔'!$F:$F,'01_異動主檔'!$B:$B,105,'01_異動主檔'!$D:$D,A1091,'01_異動主檔'!$E:$E,"精簡")</f>
        <v/>
      </c>
      <c r="I1091" s="8">
        <f>C1091+D1091+E1091+F1091+G1091+H1091</f>
        <v/>
      </c>
    </row>
    <row r="1092" ht="18" customHeight="1">
      <c r="A1092" s="5" t="inlineStr">
        <is>
          <t>企劃組</t>
        </is>
      </c>
      <c r="B1092" s="6" t="n">
        <v>106</v>
      </c>
      <c r="C1092" s="8">
        <f>I1091</f>
        <v/>
      </c>
      <c r="D1092" s="4">
        <f>SUMIFS('01_異動主檔'!$F:$F,'01_異動主檔'!$B:$B,106,'01_異動主檔'!$D:$D,A1092,'01_異動主檔'!$E:$E,"移入")</f>
        <v/>
      </c>
      <c r="E1092" s="4">
        <f>-SUMIFS('01_異動主檔'!$F:$F,'01_異動主檔'!$B:$B,106,'01_異動主檔'!$D:$D,A1092,'01_異動主檔'!$E:$E,"移出")</f>
        <v/>
      </c>
      <c r="F1092" s="4">
        <f>SUMIFS('01_異動主檔'!$F:$F,'01_異動主檔'!$B:$B,106,'01_異動主檔'!$D:$D,A1092,'01_異動主檔'!$E:$E,"新增")</f>
        <v/>
      </c>
      <c r="G1092" s="4">
        <f>-SUMIFS('01_異動主檔'!$F:$F,'01_異動主檔'!$B:$B,106,'01_異動主檔'!$D:$D,A1092,'01_異動主檔'!$E:$E,"減列")</f>
        <v/>
      </c>
      <c r="H1092" s="4">
        <f>-SUMIFS('01_異動主檔'!$F:$F,'01_異動主檔'!$B:$B,106,'01_異動主檔'!$D:$D,A1092,'01_異動主檔'!$E:$E,"精簡")</f>
        <v/>
      </c>
      <c r="I1092" s="8">
        <f>C1092+D1092+E1092+F1092+G1092+H1092</f>
        <v/>
      </c>
    </row>
    <row r="1093" ht="18" customHeight="1">
      <c r="A1093" s="3" t="inlineStr">
        <is>
          <t>企劃組</t>
        </is>
      </c>
      <c r="B1093" s="4" t="n">
        <v>107</v>
      </c>
      <c r="C1093" s="8">
        <f>I1092</f>
        <v/>
      </c>
      <c r="D1093" s="4">
        <f>SUMIFS('01_異動主檔'!$F:$F,'01_異動主檔'!$B:$B,107,'01_異動主檔'!$D:$D,A1093,'01_異動主檔'!$E:$E,"移入")</f>
        <v/>
      </c>
      <c r="E1093" s="4">
        <f>-SUMIFS('01_異動主檔'!$F:$F,'01_異動主檔'!$B:$B,107,'01_異動主檔'!$D:$D,A1093,'01_異動主檔'!$E:$E,"移出")</f>
        <v/>
      </c>
      <c r="F1093" s="4">
        <f>SUMIFS('01_異動主檔'!$F:$F,'01_異動主檔'!$B:$B,107,'01_異動主檔'!$D:$D,A1093,'01_異動主檔'!$E:$E,"新增")</f>
        <v/>
      </c>
      <c r="G1093" s="4">
        <f>-SUMIFS('01_異動主檔'!$F:$F,'01_異動主檔'!$B:$B,107,'01_異動主檔'!$D:$D,A1093,'01_異動主檔'!$E:$E,"減列")</f>
        <v/>
      </c>
      <c r="H1093" s="4">
        <f>-SUMIFS('01_異動主檔'!$F:$F,'01_異動主檔'!$B:$B,107,'01_異動主檔'!$D:$D,A1093,'01_異動主檔'!$E:$E,"精簡")</f>
        <v/>
      </c>
      <c r="I1093" s="8">
        <f>C1093+D1093+E1093+F1093+G1093+H1093</f>
        <v/>
      </c>
    </row>
    <row r="1094" ht="18" customHeight="1">
      <c r="A1094" s="5" t="inlineStr">
        <is>
          <t>企劃組</t>
        </is>
      </c>
      <c r="B1094" s="6" t="n">
        <v>108</v>
      </c>
      <c r="C1094" s="8">
        <f>I1093</f>
        <v/>
      </c>
      <c r="D1094" s="4">
        <f>SUMIFS('01_異動主檔'!$F:$F,'01_異動主檔'!$B:$B,108,'01_異動主檔'!$D:$D,A1094,'01_異動主檔'!$E:$E,"移入")</f>
        <v/>
      </c>
      <c r="E1094" s="4">
        <f>-SUMIFS('01_異動主檔'!$F:$F,'01_異動主檔'!$B:$B,108,'01_異動主檔'!$D:$D,A1094,'01_異動主檔'!$E:$E,"移出")</f>
        <v/>
      </c>
      <c r="F1094" s="4">
        <f>SUMIFS('01_異動主檔'!$F:$F,'01_異動主檔'!$B:$B,108,'01_異動主檔'!$D:$D,A1094,'01_異動主檔'!$E:$E,"新增")</f>
        <v/>
      </c>
      <c r="G1094" s="4">
        <f>-SUMIFS('01_異動主檔'!$F:$F,'01_異動主檔'!$B:$B,108,'01_異動主檔'!$D:$D,A1094,'01_異動主檔'!$E:$E,"減列")</f>
        <v/>
      </c>
      <c r="H1094" s="4">
        <f>-SUMIFS('01_異動主檔'!$F:$F,'01_異動主檔'!$B:$B,108,'01_異動主檔'!$D:$D,A1094,'01_異動主檔'!$E:$E,"精簡")</f>
        <v/>
      </c>
      <c r="I1094" s="8">
        <f>C1094+D1094+E1094+F1094+G1094+H1094</f>
        <v/>
      </c>
    </row>
    <row r="1095" ht="18" customHeight="1">
      <c r="A1095" s="3" t="inlineStr">
        <is>
          <t>企劃組</t>
        </is>
      </c>
      <c r="B1095" s="4" t="n">
        <v>109</v>
      </c>
      <c r="C1095" s="8">
        <f>I1094</f>
        <v/>
      </c>
      <c r="D1095" s="4">
        <f>SUMIFS('01_異動主檔'!$F:$F,'01_異動主檔'!$B:$B,109,'01_異動主檔'!$D:$D,A1095,'01_異動主檔'!$E:$E,"移入")</f>
        <v/>
      </c>
      <c r="E1095" s="4">
        <f>-SUMIFS('01_異動主檔'!$F:$F,'01_異動主檔'!$B:$B,109,'01_異動主檔'!$D:$D,A1095,'01_異動主檔'!$E:$E,"移出")</f>
        <v/>
      </c>
      <c r="F1095" s="4">
        <f>SUMIFS('01_異動主檔'!$F:$F,'01_異動主檔'!$B:$B,109,'01_異動主檔'!$D:$D,A1095,'01_異動主檔'!$E:$E,"新增")</f>
        <v/>
      </c>
      <c r="G1095" s="4">
        <f>-SUMIFS('01_異動主檔'!$F:$F,'01_異動主檔'!$B:$B,109,'01_異動主檔'!$D:$D,A1095,'01_異動主檔'!$E:$E,"減列")</f>
        <v/>
      </c>
      <c r="H1095" s="4">
        <f>-SUMIFS('01_異動主檔'!$F:$F,'01_異動主檔'!$B:$B,109,'01_異動主檔'!$D:$D,A1095,'01_異動主檔'!$E:$E,"精簡")</f>
        <v/>
      </c>
      <c r="I1095" s="8">
        <f>C1095+D1095+E1095+F1095+G1095+H1095</f>
        <v/>
      </c>
    </row>
    <row r="1096" ht="18" customHeight="1">
      <c r="A1096" s="5" t="inlineStr">
        <is>
          <t>企劃組</t>
        </is>
      </c>
      <c r="B1096" s="6" t="n">
        <v>110</v>
      </c>
      <c r="C1096" s="8">
        <f>I1095</f>
        <v/>
      </c>
      <c r="D1096" s="4">
        <f>SUMIFS('01_異動主檔'!$F:$F,'01_異動主檔'!$B:$B,110,'01_異動主檔'!$D:$D,A1096,'01_異動主檔'!$E:$E,"移入")</f>
        <v/>
      </c>
      <c r="E1096" s="4">
        <f>-SUMIFS('01_異動主檔'!$F:$F,'01_異動主檔'!$B:$B,110,'01_異動主檔'!$D:$D,A1096,'01_異動主檔'!$E:$E,"移出")</f>
        <v/>
      </c>
      <c r="F1096" s="4">
        <f>SUMIFS('01_異動主檔'!$F:$F,'01_異動主檔'!$B:$B,110,'01_異動主檔'!$D:$D,A1096,'01_異動主檔'!$E:$E,"新增")</f>
        <v/>
      </c>
      <c r="G1096" s="4">
        <f>-SUMIFS('01_異動主檔'!$F:$F,'01_異動主檔'!$B:$B,110,'01_異動主檔'!$D:$D,A1096,'01_異動主檔'!$E:$E,"減列")</f>
        <v/>
      </c>
      <c r="H1096" s="4">
        <f>-SUMIFS('01_異動主檔'!$F:$F,'01_異動主檔'!$B:$B,110,'01_異動主檔'!$D:$D,A1096,'01_異動主檔'!$E:$E,"精簡")</f>
        <v/>
      </c>
      <c r="I1096" s="8">
        <f>C1096+D1096+E1096+F1096+G1096+H1096</f>
        <v/>
      </c>
    </row>
    <row r="1097" ht="18" customHeight="1">
      <c r="A1097" s="3" t="inlineStr">
        <is>
          <t>企劃組</t>
        </is>
      </c>
      <c r="B1097" s="4" t="n">
        <v>111</v>
      </c>
      <c r="C1097" s="8">
        <f>I1096</f>
        <v/>
      </c>
      <c r="D1097" s="4">
        <f>SUMIFS('01_異動主檔'!$F:$F,'01_異動主檔'!$B:$B,111,'01_異動主檔'!$D:$D,A1097,'01_異動主檔'!$E:$E,"移入")</f>
        <v/>
      </c>
      <c r="E1097" s="4">
        <f>-SUMIFS('01_異動主檔'!$F:$F,'01_異動主檔'!$B:$B,111,'01_異動主檔'!$D:$D,A1097,'01_異動主檔'!$E:$E,"移出")</f>
        <v/>
      </c>
      <c r="F1097" s="4">
        <f>SUMIFS('01_異動主檔'!$F:$F,'01_異動主檔'!$B:$B,111,'01_異動主檔'!$D:$D,A1097,'01_異動主檔'!$E:$E,"新增")</f>
        <v/>
      </c>
      <c r="G1097" s="4">
        <f>-SUMIFS('01_異動主檔'!$F:$F,'01_異動主檔'!$B:$B,111,'01_異動主檔'!$D:$D,A1097,'01_異動主檔'!$E:$E,"減列")</f>
        <v/>
      </c>
      <c r="H1097" s="4">
        <f>-SUMIFS('01_異動主檔'!$F:$F,'01_異動主檔'!$B:$B,111,'01_異動主檔'!$D:$D,A1097,'01_異動主檔'!$E:$E,"精簡")</f>
        <v/>
      </c>
      <c r="I1097" s="8">
        <f>C1097+D1097+E1097+F1097+G1097+H1097</f>
        <v/>
      </c>
    </row>
    <row r="1098" ht="18" customHeight="1">
      <c r="A1098" s="5" t="inlineStr">
        <is>
          <t>企劃組</t>
        </is>
      </c>
      <c r="B1098" s="6" t="n">
        <v>112</v>
      </c>
      <c r="C1098" s="8">
        <f>I1097</f>
        <v/>
      </c>
      <c r="D1098" s="4">
        <f>SUMIFS('01_異動主檔'!$F:$F,'01_異動主檔'!$B:$B,112,'01_異動主檔'!$D:$D,A1098,'01_異動主檔'!$E:$E,"移入")</f>
        <v/>
      </c>
      <c r="E1098" s="4">
        <f>-SUMIFS('01_異動主檔'!$F:$F,'01_異動主檔'!$B:$B,112,'01_異動主檔'!$D:$D,A1098,'01_異動主檔'!$E:$E,"移出")</f>
        <v/>
      </c>
      <c r="F1098" s="4">
        <f>SUMIFS('01_異動主檔'!$F:$F,'01_異動主檔'!$B:$B,112,'01_異動主檔'!$D:$D,A1098,'01_異動主檔'!$E:$E,"新增")</f>
        <v/>
      </c>
      <c r="G1098" s="4">
        <f>-SUMIFS('01_異動主檔'!$F:$F,'01_異動主檔'!$B:$B,112,'01_異動主檔'!$D:$D,A1098,'01_異動主檔'!$E:$E,"減列")</f>
        <v/>
      </c>
      <c r="H1098" s="4">
        <f>-SUMIFS('01_異動主檔'!$F:$F,'01_異動主檔'!$B:$B,112,'01_異動主檔'!$D:$D,A1098,'01_異動主檔'!$E:$E,"精簡")</f>
        <v/>
      </c>
      <c r="I1098" s="8">
        <f>C1098+D1098+E1098+F1098+G1098+H1098</f>
        <v/>
      </c>
    </row>
    <row r="1099" ht="18" customHeight="1">
      <c r="A1099" s="3" t="inlineStr">
        <is>
          <t>企劃組</t>
        </is>
      </c>
      <c r="B1099" s="4" t="n">
        <v>113</v>
      </c>
      <c r="C1099" s="8">
        <f>I1098</f>
        <v/>
      </c>
      <c r="D1099" s="4">
        <f>SUMIFS('01_異動主檔'!$F:$F,'01_異動主檔'!$B:$B,113,'01_異動主檔'!$D:$D,A1099,'01_異動主檔'!$E:$E,"移入")</f>
        <v/>
      </c>
      <c r="E1099" s="4">
        <f>-SUMIFS('01_異動主檔'!$F:$F,'01_異動主檔'!$B:$B,113,'01_異動主檔'!$D:$D,A1099,'01_異動主檔'!$E:$E,"移出")</f>
        <v/>
      </c>
      <c r="F1099" s="4">
        <f>SUMIFS('01_異動主檔'!$F:$F,'01_異動主檔'!$B:$B,113,'01_異動主檔'!$D:$D,A1099,'01_異動主檔'!$E:$E,"新增")</f>
        <v/>
      </c>
      <c r="G1099" s="4">
        <f>-SUMIFS('01_異動主檔'!$F:$F,'01_異動主檔'!$B:$B,113,'01_異動主檔'!$D:$D,A1099,'01_異動主檔'!$E:$E,"減列")</f>
        <v/>
      </c>
      <c r="H1099" s="4">
        <f>-SUMIFS('01_異動主檔'!$F:$F,'01_異動主檔'!$B:$B,113,'01_異動主檔'!$D:$D,A1099,'01_異動主檔'!$E:$E,"精簡")</f>
        <v/>
      </c>
      <c r="I1099" s="8">
        <f>C1099+D1099+E1099+F1099+G1099+H1099</f>
        <v/>
      </c>
    </row>
    <row r="1100" ht="18" customHeight="1">
      <c r="A1100" s="5" t="inlineStr">
        <is>
          <t>企劃組</t>
        </is>
      </c>
      <c r="B1100" s="6" t="n">
        <v>114</v>
      </c>
      <c r="C1100" s="8">
        <f>I1099</f>
        <v/>
      </c>
      <c r="D1100" s="4">
        <f>SUMIFS('01_異動主檔'!$F:$F,'01_異動主檔'!$B:$B,114,'01_異動主檔'!$D:$D,A1100,'01_異動主檔'!$E:$E,"移入")</f>
        <v/>
      </c>
      <c r="E1100" s="4">
        <f>-SUMIFS('01_異動主檔'!$F:$F,'01_異動主檔'!$B:$B,114,'01_異動主檔'!$D:$D,A1100,'01_異動主檔'!$E:$E,"移出")</f>
        <v/>
      </c>
      <c r="F1100" s="4">
        <f>SUMIFS('01_異動主檔'!$F:$F,'01_異動主檔'!$B:$B,114,'01_異動主檔'!$D:$D,A1100,'01_異動主檔'!$E:$E,"新增")</f>
        <v/>
      </c>
      <c r="G1100" s="4">
        <f>-SUMIFS('01_異動主檔'!$F:$F,'01_異動主檔'!$B:$B,114,'01_異動主檔'!$D:$D,A1100,'01_異動主檔'!$E:$E,"減列")</f>
        <v/>
      </c>
      <c r="H1100" s="4">
        <f>-SUMIFS('01_異動主檔'!$F:$F,'01_異動主檔'!$B:$B,114,'01_異動主檔'!$D:$D,A1100,'01_異動主檔'!$E:$E,"精簡")</f>
        <v/>
      </c>
      <c r="I1100" s="8">
        <f>C1100+D1100+E1100+F1100+G1100+H1100</f>
        <v/>
      </c>
    </row>
    <row r="1101" ht="18" customHeight="1">
      <c r="A1101" s="3" t="inlineStr">
        <is>
          <t>企劃組</t>
        </is>
      </c>
      <c r="B1101" s="4" t="n">
        <v>115</v>
      </c>
      <c r="C1101" s="8">
        <f>I1100</f>
        <v/>
      </c>
      <c r="D1101" s="4">
        <f>SUMIFS('01_異動主檔'!$F:$F,'01_異動主檔'!$B:$B,115,'01_異動主檔'!$D:$D,A1101,'01_異動主檔'!$E:$E,"移入")</f>
        <v/>
      </c>
      <c r="E1101" s="4">
        <f>-SUMIFS('01_異動主檔'!$F:$F,'01_異動主檔'!$B:$B,115,'01_異動主檔'!$D:$D,A1101,'01_異動主檔'!$E:$E,"移出")</f>
        <v/>
      </c>
      <c r="F1101" s="4">
        <f>SUMIFS('01_異動主檔'!$F:$F,'01_異動主檔'!$B:$B,115,'01_異動主檔'!$D:$D,A1101,'01_異動主檔'!$E:$E,"新增")</f>
        <v/>
      </c>
      <c r="G1101" s="4">
        <f>-SUMIFS('01_異動主檔'!$F:$F,'01_異動主檔'!$B:$B,115,'01_異動主檔'!$D:$D,A1101,'01_異動主檔'!$E:$E,"減列")</f>
        <v/>
      </c>
      <c r="H1101" s="4">
        <f>-SUMIFS('01_異動主檔'!$F:$F,'01_異動主檔'!$B:$B,115,'01_異動主檔'!$D:$D,A1101,'01_異動主檔'!$E:$E,"精簡")</f>
        <v/>
      </c>
      <c r="I1101" s="8">
        <f>C1101+D1101+E1101+F1101+G1101+H1101</f>
        <v/>
      </c>
    </row>
    <row r="1102" ht="18" customHeight="1">
      <c r="A1102" s="5" t="inlineStr">
        <is>
          <t>企劃組</t>
        </is>
      </c>
      <c r="B1102" s="6" t="n">
        <v>116</v>
      </c>
      <c r="C1102" s="8">
        <f>I1101</f>
        <v/>
      </c>
      <c r="D1102" s="4">
        <f>SUMIFS('01_異動主檔'!$F:$F,'01_異動主檔'!$B:$B,116,'01_異動主檔'!$D:$D,A1102,'01_異動主檔'!$E:$E,"移入")</f>
        <v/>
      </c>
      <c r="E1102" s="4">
        <f>-SUMIFS('01_異動主檔'!$F:$F,'01_異動主檔'!$B:$B,116,'01_異動主檔'!$D:$D,A1102,'01_異動主檔'!$E:$E,"移出")</f>
        <v/>
      </c>
      <c r="F1102" s="4">
        <f>SUMIFS('01_異動主檔'!$F:$F,'01_異動主檔'!$B:$B,116,'01_異動主檔'!$D:$D,A1102,'01_異動主檔'!$E:$E,"新增")</f>
        <v/>
      </c>
      <c r="G1102" s="4">
        <f>-SUMIFS('01_異動主檔'!$F:$F,'01_異動主檔'!$B:$B,116,'01_異動主檔'!$D:$D,A1102,'01_異動主檔'!$E:$E,"減列")</f>
        <v/>
      </c>
      <c r="H1102" s="4">
        <f>-SUMIFS('01_異動主檔'!$F:$F,'01_異動主檔'!$B:$B,116,'01_異動主檔'!$D:$D,A1102,'01_異動主檔'!$E:$E,"精簡")</f>
        <v/>
      </c>
      <c r="I1102" s="8">
        <f>C1102+D1102+E1102+F1102+G1102+H1102</f>
        <v/>
      </c>
    </row>
    <row r="1103" ht="18" customHeight="1">
      <c r="A1103" s="3" t="inlineStr">
        <is>
          <t>企劃組</t>
        </is>
      </c>
      <c r="B1103" s="4" t="n">
        <v>117</v>
      </c>
      <c r="C1103" s="8">
        <f>I1102</f>
        <v/>
      </c>
      <c r="D1103" s="4">
        <f>SUMIFS('01_異動主檔'!$F:$F,'01_異動主檔'!$B:$B,117,'01_異動主檔'!$D:$D,A1103,'01_異動主檔'!$E:$E,"移入")</f>
        <v/>
      </c>
      <c r="E1103" s="4">
        <f>-SUMIFS('01_異動主檔'!$F:$F,'01_異動主檔'!$B:$B,117,'01_異動主檔'!$D:$D,A1103,'01_異動主檔'!$E:$E,"移出")</f>
        <v/>
      </c>
      <c r="F1103" s="4">
        <f>SUMIFS('01_異動主檔'!$F:$F,'01_異動主檔'!$B:$B,117,'01_異動主檔'!$D:$D,A1103,'01_異動主檔'!$E:$E,"新增")</f>
        <v/>
      </c>
      <c r="G1103" s="4">
        <f>-SUMIFS('01_異動主檔'!$F:$F,'01_異動主檔'!$B:$B,117,'01_異動主檔'!$D:$D,A1103,'01_異動主檔'!$E:$E,"減列")</f>
        <v/>
      </c>
      <c r="H1103" s="4">
        <f>-SUMIFS('01_異動主檔'!$F:$F,'01_異動主檔'!$B:$B,117,'01_異動主檔'!$D:$D,A1103,'01_異動主檔'!$E:$E,"精簡")</f>
        <v/>
      </c>
      <c r="I1103" s="8">
        <f>C1103+D1103+E1103+F1103+G1103+H1103</f>
        <v/>
      </c>
    </row>
    <row r="1104" ht="18" customHeight="1">
      <c r="A1104" s="5" t="inlineStr">
        <is>
          <t>企劃組</t>
        </is>
      </c>
      <c r="B1104" s="6" t="n">
        <v>118</v>
      </c>
      <c r="C1104" s="8">
        <f>I1103</f>
        <v/>
      </c>
      <c r="D1104" s="4">
        <f>SUMIFS('01_異動主檔'!$F:$F,'01_異動主檔'!$B:$B,118,'01_異動主檔'!$D:$D,A1104,'01_異動主檔'!$E:$E,"移入")</f>
        <v/>
      </c>
      <c r="E1104" s="4">
        <f>-SUMIFS('01_異動主檔'!$F:$F,'01_異動主檔'!$B:$B,118,'01_異動主檔'!$D:$D,A1104,'01_異動主檔'!$E:$E,"移出")</f>
        <v/>
      </c>
      <c r="F1104" s="4">
        <f>SUMIFS('01_異動主檔'!$F:$F,'01_異動主檔'!$B:$B,118,'01_異動主檔'!$D:$D,A1104,'01_異動主檔'!$E:$E,"新增")</f>
        <v/>
      </c>
      <c r="G1104" s="4">
        <f>-SUMIFS('01_異動主檔'!$F:$F,'01_異動主檔'!$B:$B,118,'01_異動主檔'!$D:$D,A1104,'01_異動主檔'!$E:$E,"減列")</f>
        <v/>
      </c>
      <c r="H1104" s="4">
        <f>-SUMIFS('01_異動主檔'!$F:$F,'01_異動主檔'!$B:$B,118,'01_異動主檔'!$D:$D,A1104,'01_異動主檔'!$E:$E,"精簡")</f>
        <v/>
      </c>
      <c r="I1104" s="8">
        <f>C1104+D1104+E1104+F1104+G1104+H1104</f>
        <v/>
      </c>
    </row>
    <row r="1105" ht="18" customHeight="1">
      <c r="A1105" s="3" t="inlineStr">
        <is>
          <t>企劃組</t>
        </is>
      </c>
      <c r="B1105" s="4" t="n">
        <v>119</v>
      </c>
      <c r="C1105" s="8">
        <f>I1104</f>
        <v/>
      </c>
      <c r="D1105" s="4">
        <f>SUMIFS('01_異動主檔'!$F:$F,'01_異動主檔'!$B:$B,119,'01_異動主檔'!$D:$D,A1105,'01_異動主檔'!$E:$E,"移入")</f>
        <v/>
      </c>
      <c r="E1105" s="4">
        <f>-SUMIFS('01_異動主檔'!$F:$F,'01_異動主檔'!$B:$B,119,'01_異動主檔'!$D:$D,A1105,'01_異動主檔'!$E:$E,"移出")</f>
        <v/>
      </c>
      <c r="F1105" s="4">
        <f>SUMIFS('01_異動主檔'!$F:$F,'01_異動主檔'!$B:$B,119,'01_異動主檔'!$D:$D,A1105,'01_異動主檔'!$E:$E,"新增")</f>
        <v/>
      </c>
      <c r="G1105" s="4">
        <f>-SUMIFS('01_異動主檔'!$F:$F,'01_異動主檔'!$B:$B,119,'01_異動主檔'!$D:$D,A1105,'01_異動主檔'!$E:$E,"減列")</f>
        <v/>
      </c>
      <c r="H1105" s="4">
        <f>-SUMIFS('01_異動主檔'!$F:$F,'01_異動主檔'!$B:$B,119,'01_異動主檔'!$D:$D,A1105,'01_異動主檔'!$E:$E,"精簡")</f>
        <v/>
      </c>
      <c r="I1105" s="8">
        <f>C1105+D1105+E1105+F1105+G1105+H1105</f>
        <v/>
      </c>
    </row>
    <row r="1106" ht="18" customHeight="1">
      <c r="A1106" s="5" t="inlineStr">
        <is>
          <t>企劃組</t>
        </is>
      </c>
      <c r="B1106" s="6" t="n">
        <v>120</v>
      </c>
      <c r="C1106" s="8">
        <f>I1105</f>
        <v/>
      </c>
      <c r="D1106" s="4">
        <f>SUMIFS('01_異動主檔'!$F:$F,'01_異動主檔'!$B:$B,120,'01_異動主檔'!$D:$D,A1106,'01_異動主檔'!$E:$E,"移入")</f>
        <v/>
      </c>
      <c r="E1106" s="4">
        <f>-SUMIFS('01_異動主檔'!$F:$F,'01_異動主檔'!$B:$B,120,'01_異動主檔'!$D:$D,A1106,'01_異動主檔'!$E:$E,"移出")</f>
        <v/>
      </c>
      <c r="F1106" s="4">
        <f>SUMIFS('01_異動主檔'!$F:$F,'01_異動主檔'!$B:$B,120,'01_異動主檔'!$D:$D,A1106,'01_異動主檔'!$E:$E,"新增")</f>
        <v/>
      </c>
      <c r="G1106" s="4">
        <f>-SUMIFS('01_異動主檔'!$F:$F,'01_異動主檔'!$B:$B,120,'01_異動主檔'!$D:$D,A1106,'01_異動主檔'!$E:$E,"減列")</f>
        <v/>
      </c>
      <c r="H1106" s="4">
        <f>-SUMIFS('01_異動主檔'!$F:$F,'01_異動主檔'!$B:$B,120,'01_異動主檔'!$D:$D,A1106,'01_異動主檔'!$E:$E,"精簡")</f>
        <v/>
      </c>
      <c r="I1106" s="8">
        <f>C1106+D1106+E1106+F1106+G1106+H1106</f>
        <v/>
      </c>
    </row>
    <row r="1107" ht="18" customHeight="1">
      <c r="A1107" s="3" t="inlineStr">
        <is>
          <t>企劃組</t>
        </is>
      </c>
      <c r="B1107" s="4" t="n">
        <v>121</v>
      </c>
      <c r="C1107" s="8">
        <f>I1106</f>
        <v/>
      </c>
      <c r="D1107" s="4">
        <f>SUMIFS('01_異動主檔'!$F:$F,'01_異動主檔'!$B:$B,121,'01_異動主檔'!$D:$D,A1107,'01_異動主檔'!$E:$E,"移入")</f>
        <v/>
      </c>
      <c r="E1107" s="4">
        <f>-SUMIFS('01_異動主檔'!$F:$F,'01_異動主檔'!$B:$B,121,'01_異動主檔'!$D:$D,A1107,'01_異動主檔'!$E:$E,"移出")</f>
        <v/>
      </c>
      <c r="F1107" s="4">
        <f>SUMIFS('01_異動主檔'!$F:$F,'01_異動主檔'!$B:$B,121,'01_異動主檔'!$D:$D,A1107,'01_異動主檔'!$E:$E,"新增")</f>
        <v/>
      </c>
      <c r="G1107" s="4">
        <f>-SUMIFS('01_異動主檔'!$F:$F,'01_異動主檔'!$B:$B,121,'01_異動主檔'!$D:$D,A1107,'01_異動主檔'!$E:$E,"減列")</f>
        <v/>
      </c>
      <c r="H1107" s="4">
        <f>-SUMIFS('01_異動主檔'!$F:$F,'01_異動主檔'!$B:$B,121,'01_異動主檔'!$D:$D,A1107,'01_異動主檔'!$E:$E,"精簡")</f>
        <v/>
      </c>
      <c r="I1107" s="8">
        <f>C1107+D1107+E1107+F1107+G1107+H1107</f>
        <v/>
      </c>
    </row>
    <row r="1108" ht="18" customHeight="1">
      <c r="A1108" s="5" t="inlineStr">
        <is>
          <t>企劃組</t>
        </is>
      </c>
      <c r="B1108" s="6" t="n">
        <v>122</v>
      </c>
      <c r="C1108" s="8">
        <f>I1107</f>
        <v/>
      </c>
      <c r="D1108" s="4">
        <f>SUMIFS('01_異動主檔'!$F:$F,'01_異動主檔'!$B:$B,122,'01_異動主檔'!$D:$D,A1108,'01_異動主檔'!$E:$E,"移入")</f>
        <v/>
      </c>
      <c r="E1108" s="4">
        <f>-SUMIFS('01_異動主檔'!$F:$F,'01_異動主檔'!$B:$B,122,'01_異動主檔'!$D:$D,A1108,'01_異動主檔'!$E:$E,"移出")</f>
        <v/>
      </c>
      <c r="F1108" s="4">
        <f>SUMIFS('01_異動主檔'!$F:$F,'01_異動主檔'!$B:$B,122,'01_異動主檔'!$D:$D,A1108,'01_異動主檔'!$E:$E,"新增")</f>
        <v/>
      </c>
      <c r="G1108" s="4">
        <f>-SUMIFS('01_異動主檔'!$F:$F,'01_異動主檔'!$B:$B,122,'01_異動主檔'!$D:$D,A1108,'01_異動主檔'!$E:$E,"減列")</f>
        <v/>
      </c>
      <c r="H1108" s="4">
        <f>-SUMIFS('01_異動主檔'!$F:$F,'01_異動主檔'!$B:$B,122,'01_異動主檔'!$D:$D,A1108,'01_異動主檔'!$E:$E,"精簡")</f>
        <v/>
      </c>
      <c r="I1108" s="8">
        <f>C1108+D1108+E1108+F1108+G1108+H1108</f>
        <v/>
      </c>
    </row>
    <row r="1109" ht="18" customHeight="1">
      <c r="A1109" s="3" t="inlineStr">
        <is>
          <t>企劃組</t>
        </is>
      </c>
      <c r="B1109" s="4" t="n">
        <v>123</v>
      </c>
      <c r="C1109" s="8">
        <f>I1108</f>
        <v/>
      </c>
      <c r="D1109" s="4">
        <f>SUMIFS('01_異動主檔'!$F:$F,'01_異動主檔'!$B:$B,123,'01_異動主檔'!$D:$D,A1109,'01_異動主檔'!$E:$E,"移入")</f>
        <v/>
      </c>
      <c r="E1109" s="4">
        <f>-SUMIFS('01_異動主檔'!$F:$F,'01_異動主檔'!$B:$B,123,'01_異動主檔'!$D:$D,A1109,'01_異動主檔'!$E:$E,"移出")</f>
        <v/>
      </c>
      <c r="F1109" s="4">
        <f>SUMIFS('01_異動主檔'!$F:$F,'01_異動主檔'!$B:$B,123,'01_異動主檔'!$D:$D,A1109,'01_異動主檔'!$E:$E,"新增")</f>
        <v/>
      </c>
      <c r="G1109" s="4">
        <f>-SUMIFS('01_異動主檔'!$F:$F,'01_異動主檔'!$B:$B,123,'01_異動主檔'!$D:$D,A1109,'01_異動主檔'!$E:$E,"減列")</f>
        <v/>
      </c>
      <c r="H1109" s="4">
        <f>-SUMIFS('01_異動主檔'!$F:$F,'01_異動主檔'!$B:$B,123,'01_異動主檔'!$D:$D,A1109,'01_異動主檔'!$E:$E,"精簡")</f>
        <v/>
      </c>
      <c r="I1109" s="8">
        <f>C1109+D1109+E1109+F1109+G1109+H1109</f>
        <v/>
      </c>
    </row>
    <row r="1110" ht="18" customHeight="1">
      <c r="A1110" s="5" t="inlineStr">
        <is>
          <t>企劃組</t>
        </is>
      </c>
      <c r="B1110" s="6" t="n">
        <v>124</v>
      </c>
      <c r="C1110" s="8">
        <f>I1109</f>
        <v/>
      </c>
      <c r="D1110" s="4">
        <f>SUMIFS('01_異動主檔'!$F:$F,'01_異動主檔'!$B:$B,124,'01_異動主檔'!$D:$D,A1110,'01_異動主檔'!$E:$E,"移入")</f>
        <v/>
      </c>
      <c r="E1110" s="4">
        <f>-SUMIFS('01_異動主檔'!$F:$F,'01_異動主檔'!$B:$B,124,'01_異動主檔'!$D:$D,A1110,'01_異動主檔'!$E:$E,"移出")</f>
        <v/>
      </c>
      <c r="F1110" s="4">
        <f>SUMIFS('01_異動主檔'!$F:$F,'01_異動主檔'!$B:$B,124,'01_異動主檔'!$D:$D,A1110,'01_異動主檔'!$E:$E,"新增")</f>
        <v/>
      </c>
      <c r="G1110" s="4">
        <f>-SUMIFS('01_異動主檔'!$F:$F,'01_異動主檔'!$B:$B,124,'01_異動主檔'!$D:$D,A1110,'01_異動主檔'!$E:$E,"減列")</f>
        <v/>
      </c>
      <c r="H1110" s="4">
        <f>-SUMIFS('01_異動主檔'!$F:$F,'01_異動主檔'!$B:$B,124,'01_異動主檔'!$D:$D,A1110,'01_異動主檔'!$E:$E,"精簡")</f>
        <v/>
      </c>
      <c r="I1110" s="8">
        <f>C1110+D1110+E1110+F1110+G1110+H1110</f>
        <v/>
      </c>
    </row>
    <row r="1111" ht="18" customHeight="1">
      <c r="A1111" s="3" t="inlineStr">
        <is>
          <t>企劃組</t>
        </is>
      </c>
      <c r="B1111" s="4" t="n">
        <v>125</v>
      </c>
      <c r="C1111" s="8">
        <f>I1110</f>
        <v/>
      </c>
      <c r="D1111" s="4">
        <f>SUMIFS('01_異動主檔'!$F:$F,'01_異動主檔'!$B:$B,125,'01_異動主檔'!$D:$D,A1111,'01_異動主檔'!$E:$E,"移入")</f>
        <v/>
      </c>
      <c r="E1111" s="4">
        <f>-SUMIFS('01_異動主檔'!$F:$F,'01_異動主檔'!$B:$B,125,'01_異動主檔'!$D:$D,A1111,'01_異動主檔'!$E:$E,"移出")</f>
        <v/>
      </c>
      <c r="F1111" s="4">
        <f>SUMIFS('01_異動主檔'!$F:$F,'01_異動主檔'!$B:$B,125,'01_異動主檔'!$D:$D,A1111,'01_異動主檔'!$E:$E,"新增")</f>
        <v/>
      </c>
      <c r="G1111" s="4">
        <f>-SUMIFS('01_異動主檔'!$F:$F,'01_異動主檔'!$B:$B,125,'01_異動主檔'!$D:$D,A1111,'01_異動主檔'!$E:$E,"減列")</f>
        <v/>
      </c>
      <c r="H1111" s="4">
        <f>-SUMIFS('01_異動主檔'!$F:$F,'01_異動主檔'!$B:$B,125,'01_異動主檔'!$D:$D,A1111,'01_異動主檔'!$E:$E,"精簡")</f>
        <v/>
      </c>
      <c r="I1111" s="8">
        <f>C1111+D1111+E1111+F1111+G1111+H1111</f>
        <v/>
      </c>
    </row>
    <row r="1112" ht="18" customHeight="1">
      <c r="A1112" s="5" t="inlineStr">
        <is>
          <t>管理組</t>
        </is>
      </c>
      <c r="B1112" s="6" t="n">
        <v>99</v>
      </c>
      <c r="C1112" s="8">
        <f>'02_年初員額設定'!B46</f>
        <v/>
      </c>
      <c r="D1112" s="4">
        <f>SUMIFS('01_異動主檔'!$F:$F,'01_異動主檔'!$B:$B,99,'01_異動主檔'!$D:$D,A1112,'01_異動主檔'!$E:$E,"移入")</f>
        <v/>
      </c>
      <c r="E1112" s="4">
        <f>-SUMIFS('01_異動主檔'!$F:$F,'01_異動主檔'!$B:$B,99,'01_異動主檔'!$D:$D,A1112,'01_異動主檔'!$E:$E,"移出")</f>
        <v/>
      </c>
      <c r="F1112" s="4">
        <f>SUMIFS('01_異動主檔'!$F:$F,'01_異動主檔'!$B:$B,99,'01_異動主檔'!$D:$D,A1112,'01_異動主檔'!$E:$E,"新增")</f>
        <v/>
      </c>
      <c r="G1112" s="4">
        <f>-SUMIFS('01_異動主檔'!$F:$F,'01_異動主檔'!$B:$B,99,'01_異動主檔'!$D:$D,A1112,'01_異動主檔'!$E:$E,"減列")</f>
        <v/>
      </c>
      <c r="H1112" s="4">
        <f>-SUMIFS('01_異動主檔'!$F:$F,'01_異動主檔'!$B:$B,99,'01_異動主檔'!$D:$D,A1112,'01_異動主檔'!$E:$E,"精簡")</f>
        <v/>
      </c>
      <c r="I1112" s="8">
        <f>C1112+D1112+E1112+F1112+G1112+H1112</f>
        <v/>
      </c>
    </row>
    <row r="1113" ht="18" customHeight="1">
      <c r="A1113" s="3" t="inlineStr">
        <is>
          <t>管理組</t>
        </is>
      </c>
      <c r="B1113" s="4" t="n">
        <v>100</v>
      </c>
      <c r="C1113" s="8">
        <f>I1112</f>
        <v/>
      </c>
      <c r="D1113" s="4">
        <f>SUMIFS('01_異動主檔'!$F:$F,'01_異動主檔'!$B:$B,100,'01_異動主檔'!$D:$D,A1113,'01_異動主檔'!$E:$E,"移入")</f>
        <v/>
      </c>
      <c r="E1113" s="4">
        <f>-SUMIFS('01_異動主檔'!$F:$F,'01_異動主檔'!$B:$B,100,'01_異動主檔'!$D:$D,A1113,'01_異動主檔'!$E:$E,"移出")</f>
        <v/>
      </c>
      <c r="F1113" s="4">
        <f>SUMIFS('01_異動主檔'!$F:$F,'01_異動主檔'!$B:$B,100,'01_異動主檔'!$D:$D,A1113,'01_異動主檔'!$E:$E,"新增")</f>
        <v/>
      </c>
      <c r="G1113" s="4">
        <f>-SUMIFS('01_異動主檔'!$F:$F,'01_異動主檔'!$B:$B,100,'01_異動主檔'!$D:$D,A1113,'01_異動主檔'!$E:$E,"減列")</f>
        <v/>
      </c>
      <c r="H1113" s="4">
        <f>-SUMIFS('01_異動主檔'!$F:$F,'01_異動主檔'!$B:$B,100,'01_異動主檔'!$D:$D,A1113,'01_異動主檔'!$E:$E,"精簡")</f>
        <v/>
      </c>
      <c r="I1113" s="8">
        <f>C1113+D1113+E1113+F1113+G1113+H1113</f>
        <v/>
      </c>
    </row>
    <row r="1114" ht="18" customHeight="1">
      <c r="A1114" s="5" t="inlineStr">
        <is>
          <t>管理組</t>
        </is>
      </c>
      <c r="B1114" s="6" t="n">
        <v>101</v>
      </c>
      <c r="C1114" s="8">
        <f>I1113</f>
        <v/>
      </c>
      <c r="D1114" s="4">
        <f>SUMIFS('01_異動主檔'!$F:$F,'01_異動主檔'!$B:$B,101,'01_異動主檔'!$D:$D,A1114,'01_異動主檔'!$E:$E,"移入")</f>
        <v/>
      </c>
      <c r="E1114" s="4">
        <f>-SUMIFS('01_異動主檔'!$F:$F,'01_異動主檔'!$B:$B,101,'01_異動主檔'!$D:$D,A1114,'01_異動主檔'!$E:$E,"移出")</f>
        <v/>
      </c>
      <c r="F1114" s="4">
        <f>SUMIFS('01_異動主檔'!$F:$F,'01_異動主檔'!$B:$B,101,'01_異動主檔'!$D:$D,A1114,'01_異動主檔'!$E:$E,"新增")</f>
        <v/>
      </c>
      <c r="G1114" s="4">
        <f>-SUMIFS('01_異動主檔'!$F:$F,'01_異動主檔'!$B:$B,101,'01_異動主檔'!$D:$D,A1114,'01_異動主檔'!$E:$E,"減列")</f>
        <v/>
      </c>
      <c r="H1114" s="4">
        <f>-SUMIFS('01_異動主檔'!$F:$F,'01_異動主檔'!$B:$B,101,'01_異動主檔'!$D:$D,A1114,'01_異動主檔'!$E:$E,"精簡")</f>
        <v/>
      </c>
      <c r="I1114" s="8">
        <f>C1114+D1114+E1114+F1114+G1114+H1114</f>
        <v/>
      </c>
    </row>
    <row r="1115" ht="18" customHeight="1">
      <c r="A1115" s="3" t="inlineStr">
        <is>
          <t>管理組</t>
        </is>
      </c>
      <c r="B1115" s="4" t="n">
        <v>102</v>
      </c>
      <c r="C1115" s="8">
        <f>I1114</f>
        <v/>
      </c>
      <c r="D1115" s="4">
        <f>SUMIFS('01_異動主檔'!$F:$F,'01_異動主檔'!$B:$B,102,'01_異動主檔'!$D:$D,A1115,'01_異動主檔'!$E:$E,"移入")</f>
        <v/>
      </c>
      <c r="E1115" s="4">
        <f>-SUMIFS('01_異動主檔'!$F:$F,'01_異動主檔'!$B:$B,102,'01_異動主檔'!$D:$D,A1115,'01_異動主檔'!$E:$E,"移出")</f>
        <v/>
      </c>
      <c r="F1115" s="4">
        <f>SUMIFS('01_異動主檔'!$F:$F,'01_異動主檔'!$B:$B,102,'01_異動主檔'!$D:$D,A1115,'01_異動主檔'!$E:$E,"新增")</f>
        <v/>
      </c>
      <c r="G1115" s="4">
        <f>-SUMIFS('01_異動主檔'!$F:$F,'01_異動主檔'!$B:$B,102,'01_異動主檔'!$D:$D,A1115,'01_異動主檔'!$E:$E,"減列")</f>
        <v/>
      </c>
      <c r="H1115" s="4">
        <f>-SUMIFS('01_異動主檔'!$F:$F,'01_異動主檔'!$B:$B,102,'01_異動主檔'!$D:$D,A1115,'01_異動主檔'!$E:$E,"精簡")</f>
        <v/>
      </c>
      <c r="I1115" s="8">
        <f>C1115+D1115+E1115+F1115+G1115+H1115</f>
        <v/>
      </c>
    </row>
    <row r="1116" ht="18" customHeight="1">
      <c r="A1116" s="5" t="inlineStr">
        <is>
          <t>管理組</t>
        </is>
      </c>
      <c r="B1116" s="6" t="n">
        <v>103</v>
      </c>
      <c r="C1116" s="8">
        <f>I1115</f>
        <v/>
      </c>
      <c r="D1116" s="4">
        <f>SUMIFS('01_異動主檔'!$F:$F,'01_異動主檔'!$B:$B,103,'01_異動主檔'!$D:$D,A1116,'01_異動主檔'!$E:$E,"移入")</f>
        <v/>
      </c>
      <c r="E1116" s="4">
        <f>-SUMIFS('01_異動主檔'!$F:$F,'01_異動主檔'!$B:$B,103,'01_異動主檔'!$D:$D,A1116,'01_異動主檔'!$E:$E,"移出")</f>
        <v/>
      </c>
      <c r="F1116" s="4">
        <f>SUMIFS('01_異動主檔'!$F:$F,'01_異動主檔'!$B:$B,103,'01_異動主檔'!$D:$D,A1116,'01_異動主檔'!$E:$E,"新增")</f>
        <v/>
      </c>
      <c r="G1116" s="4">
        <f>-SUMIFS('01_異動主檔'!$F:$F,'01_異動主檔'!$B:$B,103,'01_異動主檔'!$D:$D,A1116,'01_異動主檔'!$E:$E,"減列")</f>
        <v/>
      </c>
      <c r="H1116" s="4">
        <f>-SUMIFS('01_異動主檔'!$F:$F,'01_異動主檔'!$B:$B,103,'01_異動主檔'!$D:$D,A1116,'01_異動主檔'!$E:$E,"精簡")</f>
        <v/>
      </c>
      <c r="I1116" s="8">
        <f>C1116+D1116+E1116+F1116+G1116+H1116</f>
        <v/>
      </c>
    </row>
    <row r="1117" ht="18" customHeight="1">
      <c r="A1117" s="3" t="inlineStr">
        <is>
          <t>管理組</t>
        </is>
      </c>
      <c r="B1117" s="4" t="n">
        <v>104</v>
      </c>
      <c r="C1117" s="8">
        <f>I1116</f>
        <v/>
      </c>
      <c r="D1117" s="4">
        <f>SUMIFS('01_異動主檔'!$F:$F,'01_異動主檔'!$B:$B,104,'01_異動主檔'!$D:$D,A1117,'01_異動主檔'!$E:$E,"移入")</f>
        <v/>
      </c>
      <c r="E1117" s="4">
        <f>-SUMIFS('01_異動主檔'!$F:$F,'01_異動主檔'!$B:$B,104,'01_異動主檔'!$D:$D,A1117,'01_異動主檔'!$E:$E,"移出")</f>
        <v/>
      </c>
      <c r="F1117" s="4">
        <f>SUMIFS('01_異動主檔'!$F:$F,'01_異動主檔'!$B:$B,104,'01_異動主檔'!$D:$D,A1117,'01_異動主檔'!$E:$E,"新增")</f>
        <v/>
      </c>
      <c r="G1117" s="4">
        <f>-SUMIFS('01_異動主檔'!$F:$F,'01_異動主檔'!$B:$B,104,'01_異動主檔'!$D:$D,A1117,'01_異動主檔'!$E:$E,"減列")</f>
        <v/>
      </c>
      <c r="H1117" s="4">
        <f>-SUMIFS('01_異動主檔'!$F:$F,'01_異動主檔'!$B:$B,104,'01_異動主檔'!$D:$D,A1117,'01_異動主檔'!$E:$E,"精簡")</f>
        <v/>
      </c>
      <c r="I1117" s="8">
        <f>C1117+D1117+E1117+F1117+G1117+H1117</f>
        <v/>
      </c>
    </row>
    <row r="1118" ht="18" customHeight="1">
      <c r="A1118" s="5" t="inlineStr">
        <is>
          <t>管理組</t>
        </is>
      </c>
      <c r="B1118" s="6" t="n">
        <v>105</v>
      </c>
      <c r="C1118" s="8">
        <f>I1117</f>
        <v/>
      </c>
      <c r="D1118" s="4">
        <f>SUMIFS('01_異動主檔'!$F:$F,'01_異動主檔'!$B:$B,105,'01_異動主檔'!$D:$D,A1118,'01_異動主檔'!$E:$E,"移入")</f>
        <v/>
      </c>
      <c r="E1118" s="4">
        <f>-SUMIFS('01_異動主檔'!$F:$F,'01_異動主檔'!$B:$B,105,'01_異動主檔'!$D:$D,A1118,'01_異動主檔'!$E:$E,"移出")</f>
        <v/>
      </c>
      <c r="F1118" s="4">
        <f>SUMIFS('01_異動主檔'!$F:$F,'01_異動主檔'!$B:$B,105,'01_異動主檔'!$D:$D,A1118,'01_異動主檔'!$E:$E,"新增")</f>
        <v/>
      </c>
      <c r="G1118" s="4">
        <f>-SUMIFS('01_異動主檔'!$F:$F,'01_異動主檔'!$B:$B,105,'01_異動主檔'!$D:$D,A1118,'01_異動主檔'!$E:$E,"減列")</f>
        <v/>
      </c>
      <c r="H1118" s="4">
        <f>-SUMIFS('01_異動主檔'!$F:$F,'01_異動主檔'!$B:$B,105,'01_異動主檔'!$D:$D,A1118,'01_異動主檔'!$E:$E,"精簡")</f>
        <v/>
      </c>
      <c r="I1118" s="8">
        <f>C1118+D1118+E1118+F1118+G1118+H1118</f>
        <v/>
      </c>
    </row>
    <row r="1119" ht="18" customHeight="1">
      <c r="A1119" s="3" t="inlineStr">
        <is>
          <t>管理組</t>
        </is>
      </c>
      <c r="B1119" s="4" t="n">
        <v>106</v>
      </c>
      <c r="C1119" s="8">
        <f>I1118</f>
        <v/>
      </c>
      <c r="D1119" s="4">
        <f>SUMIFS('01_異動主檔'!$F:$F,'01_異動主檔'!$B:$B,106,'01_異動主檔'!$D:$D,A1119,'01_異動主檔'!$E:$E,"移入")</f>
        <v/>
      </c>
      <c r="E1119" s="4">
        <f>-SUMIFS('01_異動主檔'!$F:$F,'01_異動主檔'!$B:$B,106,'01_異動主檔'!$D:$D,A1119,'01_異動主檔'!$E:$E,"移出")</f>
        <v/>
      </c>
      <c r="F1119" s="4">
        <f>SUMIFS('01_異動主檔'!$F:$F,'01_異動主檔'!$B:$B,106,'01_異動主檔'!$D:$D,A1119,'01_異動主檔'!$E:$E,"新增")</f>
        <v/>
      </c>
      <c r="G1119" s="4">
        <f>-SUMIFS('01_異動主檔'!$F:$F,'01_異動主檔'!$B:$B,106,'01_異動主檔'!$D:$D,A1119,'01_異動主檔'!$E:$E,"減列")</f>
        <v/>
      </c>
      <c r="H1119" s="4">
        <f>-SUMIFS('01_異動主檔'!$F:$F,'01_異動主檔'!$B:$B,106,'01_異動主檔'!$D:$D,A1119,'01_異動主檔'!$E:$E,"精簡")</f>
        <v/>
      </c>
      <c r="I1119" s="8">
        <f>C1119+D1119+E1119+F1119+G1119+H1119</f>
        <v/>
      </c>
    </row>
    <row r="1120" ht="18" customHeight="1">
      <c r="A1120" s="5" t="inlineStr">
        <is>
          <t>管理組</t>
        </is>
      </c>
      <c r="B1120" s="6" t="n">
        <v>107</v>
      </c>
      <c r="C1120" s="8">
        <f>I1119</f>
        <v/>
      </c>
      <c r="D1120" s="4">
        <f>SUMIFS('01_異動主檔'!$F:$F,'01_異動主檔'!$B:$B,107,'01_異動主檔'!$D:$D,A1120,'01_異動主檔'!$E:$E,"移入")</f>
        <v/>
      </c>
      <c r="E1120" s="4">
        <f>-SUMIFS('01_異動主檔'!$F:$F,'01_異動主檔'!$B:$B,107,'01_異動主檔'!$D:$D,A1120,'01_異動主檔'!$E:$E,"移出")</f>
        <v/>
      </c>
      <c r="F1120" s="4">
        <f>SUMIFS('01_異動主檔'!$F:$F,'01_異動主檔'!$B:$B,107,'01_異動主檔'!$D:$D,A1120,'01_異動主檔'!$E:$E,"新增")</f>
        <v/>
      </c>
      <c r="G1120" s="4">
        <f>-SUMIFS('01_異動主檔'!$F:$F,'01_異動主檔'!$B:$B,107,'01_異動主檔'!$D:$D,A1120,'01_異動主檔'!$E:$E,"減列")</f>
        <v/>
      </c>
      <c r="H1120" s="4">
        <f>-SUMIFS('01_異動主檔'!$F:$F,'01_異動主檔'!$B:$B,107,'01_異動主檔'!$D:$D,A1120,'01_異動主檔'!$E:$E,"精簡")</f>
        <v/>
      </c>
      <c r="I1120" s="8">
        <f>C1120+D1120+E1120+F1120+G1120+H1120</f>
        <v/>
      </c>
    </row>
    <row r="1121" ht="18" customHeight="1">
      <c r="A1121" s="3" t="inlineStr">
        <is>
          <t>管理組</t>
        </is>
      </c>
      <c r="B1121" s="4" t="n">
        <v>108</v>
      </c>
      <c r="C1121" s="8">
        <f>I1120</f>
        <v/>
      </c>
      <c r="D1121" s="4">
        <f>SUMIFS('01_異動主檔'!$F:$F,'01_異動主檔'!$B:$B,108,'01_異動主檔'!$D:$D,A1121,'01_異動主檔'!$E:$E,"移入")</f>
        <v/>
      </c>
      <c r="E1121" s="4">
        <f>-SUMIFS('01_異動主檔'!$F:$F,'01_異動主檔'!$B:$B,108,'01_異動主檔'!$D:$D,A1121,'01_異動主檔'!$E:$E,"移出")</f>
        <v/>
      </c>
      <c r="F1121" s="4">
        <f>SUMIFS('01_異動主檔'!$F:$F,'01_異動主檔'!$B:$B,108,'01_異動主檔'!$D:$D,A1121,'01_異動主檔'!$E:$E,"新增")</f>
        <v/>
      </c>
      <c r="G1121" s="4">
        <f>-SUMIFS('01_異動主檔'!$F:$F,'01_異動主檔'!$B:$B,108,'01_異動主檔'!$D:$D,A1121,'01_異動主檔'!$E:$E,"減列")</f>
        <v/>
      </c>
      <c r="H1121" s="4">
        <f>-SUMIFS('01_異動主檔'!$F:$F,'01_異動主檔'!$B:$B,108,'01_異動主檔'!$D:$D,A1121,'01_異動主檔'!$E:$E,"精簡")</f>
        <v/>
      </c>
      <c r="I1121" s="8">
        <f>C1121+D1121+E1121+F1121+G1121+H1121</f>
        <v/>
      </c>
    </row>
    <row r="1122" ht="18" customHeight="1">
      <c r="A1122" s="5" t="inlineStr">
        <is>
          <t>管理組</t>
        </is>
      </c>
      <c r="B1122" s="6" t="n">
        <v>109</v>
      </c>
      <c r="C1122" s="8">
        <f>I1121</f>
        <v/>
      </c>
      <c r="D1122" s="4">
        <f>SUMIFS('01_異動主檔'!$F:$F,'01_異動主檔'!$B:$B,109,'01_異動主檔'!$D:$D,A1122,'01_異動主檔'!$E:$E,"移入")</f>
        <v/>
      </c>
      <c r="E1122" s="4">
        <f>-SUMIFS('01_異動主檔'!$F:$F,'01_異動主檔'!$B:$B,109,'01_異動主檔'!$D:$D,A1122,'01_異動主檔'!$E:$E,"移出")</f>
        <v/>
      </c>
      <c r="F1122" s="4">
        <f>SUMIFS('01_異動主檔'!$F:$F,'01_異動主檔'!$B:$B,109,'01_異動主檔'!$D:$D,A1122,'01_異動主檔'!$E:$E,"新增")</f>
        <v/>
      </c>
      <c r="G1122" s="4">
        <f>-SUMIFS('01_異動主檔'!$F:$F,'01_異動主檔'!$B:$B,109,'01_異動主檔'!$D:$D,A1122,'01_異動主檔'!$E:$E,"減列")</f>
        <v/>
      </c>
      <c r="H1122" s="4">
        <f>-SUMIFS('01_異動主檔'!$F:$F,'01_異動主檔'!$B:$B,109,'01_異動主檔'!$D:$D,A1122,'01_異動主檔'!$E:$E,"精簡")</f>
        <v/>
      </c>
      <c r="I1122" s="8">
        <f>C1122+D1122+E1122+F1122+G1122+H1122</f>
        <v/>
      </c>
    </row>
    <row r="1123" ht="18" customHeight="1">
      <c r="A1123" s="3" t="inlineStr">
        <is>
          <t>管理組</t>
        </is>
      </c>
      <c r="B1123" s="4" t="n">
        <v>110</v>
      </c>
      <c r="C1123" s="8">
        <f>I1122</f>
        <v/>
      </c>
      <c r="D1123" s="4">
        <f>SUMIFS('01_異動主檔'!$F:$F,'01_異動主檔'!$B:$B,110,'01_異動主檔'!$D:$D,A1123,'01_異動主檔'!$E:$E,"移入")</f>
        <v/>
      </c>
      <c r="E1123" s="4">
        <f>-SUMIFS('01_異動主檔'!$F:$F,'01_異動主檔'!$B:$B,110,'01_異動主檔'!$D:$D,A1123,'01_異動主檔'!$E:$E,"移出")</f>
        <v/>
      </c>
      <c r="F1123" s="4">
        <f>SUMIFS('01_異動主檔'!$F:$F,'01_異動主檔'!$B:$B,110,'01_異動主檔'!$D:$D,A1123,'01_異動主檔'!$E:$E,"新增")</f>
        <v/>
      </c>
      <c r="G1123" s="4">
        <f>-SUMIFS('01_異動主檔'!$F:$F,'01_異動主檔'!$B:$B,110,'01_異動主檔'!$D:$D,A1123,'01_異動主檔'!$E:$E,"減列")</f>
        <v/>
      </c>
      <c r="H1123" s="4">
        <f>-SUMIFS('01_異動主檔'!$F:$F,'01_異動主檔'!$B:$B,110,'01_異動主檔'!$D:$D,A1123,'01_異動主檔'!$E:$E,"精簡")</f>
        <v/>
      </c>
      <c r="I1123" s="8">
        <f>C1123+D1123+E1123+F1123+G1123+H1123</f>
        <v/>
      </c>
    </row>
    <row r="1124" ht="18" customHeight="1">
      <c r="A1124" s="5" t="inlineStr">
        <is>
          <t>管理組</t>
        </is>
      </c>
      <c r="B1124" s="6" t="n">
        <v>111</v>
      </c>
      <c r="C1124" s="8">
        <f>I1123</f>
        <v/>
      </c>
      <c r="D1124" s="4">
        <f>SUMIFS('01_異動主檔'!$F:$F,'01_異動主檔'!$B:$B,111,'01_異動主檔'!$D:$D,A1124,'01_異動主檔'!$E:$E,"移入")</f>
        <v/>
      </c>
      <c r="E1124" s="4">
        <f>-SUMIFS('01_異動主檔'!$F:$F,'01_異動主檔'!$B:$B,111,'01_異動主檔'!$D:$D,A1124,'01_異動主檔'!$E:$E,"移出")</f>
        <v/>
      </c>
      <c r="F1124" s="4">
        <f>SUMIFS('01_異動主檔'!$F:$F,'01_異動主檔'!$B:$B,111,'01_異動主檔'!$D:$D,A1124,'01_異動主檔'!$E:$E,"新增")</f>
        <v/>
      </c>
      <c r="G1124" s="4">
        <f>-SUMIFS('01_異動主檔'!$F:$F,'01_異動主檔'!$B:$B,111,'01_異動主檔'!$D:$D,A1124,'01_異動主檔'!$E:$E,"減列")</f>
        <v/>
      </c>
      <c r="H1124" s="4">
        <f>-SUMIFS('01_異動主檔'!$F:$F,'01_異動主檔'!$B:$B,111,'01_異動主檔'!$D:$D,A1124,'01_異動主檔'!$E:$E,"精簡")</f>
        <v/>
      </c>
      <c r="I1124" s="8">
        <f>C1124+D1124+E1124+F1124+G1124+H1124</f>
        <v/>
      </c>
    </row>
    <row r="1125" ht="18" customHeight="1">
      <c r="A1125" s="3" t="inlineStr">
        <is>
          <t>管理組</t>
        </is>
      </c>
      <c r="B1125" s="4" t="n">
        <v>112</v>
      </c>
      <c r="C1125" s="8">
        <f>I1124</f>
        <v/>
      </c>
      <c r="D1125" s="4">
        <f>SUMIFS('01_異動主檔'!$F:$F,'01_異動主檔'!$B:$B,112,'01_異動主檔'!$D:$D,A1125,'01_異動主檔'!$E:$E,"移入")</f>
        <v/>
      </c>
      <c r="E1125" s="4">
        <f>-SUMIFS('01_異動主檔'!$F:$F,'01_異動主檔'!$B:$B,112,'01_異動主檔'!$D:$D,A1125,'01_異動主檔'!$E:$E,"移出")</f>
        <v/>
      </c>
      <c r="F1125" s="4">
        <f>SUMIFS('01_異動主檔'!$F:$F,'01_異動主檔'!$B:$B,112,'01_異動主檔'!$D:$D,A1125,'01_異動主檔'!$E:$E,"新增")</f>
        <v/>
      </c>
      <c r="G1125" s="4">
        <f>-SUMIFS('01_異動主檔'!$F:$F,'01_異動主檔'!$B:$B,112,'01_異動主檔'!$D:$D,A1125,'01_異動主檔'!$E:$E,"減列")</f>
        <v/>
      </c>
      <c r="H1125" s="4">
        <f>-SUMIFS('01_異動主檔'!$F:$F,'01_異動主檔'!$B:$B,112,'01_異動主檔'!$D:$D,A1125,'01_異動主檔'!$E:$E,"精簡")</f>
        <v/>
      </c>
      <c r="I1125" s="8">
        <f>C1125+D1125+E1125+F1125+G1125+H1125</f>
        <v/>
      </c>
    </row>
    <row r="1126" ht="18" customHeight="1">
      <c r="A1126" s="5" t="inlineStr">
        <is>
          <t>管理組</t>
        </is>
      </c>
      <c r="B1126" s="6" t="n">
        <v>113</v>
      </c>
      <c r="C1126" s="8">
        <f>I1125</f>
        <v/>
      </c>
      <c r="D1126" s="4">
        <f>SUMIFS('01_異動主檔'!$F:$F,'01_異動主檔'!$B:$B,113,'01_異動主檔'!$D:$D,A1126,'01_異動主檔'!$E:$E,"移入")</f>
        <v/>
      </c>
      <c r="E1126" s="4">
        <f>-SUMIFS('01_異動主檔'!$F:$F,'01_異動主檔'!$B:$B,113,'01_異動主檔'!$D:$D,A1126,'01_異動主檔'!$E:$E,"移出")</f>
        <v/>
      </c>
      <c r="F1126" s="4">
        <f>SUMIFS('01_異動主檔'!$F:$F,'01_異動主檔'!$B:$B,113,'01_異動主檔'!$D:$D,A1126,'01_異動主檔'!$E:$E,"新增")</f>
        <v/>
      </c>
      <c r="G1126" s="4">
        <f>-SUMIFS('01_異動主檔'!$F:$F,'01_異動主檔'!$B:$B,113,'01_異動主檔'!$D:$D,A1126,'01_異動主檔'!$E:$E,"減列")</f>
        <v/>
      </c>
      <c r="H1126" s="4">
        <f>-SUMIFS('01_異動主檔'!$F:$F,'01_異動主檔'!$B:$B,113,'01_異動主檔'!$D:$D,A1126,'01_異動主檔'!$E:$E,"精簡")</f>
        <v/>
      </c>
      <c r="I1126" s="8">
        <f>C1126+D1126+E1126+F1126+G1126+H1126</f>
        <v/>
      </c>
    </row>
    <row r="1127" ht="18" customHeight="1">
      <c r="A1127" s="3" t="inlineStr">
        <is>
          <t>管理組</t>
        </is>
      </c>
      <c r="B1127" s="4" t="n">
        <v>114</v>
      </c>
      <c r="C1127" s="8">
        <f>I1126</f>
        <v/>
      </c>
      <c r="D1127" s="4">
        <f>SUMIFS('01_異動主檔'!$F:$F,'01_異動主檔'!$B:$B,114,'01_異動主檔'!$D:$D,A1127,'01_異動主檔'!$E:$E,"移入")</f>
        <v/>
      </c>
      <c r="E1127" s="4">
        <f>-SUMIFS('01_異動主檔'!$F:$F,'01_異動主檔'!$B:$B,114,'01_異動主檔'!$D:$D,A1127,'01_異動主檔'!$E:$E,"移出")</f>
        <v/>
      </c>
      <c r="F1127" s="4">
        <f>SUMIFS('01_異動主檔'!$F:$F,'01_異動主檔'!$B:$B,114,'01_異動主檔'!$D:$D,A1127,'01_異動主檔'!$E:$E,"新增")</f>
        <v/>
      </c>
      <c r="G1127" s="4">
        <f>-SUMIFS('01_異動主檔'!$F:$F,'01_異動主檔'!$B:$B,114,'01_異動主檔'!$D:$D,A1127,'01_異動主檔'!$E:$E,"減列")</f>
        <v/>
      </c>
      <c r="H1127" s="4">
        <f>-SUMIFS('01_異動主檔'!$F:$F,'01_異動主檔'!$B:$B,114,'01_異動主檔'!$D:$D,A1127,'01_異動主檔'!$E:$E,"精簡")</f>
        <v/>
      </c>
      <c r="I1127" s="8">
        <f>C1127+D1127+E1127+F1127+G1127+H1127</f>
        <v/>
      </c>
    </row>
    <row r="1128" ht="18" customHeight="1">
      <c r="A1128" s="5" t="inlineStr">
        <is>
          <t>管理組</t>
        </is>
      </c>
      <c r="B1128" s="6" t="n">
        <v>115</v>
      </c>
      <c r="C1128" s="8">
        <f>I1127</f>
        <v/>
      </c>
      <c r="D1128" s="4">
        <f>SUMIFS('01_異動主檔'!$F:$F,'01_異動主檔'!$B:$B,115,'01_異動主檔'!$D:$D,A1128,'01_異動主檔'!$E:$E,"移入")</f>
        <v/>
      </c>
      <c r="E1128" s="4">
        <f>-SUMIFS('01_異動主檔'!$F:$F,'01_異動主檔'!$B:$B,115,'01_異動主檔'!$D:$D,A1128,'01_異動主檔'!$E:$E,"移出")</f>
        <v/>
      </c>
      <c r="F1128" s="4">
        <f>SUMIFS('01_異動主檔'!$F:$F,'01_異動主檔'!$B:$B,115,'01_異動主檔'!$D:$D,A1128,'01_異動主檔'!$E:$E,"新增")</f>
        <v/>
      </c>
      <c r="G1128" s="4">
        <f>-SUMIFS('01_異動主檔'!$F:$F,'01_異動主檔'!$B:$B,115,'01_異動主檔'!$D:$D,A1128,'01_異動主檔'!$E:$E,"減列")</f>
        <v/>
      </c>
      <c r="H1128" s="4">
        <f>-SUMIFS('01_異動主檔'!$F:$F,'01_異動主檔'!$B:$B,115,'01_異動主檔'!$D:$D,A1128,'01_異動主檔'!$E:$E,"精簡")</f>
        <v/>
      </c>
      <c r="I1128" s="8">
        <f>C1128+D1128+E1128+F1128+G1128+H1128</f>
        <v/>
      </c>
    </row>
    <row r="1129" ht="18" customHeight="1">
      <c r="A1129" s="3" t="inlineStr">
        <is>
          <t>管理組</t>
        </is>
      </c>
      <c r="B1129" s="4" t="n">
        <v>116</v>
      </c>
      <c r="C1129" s="8">
        <f>I1128</f>
        <v/>
      </c>
      <c r="D1129" s="4">
        <f>SUMIFS('01_異動主檔'!$F:$F,'01_異動主檔'!$B:$B,116,'01_異動主檔'!$D:$D,A1129,'01_異動主檔'!$E:$E,"移入")</f>
        <v/>
      </c>
      <c r="E1129" s="4">
        <f>-SUMIFS('01_異動主檔'!$F:$F,'01_異動主檔'!$B:$B,116,'01_異動主檔'!$D:$D,A1129,'01_異動主檔'!$E:$E,"移出")</f>
        <v/>
      </c>
      <c r="F1129" s="4">
        <f>SUMIFS('01_異動主檔'!$F:$F,'01_異動主檔'!$B:$B,116,'01_異動主檔'!$D:$D,A1129,'01_異動主檔'!$E:$E,"新增")</f>
        <v/>
      </c>
      <c r="G1129" s="4">
        <f>-SUMIFS('01_異動主檔'!$F:$F,'01_異動主檔'!$B:$B,116,'01_異動主檔'!$D:$D,A1129,'01_異動主檔'!$E:$E,"減列")</f>
        <v/>
      </c>
      <c r="H1129" s="4">
        <f>-SUMIFS('01_異動主檔'!$F:$F,'01_異動主檔'!$B:$B,116,'01_異動主檔'!$D:$D,A1129,'01_異動主檔'!$E:$E,"精簡")</f>
        <v/>
      </c>
      <c r="I1129" s="8">
        <f>C1129+D1129+E1129+F1129+G1129+H1129</f>
        <v/>
      </c>
    </row>
    <row r="1130" ht="18" customHeight="1">
      <c r="A1130" s="5" t="inlineStr">
        <is>
          <t>管理組</t>
        </is>
      </c>
      <c r="B1130" s="6" t="n">
        <v>117</v>
      </c>
      <c r="C1130" s="8">
        <f>I1129</f>
        <v/>
      </c>
      <c r="D1130" s="4">
        <f>SUMIFS('01_異動主檔'!$F:$F,'01_異動主檔'!$B:$B,117,'01_異動主檔'!$D:$D,A1130,'01_異動主檔'!$E:$E,"移入")</f>
        <v/>
      </c>
      <c r="E1130" s="4">
        <f>-SUMIFS('01_異動主檔'!$F:$F,'01_異動主檔'!$B:$B,117,'01_異動主檔'!$D:$D,A1130,'01_異動主檔'!$E:$E,"移出")</f>
        <v/>
      </c>
      <c r="F1130" s="4">
        <f>SUMIFS('01_異動主檔'!$F:$F,'01_異動主檔'!$B:$B,117,'01_異動主檔'!$D:$D,A1130,'01_異動主檔'!$E:$E,"新增")</f>
        <v/>
      </c>
      <c r="G1130" s="4">
        <f>-SUMIFS('01_異動主檔'!$F:$F,'01_異動主檔'!$B:$B,117,'01_異動主檔'!$D:$D,A1130,'01_異動主檔'!$E:$E,"減列")</f>
        <v/>
      </c>
      <c r="H1130" s="4">
        <f>-SUMIFS('01_異動主檔'!$F:$F,'01_異動主檔'!$B:$B,117,'01_異動主檔'!$D:$D,A1130,'01_異動主檔'!$E:$E,"精簡")</f>
        <v/>
      </c>
      <c r="I1130" s="8">
        <f>C1130+D1130+E1130+F1130+G1130+H1130</f>
        <v/>
      </c>
    </row>
    <row r="1131" ht="18" customHeight="1">
      <c r="A1131" s="3" t="inlineStr">
        <is>
          <t>管理組</t>
        </is>
      </c>
      <c r="B1131" s="4" t="n">
        <v>118</v>
      </c>
      <c r="C1131" s="8">
        <f>I1130</f>
        <v/>
      </c>
      <c r="D1131" s="4">
        <f>SUMIFS('01_異動主檔'!$F:$F,'01_異動主檔'!$B:$B,118,'01_異動主檔'!$D:$D,A1131,'01_異動主檔'!$E:$E,"移入")</f>
        <v/>
      </c>
      <c r="E1131" s="4">
        <f>-SUMIFS('01_異動主檔'!$F:$F,'01_異動主檔'!$B:$B,118,'01_異動主檔'!$D:$D,A1131,'01_異動主檔'!$E:$E,"移出")</f>
        <v/>
      </c>
      <c r="F1131" s="4">
        <f>SUMIFS('01_異動主檔'!$F:$F,'01_異動主檔'!$B:$B,118,'01_異動主檔'!$D:$D,A1131,'01_異動主檔'!$E:$E,"新增")</f>
        <v/>
      </c>
      <c r="G1131" s="4">
        <f>-SUMIFS('01_異動主檔'!$F:$F,'01_異動主檔'!$B:$B,118,'01_異動主檔'!$D:$D,A1131,'01_異動主檔'!$E:$E,"減列")</f>
        <v/>
      </c>
      <c r="H1131" s="4">
        <f>-SUMIFS('01_異動主檔'!$F:$F,'01_異動主檔'!$B:$B,118,'01_異動主檔'!$D:$D,A1131,'01_異動主檔'!$E:$E,"精簡")</f>
        <v/>
      </c>
      <c r="I1131" s="8">
        <f>C1131+D1131+E1131+F1131+G1131+H1131</f>
        <v/>
      </c>
    </row>
    <row r="1132" ht="18" customHeight="1">
      <c r="A1132" s="5" t="inlineStr">
        <is>
          <t>管理組</t>
        </is>
      </c>
      <c r="B1132" s="6" t="n">
        <v>119</v>
      </c>
      <c r="C1132" s="8">
        <f>I1131</f>
        <v/>
      </c>
      <c r="D1132" s="4">
        <f>SUMIFS('01_異動主檔'!$F:$F,'01_異動主檔'!$B:$B,119,'01_異動主檔'!$D:$D,A1132,'01_異動主檔'!$E:$E,"移入")</f>
        <v/>
      </c>
      <c r="E1132" s="4">
        <f>-SUMIFS('01_異動主檔'!$F:$F,'01_異動主檔'!$B:$B,119,'01_異動主檔'!$D:$D,A1132,'01_異動主檔'!$E:$E,"移出")</f>
        <v/>
      </c>
      <c r="F1132" s="4">
        <f>SUMIFS('01_異動主檔'!$F:$F,'01_異動主檔'!$B:$B,119,'01_異動主檔'!$D:$D,A1132,'01_異動主檔'!$E:$E,"新增")</f>
        <v/>
      </c>
      <c r="G1132" s="4">
        <f>-SUMIFS('01_異動主檔'!$F:$F,'01_異動主檔'!$B:$B,119,'01_異動主檔'!$D:$D,A1132,'01_異動主檔'!$E:$E,"減列")</f>
        <v/>
      </c>
      <c r="H1132" s="4">
        <f>-SUMIFS('01_異動主檔'!$F:$F,'01_異動主檔'!$B:$B,119,'01_異動主檔'!$D:$D,A1132,'01_異動主檔'!$E:$E,"精簡")</f>
        <v/>
      </c>
      <c r="I1132" s="8">
        <f>C1132+D1132+E1132+F1132+G1132+H1132</f>
        <v/>
      </c>
    </row>
    <row r="1133" ht="18" customHeight="1">
      <c r="A1133" s="3" t="inlineStr">
        <is>
          <t>管理組</t>
        </is>
      </c>
      <c r="B1133" s="4" t="n">
        <v>120</v>
      </c>
      <c r="C1133" s="8">
        <f>I1132</f>
        <v/>
      </c>
      <c r="D1133" s="4">
        <f>SUMIFS('01_異動主檔'!$F:$F,'01_異動主檔'!$B:$B,120,'01_異動主檔'!$D:$D,A1133,'01_異動主檔'!$E:$E,"移入")</f>
        <v/>
      </c>
      <c r="E1133" s="4">
        <f>-SUMIFS('01_異動主檔'!$F:$F,'01_異動主檔'!$B:$B,120,'01_異動主檔'!$D:$D,A1133,'01_異動主檔'!$E:$E,"移出")</f>
        <v/>
      </c>
      <c r="F1133" s="4">
        <f>SUMIFS('01_異動主檔'!$F:$F,'01_異動主檔'!$B:$B,120,'01_異動主檔'!$D:$D,A1133,'01_異動主檔'!$E:$E,"新增")</f>
        <v/>
      </c>
      <c r="G1133" s="4">
        <f>-SUMIFS('01_異動主檔'!$F:$F,'01_異動主檔'!$B:$B,120,'01_異動主檔'!$D:$D,A1133,'01_異動主檔'!$E:$E,"減列")</f>
        <v/>
      </c>
      <c r="H1133" s="4">
        <f>-SUMIFS('01_異動主檔'!$F:$F,'01_異動主檔'!$B:$B,120,'01_異動主檔'!$D:$D,A1133,'01_異動主檔'!$E:$E,"精簡")</f>
        <v/>
      </c>
      <c r="I1133" s="8">
        <f>C1133+D1133+E1133+F1133+G1133+H1133</f>
        <v/>
      </c>
    </row>
    <row r="1134" ht="18" customHeight="1">
      <c r="A1134" s="5" t="inlineStr">
        <is>
          <t>管理組</t>
        </is>
      </c>
      <c r="B1134" s="6" t="n">
        <v>121</v>
      </c>
      <c r="C1134" s="8">
        <f>I1133</f>
        <v/>
      </c>
      <c r="D1134" s="4">
        <f>SUMIFS('01_異動主檔'!$F:$F,'01_異動主檔'!$B:$B,121,'01_異動主檔'!$D:$D,A1134,'01_異動主檔'!$E:$E,"移入")</f>
        <v/>
      </c>
      <c r="E1134" s="4">
        <f>-SUMIFS('01_異動主檔'!$F:$F,'01_異動主檔'!$B:$B,121,'01_異動主檔'!$D:$D,A1134,'01_異動主檔'!$E:$E,"移出")</f>
        <v/>
      </c>
      <c r="F1134" s="4">
        <f>SUMIFS('01_異動主檔'!$F:$F,'01_異動主檔'!$B:$B,121,'01_異動主檔'!$D:$D,A1134,'01_異動主檔'!$E:$E,"新增")</f>
        <v/>
      </c>
      <c r="G1134" s="4">
        <f>-SUMIFS('01_異動主檔'!$F:$F,'01_異動主檔'!$B:$B,121,'01_異動主檔'!$D:$D,A1134,'01_異動主檔'!$E:$E,"減列")</f>
        <v/>
      </c>
      <c r="H1134" s="4">
        <f>-SUMIFS('01_異動主檔'!$F:$F,'01_異動主檔'!$B:$B,121,'01_異動主檔'!$D:$D,A1134,'01_異動主檔'!$E:$E,"精簡")</f>
        <v/>
      </c>
      <c r="I1134" s="8">
        <f>C1134+D1134+E1134+F1134+G1134+H1134</f>
        <v/>
      </c>
    </row>
    <row r="1135" ht="18" customHeight="1">
      <c r="A1135" s="3" t="inlineStr">
        <is>
          <t>管理組</t>
        </is>
      </c>
      <c r="B1135" s="4" t="n">
        <v>122</v>
      </c>
      <c r="C1135" s="8">
        <f>I1134</f>
        <v/>
      </c>
      <c r="D1135" s="4">
        <f>SUMIFS('01_異動主檔'!$F:$F,'01_異動主檔'!$B:$B,122,'01_異動主檔'!$D:$D,A1135,'01_異動主檔'!$E:$E,"移入")</f>
        <v/>
      </c>
      <c r="E1135" s="4">
        <f>-SUMIFS('01_異動主檔'!$F:$F,'01_異動主檔'!$B:$B,122,'01_異動主檔'!$D:$D,A1135,'01_異動主檔'!$E:$E,"移出")</f>
        <v/>
      </c>
      <c r="F1135" s="4">
        <f>SUMIFS('01_異動主檔'!$F:$F,'01_異動主檔'!$B:$B,122,'01_異動主檔'!$D:$D,A1135,'01_異動主檔'!$E:$E,"新增")</f>
        <v/>
      </c>
      <c r="G1135" s="4">
        <f>-SUMIFS('01_異動主檔'!$F:$F,'01_異動主檔'!$B:$B,122,'01_異動主檔'!$D:$D,A1135,'01_異動主檔'!$E:$E,"減列")</f>
        <v/>
      </c>
      <c r="H1135" s="4">
        <f>-SUMIFS('01_異動主檔'!$F:$F,'01_異動主檔'!$B:$B,122,'01_異動主檔'!$D:$D,A1135,'01_異動主檔'!$E:$E,"精簡")</f>
        <v/>
      </c>
      <c r="I1135" s="8">
        <f>C1135+D1135+E1135+F1135+G1135+H1135</f>
        <v/>
      </c>
    </row>
    <row r="1136" ht="18" customHeight="1">
      <c r="A1136" s="5" t="inlineStr">
        <is>
          <t>管理組</t>
        </is>
      </c>
      <c r="B1136" s="6" t="n">
        <v>123</v>
      </c>
      <c r="C1136" s="8">
        <f>I1135</f>
        <v/>
      </c>
      <c r="D1136" s="4">
        <f>SUMIFS('01_異動主檔'!$F:$F,'01_異動主檔'!$B:$B,123,'01_異動主檔'!$D:$D,A1136,'01_異動主檔'!$E:$E,"移入")</f>
        <v/>
      </c>
      <c r="E1136" s="4">
        <f>-SUMIFS('01_異動主檔'!$F:$F,'01_異動主檔'!$B:$B,123,'01_異動主檔'!$D:$D,A1136,'01_異動主檔'!$E:$E,"移出")</f>
        <v/>
      </c>
      <c r="F1136" s="4">
        <f>SUMIFS('01_異動主檔'!$F:$F,'01_異動主檔'!$B:$B,123,'01_異動主檔'!$D:$D,A1136,'01_異動主檔'!$E:$E,"新增")</f>
        <v/>
      </c>
      <c r="G1136" s="4">
        <f>-SUMIFS('01_異動主檔'!$F:$F,'01_異動主檔'!$B:$B,123,'01_異動主檔'!$D:$D,A1136,'01_異動主檔'!$E:$E,"減列")</f>
        <v/>
      </c>
      <c r="H1136" s="4">
        <f>-SUMIFS('01_異動主檔'!$F:$F,'01_異動主檔'!$B:$B,123,'01_異動主檔'!$D:$D,A1136,'01_異動主檔'!$E:$E,"精簡")</f>
        <v/>
      </c>
      <c r="I1136" s="8">
        <f>C1136+D1136+E1136+F1136+G1136+H1136</f>
        <v/>
      </c>
    </row>
    <row r="1137" ht="18" customHeight="1">
      <c r="A1137" s="3" t="inlineStr">
        <is>
          <t>管理組</t>
        </is>
      </c>
      <c r="B1137" s="4" t="n">
        <v>124</v>
      </c>
      <c r="C1137" s="8">
        <f>I1136</f>
        <v/>
      </c>
      <c r="D1137" s="4">
        <f>SUMIFS('01_異動主檔'!$F:$F,'01_異動主檔'!$B:$B,124,'01_異動主檔'!$D:$D,A1137,'01_異動主檔'!$E:$E,"移入")</f>
        <v/>
      </c>
      <c r="E1137" s="4">
        <f>-SUMIFS('01_異動主檔'!$F:$F,'01_異動主檔'!$B:$B,124,'01_異動主檔'!$D:$D,A1137,'01_異動主檔'!$E:$E,"移出")</f>
        <v/>
      </c>
      <c r="F1137" s="4">
        <f>SUMIFS('01_異動主檔'!$F:$F,'01_異動主檔'!$B:$B,124,'01_異動主檔'!$D:$D,A1137,'01_異動主檔'!$E:$E,"新增")</f>
        <v/>
      </c>
      <c r="G1137" s="4">
        <f>-SUMIFS('01_異動主檔'!$F:$F,'01_異動主檔'!$B:$B,124,'01_異動主檔'!$D:$D,A1137,'01_異動主檔'!$E:$E,"減列")</f>
        <v/>
      </c>
      <c r="H1137" s="4">
        <f>-SUMIFS('01_異動主檔'!$F:$F,'01_異動主檔'!$B:$B,124,'01_異動主檔'!$D:$D,A1137,'01_異動主檔'!$E:$E,"精簡")</f>
        <v/>
      </c>
      <c r="I1137" s="8">
        <f>C1137+D1137+E1137+F1137+G1137+H1137</f>
        <v/>
      </c>
    </row>
    <row r="1138" ht="18" customHeight="1">
      <c r="A1138" s="5" t="inlineStr">
        <is>
          <t>管理組</t>
        </is>
      </c>
      <c r="B1138" s="6" t="n">
        <v>125</v>
      </c>
      <c r="C1138" s="8">
        <f>I1137</f>
        <v/>
      </c>
      <c r="D1138" s="4">
        <f>SUMIFS('01_異動主檔'!$F:$F,'01_異動主檔'!$B:$B,125,'01_異動主檔'!$D:$D,A1138,'01_異動主檔'!$E:$E,"移入")</f>
        <v/>
      </c>
      <c r="E1138" s="4">
        <f>-SUMIFS('01_異動主檔'!$F:$F,'01_異動主檔'!$B:$B,125,'01_異動主檔'!$D:$D,A1138,'01_異動主檔'!$E:$E,"移出")</f>
        <v/>
      </c>
      <c r="F1138" s="4">
        <f>SUMIFS('01_異動主檔'!$F:$F,'01_異動主檔'!$B:$B,125,'01_異動主檔'!$D:$D,A1138,'01_異動主檔'!$E:$E,"新增")</f>
        <v/>
      </c>
      <c r="G1138" s="4">
        <f>-SUMIFS('01_異動主檔'!$F:$F,'01_異動主檔'!$B:$B,125,'01_異動主檔'!$D:$D,A1138,'01_異動主檔'!$E:$E,"減列")</f>
        <v/>
      </c>
      <c r="H1138" s="4">
        <f>-SUMIFS('01_異動主檔'!$F:$F,'01_異動主檔'!$B:$B,125,'01_異動主檔'!$D:$D,A1138,'01_異動主檔'!$E:$E,"精簡")</f>
        <v/>
      </c>
      <c r="I1138" s="8">
        <f>C1138+D1138+E1138+F1138+G1138+H1138</f>
        <v/>
      </c>
    </row>
    <row r="1139" ht="18" customHeight="1">
      <c r="A1139" s="3" t="inlineStr">
        <is>
          <t>業務組</t>
        </is>
      </c>
      <c r="B1139" s="4" t="n">
        <v>99</v>
      </c>
      <c r="C1139" s="8">
        <f>'02_年初員額設定'!B47</f>
        <v/>
      </c>
      <c r="D1139" s="4">
        <f>SUMIFS('01_異動主檔'!$F:$F,'01_異動主檔'!$B:$B,99,'01_異動主檔'!$D:$D,A1139,'01_異動主檔'!$E:$E,"移入")</f>
        <v/>
      </c>
      <c r="E1139" s="4">
        <f>-SUMIFS('01_異動主檔'!$F:$F,'01_異動主檔'!$B:$B,99,'01_異動主檔'!$D:$D,A1139,'01_異動主檔'!$E:$E,"移出")</f>
        <v/>
      </c>
      <c r="F1139" s="4">
        <f>SUMIFS('01_異動主檔'!$F:$F,'01_異動主檔'!$B:$B,99,'01_異動主檔'!$D:$D,A1139,'01_異動主檔'!$E:$E,"新增")</f>
        <v/>
      </c>
      <c r="G1139" s="4">
        <f>-SUMIFS('01_異動主檔'!$F:$F,'01_異動主檔'!$B:$B,99,'01_異動主檔'!$D:$D,A1139,'01_異動主檔'!$E:$E,"減列")</f>
        <v/>
      </c>
      <c r="H1139" s="4">
        <f>-SUMIFS('01_異動主檔'!$F:$F,'01_異動主檔'!$B:$B,99,'01_異動主檔'!$D:$D,A1139,'01_異動主檔'!$E:$E,"精簡")</f>
        <v/>
      </c>
      <c r="I1139" s="8">
        <f>C1139+D1139+E1139+F1139+G1139+H1139</f>
        <v/>
      </c>
    </row>
    <row r="1140" ht="18" customHeight="1">
      <c r="A1140" s="5" t="inlineStr">
        <is>
          <t>業務組</t>
        </is>
      </c>
      <c r="B1140" s="6" t="n">
        <v>100</v>
      </c>
      <c r="C1140" s="8">
        <f>I1139</f>
        <v/>
      </c>
      <c r="D1140" s="4">
        <f>SUMIFS('01_異動主檔'!$F:$F,'01_異動主檔'!$B:$B,100,'01_異動主檔'!$D:$D,A1140,'01_異動主檔'!$E:$E,"移入")</f>
        <v/>
      </c>
      <c r="E1140" s="4">
        <f>-SUMIFS('01_異動主檔'!$F:$F,'01_異動主檔'!$B:$B,100,'01_異動主檔'!$D:$D,A1140,'01_異動主檔'!$E:$E,"移出")</f>
        <v/>
      </c>
      <c r="F1140" s="4">
        <f>SUMIFS('01_異動主檔'!$F:$F,'01_異動主檔'!$B:$B,100,'01_異動主檔'!$D:$D,A1140,'01_異動主檔'!$E:$E,"新增")</f>
        <v/>
      </c>
      <c r="G1140" s="4">
        <f>-SUMIFS('01_異動主檔'!$F:$F,'01_異動主檔'!$B:$B,100,'01_異動主檔'!$D:$D,A1140,'01_異動主檔'!$E:$E,"減列")</f>
        <v/>
      </c>
      <c r="H1140" s="4">
        <f>-SUMIFS('01_異動主檔'!$F:$F,'01_異動主檔'!$B:$B,100,'01_異動主檔'!$D:$D,A1140,'01_異動主檔'!$E:$E,"精簡")</f>
        <v/>
      </c>
      <c r="I1140" s="8">
        <f>C1140+D1140+E1140+F1140+G1140+H1140</f>
        <v/>
      </c>
    </row>
    <row r="1141" ht="18" customHeight="1">
      <c r="A1141" s="3" t="inlineStr">
        <is>
          <t>業務組</t>
        </is>
      </c>
      <c r="B1141" s="4" t="n">
        <v>101</v>
      </c>
      <c r="C1141" s="8">
        <f>I1140</f>
        <v/>
      </c>
      <c r="D1141" s="4">
        <f>SUMIFS('01_異動主檔'!$F:$F,'01_異動主檔'!$B:$B,101,'01_異動主檔'!$D:$D,A1141,'01_異動主檔'!$E:$E,"移入")</f>
        <v/>
      </c>
      <c r="E1141" s="4">
        <f>-SUMIFS('01_異動主檔'!$F:$F,'01_異動主檔'!$B:$B,101,'01_異動主檔'!$D:$D,A1141,'01_異動主檔'!$E:$E,"移出")</f>
        <v/>
      </c>
      <c r="F1141" s="4">
        <f>SUMIFS('01_異動主檔'!$F:$F,'01_異動主檔'!$B:$B,101,'01_異動主檔'!$D:$D,A1141,'01_異動主檔'!$E:$E,"新增")</f>
        <v/>
      </c>
      <c r="G1141" s="4">
        <f>-SUMIFS('01_異動主檔'!$F:$F,'01_異動主檔'!$B:$B,101,'01_異動主檔'!$D:$D,A1141,'01_異動主檔'!$E:$E,"減列")</f>
        <v/>
      </c>
      <c r="H1141" s="4">
        <f>-SUMIFS('01_異動主檔'!$F:$F,'01_異動主檔'!$B:$B,101,'01_異動主檔'!$D:$D,A1141,'01_異動主檔'!$E:$E,"精簡")</f>
        <v/>
      </c>
      <c r="I1141" s="8">
        <f>C1141+D1141+E1141+F1141+G1141+H1141</f>
        <v/>
      </c>
    </row>
    <row r="1142" ht="18" customHeight="1">
      <c r="A1142" s="5" t="inlineStr">
        <is>
          <t>業務組</t>
        </is>
      </c>
      <c r="B1142" s="6" t="n">
        <v>102</v>
      </c>
      <c r="C1142" s="8">
        <f>I1141</f>
        <v/>
      </c>
      <c r="D1142" s="4">
        <f>SUMIFS('01_異動主檔'!$F:$F,'01_異動主檔'!$B:$B,102,'01_異動主檔'!$D:$D,A1142,'01_異動主檔'!$E:$E,"移入")</f>
        <v/>
      </c>
      <c r="E1142" s="4">
        <f>-SUMIFS('01_異動主檔'!$F:$F,'01_異動主檔'!$B:$B,102,'01_異動主檔'!$D:$D,A1142,'01_異動主檔'!$E:$E,"移出")</f>
        <v/>
      </c>
      <c r="F1142" s="4">
        <f>SUMIFS('01_異動主檔'!$F:$F,'01_異動主檔'!$B:$B,102,'01_異動主檔'!$D:$D,A1142,'01_異動主檔'!$E:$E,"新增")</f>
        <v/>
      </c>
      <c r="G1142" s="4">
        <f>-SUMIFS('01_異動主檔'!$F:$F,'01_異動主檔'!$B:$B,102,'01_異動主檔'!$D:$D,A1142,'01_異動主檔'!$E:$E,"減列")</f>
        <v/>
      </c>
      <c r="H1142" s="4">
        <f>-SUMIFS('01_異動主檔'!$F:$F,'01_異動主檔'!$B:$B,102,'01_異動主檔'!$D:$D,A1142,'01_異動主檔'!$E:$E,"精簡")</f>
        <v/>
      </c>
      <c r="I1142" s="8">
        <f>C1142+D1142+E1142+F1142+G1142+H1142</f>
        <v/>
      </c>
    </row>
    <row r="1143" ht="18" customHeight="1">
      <c r="A1143" s="3" t="inlineStr">
        <is>
          <t>業務組</t>
        </is>
      </c>
      <c r="B1143" s="4" t="n">
        <v>103</v>
      </c>
      <c r="C1143" s="8">
        <f>I1142</f>
        <v/>
      </c>
      <c r="D1143" s="4">
        <f>SUMIFS('01_異動主檔'!$F:$F,'01_異動主檔'!$B:$B,103,'01_異動主檔'!$D:$D,A1143,'01_異動主檔'!$E:$E,"移入")</f>
        <v/>
      </c>
      <c r="E1143" s="4">
        <f>-SUMIFS('01_異動主檔'!$F:$F,'01_異動主檔'!$B:$B,103,'01_異動主檔'!$D:$D,A1143,'01_異動主檔'!$E:$E,"移出")</f>
        <v/>
      </c>
      <c r="F1143" s="4">
        <f>SUMIFS('01_異動主檔'!$F:$F,'01_異動主檔'!$B:$B,103,'01_異動主檔'!$D:$D,A1143,'01_異動主檔'!$E:$E,"新增")</f>
        <v/>
      </c>
      <c r="G1143" s="4">
        <f>-SUMIFS('01_異動主檔'!$F:$F,'01_異動主檔'!$B:$B,103,'01_異動主檔'!$D:$D,A1143,'01_異動主檔'!$E:$E,"減列")</f>
        <v/>
      </c>
      <c r="H1143" s="4">
        <f>-SUMIFS('01_異動主檔'!$F:$F,'01_異動主檔'!$B:$B,103,'01_異動主檔'!$D:$D,A1143,'01_異動主檔'!$E:$E,"精簡")</f>
        <v/>
      </c>
      <c r="I1143" s="8">
        <f>C1143+D1143+E1143+F1143+G1143+H1143</f>
        <v/>
      </c>
    </row>
    <row r="1144" ht="18" customHeight="1">
      <c r="A1144" s="5" t="inlineStr">
        <is>
          <t>業務組</t>
        </is>
      </c>
      <c r="B1144" s="6" t="n">
        <v>104</v>
      </c>
      <c r="C1144" s="8">
        <f>I1143</f>
        <v/>
      </c>
      <c r="D1144" s="4">
        <f>SUMIFS('01_異動主檔'!$F:$F,'01_異動主檔'!$B:$B,104,'01_異動主檔'!$D:$D,A1144,'01_異動主檔'!$E:$E,"移入")</f>
        <v/>
      </c>
      <c r="E1144" s="4">
        <f>-SUMIFS('01_異動主檔'!$F:$F,'01_異動主檔'!$B:$B,104,'01_異動主檔'!$D:$D,A1144,'01_異動主檔'!$E:$E,"移出")</f>
        <v/>
      </c>
      <c r="F1144" s="4">
        <f>SUMIFS('01_異動主檔'!$F:$F,'01_異動主檔'!$B:$B,104,'01_異動主檔'!$D:$D,A1144,'01_異動主檔'!$E:$E,"新增")</f>
        <v/>
      </c>
      <c r="G1144" s="4">
        <f>-SUMIFS('01_異動主檔'!$F:$F,'01_異動主檔'!$B:$B,104,'01_異動主檔'!$D:$D,A1144,'01_異動主檔'!$E:$E,"減列")</f>
        <v/>
      </c>
      <c r="H1144" s="4">
        <f>-SUMIFS('01_異動主檔'!$F:$F,'01_異動主檔'!$B:$B,104,'01_異動主檔'!$D:$D,A1144,'01_異動主檔'!$E:$E,"精簡")</f>
        <v/>
      </c>
      <c r="I1144" s="8">
        <f>C1144+D1144+E1144+F1144+G1144+H1144</f>
        <v/>
      </c>
    </row>
    <row r="1145" ht="18" customHeight="1">
      <c r="A1145" s="3" t="inlineStr">
        <is>
          <t>業務組</t>
        </is>
      </c>
      <c r="B1145" s="4" t="n">
        <v>105</v>
      </c>
      <c r="C1145" s="8">
        <f>I1144</f>
        <v/>
      </c>
      <c r="D1145" s="4">
        <f>SUMIFS('01_異動主檔'!$F:$F,'01_異動主檔'!$B:$B,105,'01_異動主檔'!$D:$D,A1145,'01_異動主檔'!$E:$E,"移入")</f>
        <v/>
      </c>
      <c r="E1145" s="4">
        <f>-SUMIFS('01_異動主檔'!$F:$F,'01_異動主檔'!$B:$B,105,'01_異動主檔'!$D:$D,A1145,'01_異動主檔'!$E:$E,"移出")</f>
        <v/>
      </c>
      <c r="F1145" s="4">
        <f>SUMIFS('01_異動主檔'!$F:$F,'01_異動主檔'!$B:$B,105,'01_異動主檔'!$D:$D,A1145,'01_異動主檔'!$E:$E,"新增")</f>
        <v/>
      </c>
      <c r="G1145" s="4">
        <f>-SUMIFS('01_異動主檔'!$F:$F,'01_異動主檔'!$B:$B,105,'01_異動主檔'!$D:$D,A1145,'01_異動主檔'!$E:$E,"減列")</f>
        <v/>
      </c>
      <c r="H1145" s="4">
        <f>-SUMIFS('01_異動主檔'!$F:$F,'01_異動主檔'!$B:$B,105,'01_異動主檔'!$D:$D,A1145,'01_異動主檔'!$E:$E,"精簡")</f>
        <v/>
      </c>
      <c r="I1145" s="8">
        <f>C1145+D1145+E1145+F1145+G1145+H1145</f>
        <v/>
      </c>
    </row>
    <row r="1146" ht="18" customHeight="1">
      <c r="A1146" s="5" t="inlineStr">
        <is>
          <t>業務組</t>
        </is>
      </c>
      <c r="B1146" s="6" t="n">
        <v>106</v>
      </c>
      <c r="C1146" s="8">
        <f>I1145</f>
        <v/>
      </c>
      <c r="D1146" s="4">
        <f>SUMIFS('01_異動主檔'!$F:$F,'01_異動主檔'!$B:$B,106,'01_異動主檔'!$D:$D,A1146,'01_異動主檔'!$E:$E,"移入")</f>
        <v/>
      </c>
      <c r="E1146" s="4">
        <f>-SUMIFS('01_異動主檔'!$F:$F,'01_異動主檔'!$B:$B,106,'01_異動主檔'!$D:$D,A1146,'01_異動主檔'!$E:$E,"移出")</f>
        <v/>
      </c>
      <c r="F1146" s="4">
        <f>SUMIFS('01_異動主檔'!$F:$F,'01_異動主檔'!$B:$B,106,'01_異動主檔'!$D:$D,A1146,'01_異動主檔'!$E:$E,"新增")</f>
        <v/>
      </c>
      <c r="G1146" s="4">
        <f>-SUMIFS('01_異動主檔'!$F:$F,'01_異動主檔'!$B:$B,106,'01_異動主檔'!$D:$D,A1146,'01_異動主檔'!$E:$E,"減列")</f>
        <v/>
      </c>
      <c r="H1146" s="4">
        <f>-SUMIFS('01_異動主檔'!$F:$F,'01_異動主檔'!$B:$B,106,'01_異動主檔'!$D:$D,A1146,'01_異動主檔'!$E:$E,"精簡")</f>
        <v/>
      </c>
      <c r="I1146" s="8">
        <f>C1146+D1146+E1146+F1146+G1146+H1146</f>
        <v/>
      </c>
    </row>
    <row r="1147" ht="18" customHeight="1">
      <c r="A1147" s="3" t="inlineStr">
        <is>
          <t>業務組</t>
        </is>
      </c>
      <c r="B1147" s="4" t="n">
        <v>107</v>
      </c>
      <c r="C1147" s="8">
        <f>I1146</f>
        <v/>
      </c>
      <c r="D1147" s="4">
        <f>SUMIFS('01_異動主檔'!$F:$F,'01_異動主檔'!$B:$B,107,'01_異動主檔'!$D:$D,A1147,'01_異動主檔'!$E:$E,"移入")</f>
        <v/>
      </c>
      <c r="E1147" s="4">
        <f>-SUMIFS('01_異動主檔'!$F:$F,'01_異動主檔'!$B:$B,107,'01_異動主檔'!$D:$D,A1147,'01_異動主檔'!$E:$E,"移出")</f>
        <v/>
      </c>
      <c r="F1147" s="4">
        <f>SUMIFS('01_異動主檔'!$F:$F,'01_異動主檔'!$B:$B,107,'01_異動主檔'!$D:$D,A1147,'01_異動主檔'!$E:$E,"新增")</f>
        <v/>
      </c>
      <c r="G1147" s="4">
        <f>-SUMIFS('01_異動主檔'!$F:$F,'01_異動主檔'!$B:$B,107,'01_異動主檔'!$D:$D,A1147,'01_異動主檔'!$E:$E,"減列")</f>
        <v/>
      </c>
      <c r="H1147" s="4">
        <f>-SUMIFS('01_異動主檔'!$F:$F,'01_異動主檔'!$B:$B,107,'01_異動主檔'!$D:$D,A1147,'01_異動主檔'!$E:$E,"精簡")</f>
        <v/>
      </c>
      <c r="I1147" s="8">
        <f>C1147+D1147+E1147+F1147+G1147+H1147</f>
        <v/>
      </c>
    </row>
    <row r="1148" ht="18" customHeight="1">
      <c r="A1148" s="5" t="inlineStr">
        <is>
          <t>業務組</t>
        </is>
      </c>
      <c r="B1148" s="6" t="n">
        <v>108</v>
      </c>
      <c r="C1148" s="8">
        <f>I1147</f>
        <v/>
      </c>
      <c r="D1148" s="4">
        <f>SUMIFS('01_異動主檔'!$F:$F,'01_異動主檔'!$B:$B,108,'01_異動主檔'!$D:$D,A1148,'01_異動主檔'!$E:$E,"移入")</f>
        <v/>
      </c>
      <c r="E1148" s="4">
        <f>-SUMIFS('01_異動主檔'!$F:$F,'01_異動主檔'!$B:$B,108,'01_異動主檔'!$D:$D,A1148,'01_異動主檔'!$E:$E,"移出")</f>
        <v/>
      </c>
      <c r="F1148" s="4">
        <f>SUMIFS('01_異動主檔'!$F:$F,'01_異動主檔'!$B:$B,108,'01_異動主檔'!$D:$D,A1148,'01_異動主檔'!$E:$E,"新增")</f>
        <v/>
      </c>
      <c r="G1148" s="4">
        <f>-SUMIFS('01_異動主檔'!$F:$F,'01_異動主檔'!$B:$B,108,'01_異動主檔'!$D:$D,A1148,'01_異動主檔'!$E:$E,"減列")</f>
        <v/>
      </c>
      <c r="H1148" s="4">
        <f>-SUMIFS('01_異動主檔'!$F:$F,'01_異動主檔'!$B:$B,108,'01_異動主檔'!$D:$D,A1148,'01_異動主檔'!$E:$E,"精簡")</f>
        <v/>
      </c>
      <c r="I1148" s="8">
        <f>C1148+D1148+E1148+F1148+G1148+H1148</f>
        <v/>
      </c>
    </row>
    <row r="1149" ht="18" customHeight="1">
      <c r="A1149" s="3" t="inlineStr">
        <is>
          <t>業務組</t>
        </is>
      </c>
      <c r="B1149" s="4" t="n">
        <v>109</v>
      </c>
      <c r="C1149" s="8">
        <f>I1148</f>
        <v/>
      </c>
      <c r="D1149" s="4">
        <f>SUMIFS('01_異動主檔'!$F:$F,'01_異動主檔'!$B:$B,109,'01_異動主檔'!$D:$D,A1149,'01_異動主檔'!$E:$E,"移入")</f>
        <v/>
      </c>
      <c r="E1149" s="4">
        <f>-SUMIFS('01_異動主檔'!$F:$F,'01_異動主檔'!$B:$B,109,'01_異動主檔'!$D:$D,A1149,'01_異動主檔'!$E:$E,"移出")</f>
        <v/>
      </c>
      <c r="F1149" s="4">
        <f>SUMIFS('01_異動主檔'!$F:$F,'01_異動主檔'!$B:$B,109,'01_異動主檔'!$D:$D,A1149,'01_異動主檔'!$E:$E,"新增")</f>
        <v/>
      </c>
      <c r="G1149" s="4">
        <f>-SUMIFS('01_異動主檔'!$F:$F,'01_異動主檔'!$B:$B,109,'01_異動主檔'!$D:$D,A1149,'01_異動主檔'!$E:$E,"減列")</f>
        <v/>
      </c>
      <c r="H1149" s="4">
        <f>-SUMIFS('01_異動主檔'!$F:$F,'01_異動主檔'!$B:$B,109,'01_異動主檔'!$D:$D,A1149,'01_異動主檔'!$E:$E,"精簡")</f>
        <v/>
      </c>
      <c r="I1149" s="8">
        <f>C1149+D1149+E1149+F1149+G1149+H1149</f>
        <v/>
      </c>
    </row>
    <row r="1150" ht="18" customHeight="1">
      <c r="A1150" s="5" t="inlineStr">
        <is>
          <t>業務組</t>
        </is>
      </c>
      <c r="B1150" s="6" t="n">
        <v>110</v>
      </c>
      <c r="C1150" s="8">
        <f>I1149</f>
        <v/>
      </c>
      <c r="D1150" s="4">
        <f>SUMIFS('01_異動主檔'!$F:$F,'01_異動主檔'!$B:$B,110,'01_異動主檔'!$D:$D,A1150,'01_異動主檔'!$E:$E,"移入")</f>
        <v/>
      </c>
      <c r="E1150" s="4">
        <f>-SUMIFS('01_異動主檔'!$F:$F,'01_異動主檔'!$B:$B,110,'01_異動主檔'!$D:$D,A1150,'01_異動主檔'!$E:$E,"移出")</f>
        <v/>
      </c>
      <c r="F1150" s="4">
        <f>SUMIFS('01_異動主檔'!$F:$F,'01_異動主檔'!$B:$B,110,'01_異動主檔'!$D:$D,A1150,'01_異動主檔'!$E:$E,"新增")</f>
        <v/>
      </c>
      <c r="G1150" s="4">
        <f>-SUMIFS('01_異動主檔'!$F:$F,'01_異動主檔'!$B:$B,110,'01_異動主檔'!$D:$D,A1150,'01_異動主檔'!$E:$E,"減列")</f>
        <v/>
      </c>
      <c r="H1150" s="4">
        <f>-SUMIFS('01_異動主檔'!$F:$F,'01_異動主檔'!$B:$B,110,'01_異動主檔'!$D:$D,A1150,'01_異動主檔'!$E:$E,"精簡")</f>
        <v/>
      </c>
      <c r="I1150" s="8">
        <f>C1150+D1150+E1150+F1150+G1150+H1150</f>
        <v/>
      </c>
    </row>
    <row r="1151" ht="18" customHeight="1">
      <c r="A1151" s="3" t="inlineStr">
        <is>
          <t>業務組</t>
        </is>
      </c>
      <c r="B1151" s="4" t="n">
        <v>111</v>
      </c>
      <c r="C1151" s="8">
        <f>I1150</f>
        <v/>
      </c>
      <c r="D1151" s="4">
        <f>SUMIFS('01_異動主檔'!$F:$F,'01_異動主檔'!$B:$B,111,'01_異動主檔'!$D:$D,A1151,'01_異動主檔'!$E:$E,"移入")</f>
        <v/>
      </c>
      <c r="E1151" s="4">
        <f>-SUMIFS('01_異動主檔'!$F:$F,'01_異動主檔'!$B:$B,111,'01_異動主檔'!$D:$D,A1151,'01_異動主檔'!$E:$E,"移出")</f>
        <v/>
      </c>
      <c r="F1151" s="4">
        <f>SUMIFS('01_異動主檔'!$F:$F,'01_異動主檔'!$B:$B,111,'01_異動主檔'!$D:$D,A1151,'01_異動主檔'!$E:$E,"新增")</f>
        <v/>
      </c>
      <c r="G1151" s="4">
        <f>-SUMIFS('01_異動主檔'!$F:$F,'01_異動主檔'!$B:$B,111,'01_異動主檔'!$D:$D,A1151,'01_異動主檔'!$E:$E,"減列")</f>
        <v/>
      </c>
      <c r="H1151" s="4">
        <f>-SUMIFS('01_異動主檔'!$F:$F,'01_異動主檔'!$B:$B,111,'01_異動主檔'!$D:$D,A1151,'01_異動主檔'!$E:$E,"精簡")</f>
        <v/>
      </c>
      <c r="I1151" s="8">
        <f>C1151+D1151+E1151+F1151+G1151+H1151</f>
        <v/>
      </c>
    </row>
    <row r="1152" ht="18" customHeight="1">
      <c r="A1152" s="5" t="inlineStr">
        <is>
          <t>業務組</t>
        </is>
      </c>
      <c r="B1152" s="6" t="n">
        <v>112</v>
      </c>
      <c r="C1152" s="8">
        <f>I1151</f>
        <v/>
      </c>
      <c r="D1152" s="4">
        <f>SUMIFS('01_異動主檔'!$F:$F,'01_異動主檔'!$B:$B,112,'01_異動主檔'!$D:$D,A1152,'01_異動主檔'!$E:$E,"移入")</f>
        <v/>
      </c>
      <c r="E1152" s="4">
        <f>-SUMIFS('01_異動主檔'!$F:$F,'01_異動主檔'!$B:$B,112,'01_異動主檔'!$D:$D,A1152,'01_異動主檔'!$E:$E,"移出")</f>
        <v/>
      </c>
      <c r="F1152" s="4">
        <f>SUMIFS('01_異動主檔'!$F:$F,'01_異動主檔'!$B:$B,112,'01_異動主檔'!$D:$D,A1152,'01_異動主檔'!$E:$E,"新增")</f>
        <v/>
      </c>
      <c r="G1152" s="4">
        <f>-SUMIFS('01_異動主檔'!$F:$F,'01_異動主檔'!$B:$B,112,'01_異動主檔'!$D:$D,A1152,'01_異動主檔'!$E:$E,"減列")</f>
        <v/>
      </c>
      <c r="H1152" s="4">
        <f>-SUMIFS('01_異動主檔'!$F:$F,'01_異動主檔'!$B:$B,112,'01_異動主檔'!$D:$D,A1152,'01_異動主檔'!$E:$E,"精簡")</f>
        <v/>
      </c>
      <c r="I1152" s="8">
        <f>C1152+D1152+E1152+F1152+G1152+H1152</f>
        <v/>
      </c>
    </row>
    <row r="1153" ht="18" customHeight="1">
      <c r="A1153" s="3" t="inlineStr">
        <is>
          <t>業務組</t>
        </is>
      </c>
      <c r="B1153" s="4" t="n">
        <v>113</v>
      </c>
      <c r="C1153" s="8">
        <f>I1152</f>
        <v/>
      </c>
      <c r="D1153" s="4">
        <f>SUMIFS('01_異動主檔'!$F:$F,'01_異動主檔'!$B:$B,113,'01_異動主檔'!$D:$D,A1153,'01_異動主檔'!$E:$E,"移入")</f>
        <v/>
      </c>
      <c r="E1153" s="4">
        <f>-SUMIFS('01_異動主檔'!$F:$F,'01_異動主檔'!$B:$B,113,'01_異動主檔'!$D:$D,A1153,'01_異動主檔'!$E:$E,"移出")</f>
        <v/>
      </c>
      <c r="F1153" s="4">
        <f>SUMIFS('01_異動主檔'!$F:$F,'01_異動主檔'!$B:$B,113,'01_異動主檔'!$D:$D,A1153,'01_異動主檔'!$E:$E,"新增")</f>
        <v/>
      </c>
      <c r="G1153" s="4">
        <f>-SUMIFS('01_異動主檔'!$F:$F,'01_異動主檔'!$B:$B,113,'01_異動主檔'!$D:$D,A1153,'01_異動主檔'!$E:$E,"減列")</f>
        <v/>
      </c>
      <c r="H1153" s="4">
        <f>-SUMIFS('01_異動主檔'!$F:$F,'01_異動主檔'!$B:$B,113,'01_異動主檔'!$D:$D,A1153,'01_異動主檔'!$E:$E,"精簡")</f>
        <v/>
      </c>
      <c r="I1153" s="8">
        <f>C1153+D1153+E1153+F1153+G1153+H1153</f>
        <v/>
      </c>
    </row>
    <row r="1154" ht="18" customHeight="1">
      <c r="A1154" s="5" t="inlineStr">
        <is>
          <t>業務組</t>
        </is>
      </c>
      <c r="B1154" s="6" t="n">
        <v>114</v>
      </c>
      <c r="C1154" s="8">
        <f>I1153</f>
        <v/>
      </c>
      <c r="D1154" s="4">
        <f>SUMIFS('01_異動主檔'!$F:$F,'01_異動主檔'!$B:$B,114,'01_異動主檔'!$D:$D,A1154,'01_異動主檔'!$E:$E,"移入")</f>
        <v/>
      </c>
      <c r="E1154" s="4">
        <f>-SUMIFS('01_異動主檔'!$F:$F,'01_異動主檔'!$B:$B,114,'01_異動主檔'!$D:$D,A1154,'01_異動主檔'!$E:$E,"移出")</f>
        <v/>
      </c>
      <c r="F1154" s="4">
        <f>SUMIFS('01_異動主檔'!$F:$F,'01_異動主檔'!$B:$B,114,'01_異動主檔'!$D:$D,A1154,'01_異動主檔'!$E:$E,"新增")</f>
        <v/>
      </c>
      <c r="G1154" s="4">
        <f>-SUMIFS('01_異動主檔'!$F:$F,'01_異動主檔'!$B:$B,114,'01_異動主檔'!$D:$D,A1154,'01_異動主檔'!$E:$E,"減列")</f>
        <v/>
      </c>
      <c r="H1154" s="4">
        <f>-SUMIFS('01_異動主檔'!$F:$F,'01_異動主檔'!$B:$B,114,'01_異動主檔'!$D:$D,A1154,'01_異動主檔'!$E:$E,"精簡")</f>
        <v/>
      </c>
      <c r="I1154" s="8">
        <f>C1154+D1154+E1154+F1154+G1154+H1154</f>
        <v/>
      </c>
    </row>
    <row r="1155" ht="18" customHeight="1">
      <c r="A1155" s="3" t="inlineStr">
        <is>
          <t>業務組</t>
        </is>
      </c>
      <c r="B1155" s="4" t="n">
        <v>115</v>
      </c>
      <c r="C1155" s="8">
        <f>I1154</f>
        <v/>
      </c>
      <c r="D1155" s="4">
        <f>SUMIFS('01_異動主檔'!$F:$F,'01_異動主檔'!$B:$B,115,'01_異動主檔'!$D:$D,A1155,'01_異動主檔'!$E:$E,"移入")</f>
        <v/>
      </c>
      <c r="E1155" s="4">
        <f>-SUMIFS('01_異動主檔'!$F:$F,'01_異動主檔'!$B:$B,115,'01_異動主檔'!$D:$D,A1155,'01_異動主檔'!$E:$E,"移出")</f>
        <v/>
      </c>
      <c r="F1155" s="4">
        <f>SUMIFS('01_異動主檔'!$F:$F,'01_異動主檔'!$B:$B,115,'01_異動主檔'!$D:$D,A1155,'01_異動主檔'!$E:$E,"新增")</f>
        <v/>
      </c>
      <c r="G1155" s="4">
        <f>-SUMIFS('01_異動主檔'!$F:$F,'01_異動主檔'!$B:$B,115,'01_異動主檔'!$D:$D,A1155,'01_異動主檔'!$E:$E,"減列")</f>
        <v/>
      </c>
      <c r="H1155" s="4">
        <f>-SUMIFS('01_異動主檔'!$F:$F,'01_異動主檔'!$B:$B,115,'01_異動主檔'!$D:$D,A1155,'01_異動主檔'!$E:$E,"精簡")</f>
        <v/>
      </c>
      <c r="I1155" s="8">
        <f>C1155+D1155+E1155+F1155+G1155+H1155</f>
        <v/>
      </c>
    </row>
    <row r="1156" ht="18" customHeight="1">
      <c r="A1156" s="5" t="inlineStr">
        <is>
          <t>業務組</t>
        </is>
      </c>
      <c r="B1156" s="6" t="n">
        <v>116</v>
      </c>
      <c r="C1156" s="8">
        <f>I1155</f>
        <v/>
      </c>
      <c r="D1156" s="4">
        <f>SUMIFS('01_異動主檔'!$F:$F,'01_異動主檔'!$B:$B,116,'01_異動主檔'!$D:$D,A1156,'01_異動主檔'!$E:$E,"移入")</f>
        <v/>
      </c>
      <c r="E1156" s="4">
        <f>-SUMIFS('01_異動主檔'!$F:$F,'01_異動主檔'!$B:$B,116,'01_異動主檔'!$D:$D,A1156,'01_異動主檔'!$E:$E,"移出")</f>
        <v/>
      </c>
      <c r="F1156" s="4">
        <f>SUMIFS('01_異動主檔'!$F:$F,'01_異動主檔'!$B:$B,116,'01_異動主檔'!$D:$D,A1156,'01_異動主檔'!$E:$E,"新增")</f>
        <v/>
      </c>
      <c r="G1156" s="4">
        <f>-SUMIFS('01_異動主檔'!$F:$F,'01_異動主檔'!$B:$B,116,'01_異動主檔'!$D:$D,A1156,'01_異動主檔'!$E:$E,"減列")</f>
        <v/>
      </c>
      <c r="H1156" s="4">
        <f>-SUMIFS('01_異動主檔'!$F:$F,'01_異動主檔'!$B:$B,116,'01_異動主檔'!$D:$D,A1156,'01_異動主檔'!$E:$E,"精簡")</f>
        <v/>
      </c>
      <c r="I1156" s="8">
        <f>C1156+D1156+E1156+F1156+G1156+H1156</f>
        <v/>
      </c>
    </row>
    <row r="1157" ht="18" customHeight="1">
      <c r="A1157" s="3" t="inlineStr">
        <is>
          <t>業務組</t>
        </is>
      </c>
      <c r="B1157" s="4" t="n">
        <v>117</v>
      </c>
      <c r="C1157" s="8">
        <f>I1156</f>
        <v/>
      </c>
      <c r="D1157" s="4">
        <f>SUMIFS('01_異動主檔'!$F:$F,'01_異動主檔'!$B:$B,117,'01_異動主檔'!$D:$D,A1157,'01_異動主檔'!$E:$E,"移入")</f>
        <v/>
      </c>
      <c r="E1157" s="4">
        <f>-SUMIFS('01_異動主檔'!$F:$F,'01_異動主檔'!$B:$B,117,'01_異動主檔'!$D:$D,A1157,'01_異動主檔'!$E:$E,"移出")</f>
        <v/>
      </c>
      <c r="F1157" s="4">
        <f>SUMIFS('01_異動主檔'!$F:$F,'01_異動主檔'!$B:$B,117,'01_異動主檔'!$D:$D,A1157,'01_異動主檔'!$E:$E,"新增")</f>
        <v/>
      </c>
      <c r="G1157" s="4">
        <f>-SUMIFS('01_異動主檔'!$F:$F,'01_異動主檔'!$B:$B,117,'01_異動主檔'!$D:$D,A1157,'01_異動主檔'!$E:$E,"減列")</f>
        <v/>
      </c>
      <c r="H1157" s="4">
        <f>-SUMIFS('01_異動主檔'!$F:$F,'01_異動主檔'!$B:$B,117,'01_異動主檔'!$D:$D,A1157,'01_異動主檔'!$E:$E,"精簡")</f>
        <v/>
      </c>
      <c r="I1157" s="8">
        <f>C1157+D1157+E1157+F1157+G1157+H1157</f>
        <v/>
      </c>
    </row>
    <row r="1158" ht="18" customHeight="1">
      <c r="A1158" s="5" t="inlineStr">
        <is>
          <t>業務組</t>
        </is>
      </c>
      <c r="B1158" s="6" t="n">
        <v>118</v>
      </c>
      <c r="C1158" s="8">
        <f>I1157</f>
        <v/>
      </c>
      <c r="D1158" s="4">
        <f>SUMIFS('01_異動主檔'!$F:$F,'01_異動主檔'!$B:$B,118,'01_異動主檔'!$D:$D,A1158,'01_異動主檔'!$E:$E,"移入")</f>
        <v/>
      </c>
      <c r="E1158" s="4">
        <f>-SUMIFS('01_異動主檔'!$F:$F,'01_異動主檔'!$B:$B,118,'01_異動主檔'!$D:$D,A1158,'01_異動主檔'!$E:$E,"移出")</f>
        <v/>
      </c>
      <c r="F1158" s="4">
        <f>SUMIFS('01_異動主檔'!$F:$F,'01_異動主檔'!$B:$B,118,'01_異動主檔'!$D:$D,A1158,'01_異動主檔'!$E:$E,"新增")</f>
        <v/>
      </c>
      <c r="G1158" s="4">
        <f>-SUMIFS('01_異動主檔'!$F:$F,'01_異動主檔'!$B:$B,118,'01_異動主檔'!$D:$D,A1158,'01_異動主檔'!$E:$E,"減列")</f>
        <v/>
      </c>
      <c r="H1158" s="4">
        <f>-SUMIFS('01_異動主檔'!$F:$F,'01_異動主檔'!$B:$B,118,'01_異動主檔'!$D:$D,A1158,'01_異動主檔'!$E:$E,"精簡")</f>
        <v/>
      </c>
      <c r="I1158" s="8">
        <f>C1158+D1158+E1158+F1158+G1158+H1158</f>
        <v/>
      </c>
    </row>
    <row r="1159" ht="18" customHeight="1">
      <c r="A1159" s="3" t="inlineStr">
        <is>
          <t>業務組</t>
        </is>
      </c>
      <c r="B1159" s="4" t="n">
        <v>119</v>
      </c>
      <c r="C1159" s="8">
        <f>I1158</f>
        <v/>
      </c>
      <c r="D1159" s="4">
        <f>SUMIFS('01_異動主檔'!$F:$F,'01_異動主檔'!$B:$B,119,'01_異動主檔'!$D:$D,A1159,'01_異動主檔'!$E:$E,"移入")</f>
        <v/>
      </c>
      <c r="E1159" s="4">
        <f>-SUMIFS('01_異動主檔'!$F:$F,'01_異動主檔'!$B:$B,119,'01_異動主檔'!$D:$D,A1159,'01_異動主檔'!$E:$E,"移出")</f>
        <v/>
      </c>
      <c r="F1159" s="4">
        <f>SUMIFS('01_異動主檔'!$F:$F,'01_異動主檔'!$B:$B,119,'01_異動主檔'!$D:$D,A1159,'01_異動主檔'!$E:$E,"新增")</f>
        <v/>
      </c>
      <c r="G1159" s="4">
        <f>-SUMIFS('01_異動主檔'!$F:$F,'01_異動主檔'!$B:$B,119,'01_異動主檔'!$D:$D,A1159,'01_異動主檔'!$E:$E,"減列")</f>
        <v/>
      </c>
      <c r="H1159" s="4">
        <f>-SUMIFS('01_異動主檔'!$F:$F,'01_異動主檔'!$B:$B,119,'01_異動主檔'!$D:$D,A1159,'01_異動主檔'!$E:$E,"精簡")</f>
        <v/>
      </c>
      <c r="I1159" s="8">
        <f>C1159+D1159+E1159+F1159+G1159+H1159</f>
        <v/>
      </c>
    </row>
    <row r="1160" ht="18" customHeight="1">
      <c r="A1160" s="5" t="inlineStr">
        <is>
          <t>業務組</t>
        </is>
      </c>
      <c r="B1160" s="6" t="n">
        <v>120</v>
      </c>
      <c r="C1160" s="8">
        <f>I1159</f>
        <v/>
      </c>
      <c r="D1160" s="4">
        <f>SUMIFS('01_異動主檔'!$F:$F,'01_異動主檔'!$B:$B,120,'01_異動主檔'!$D:$D,A1160,'01_異動主檔'!$E:$E,"移入")</f>
        <v/>
      </c>
      <c r="E1160" s="4">
        <f>-SUMIFS('01_異動主檔'!$F:$F,'01_異動主檔'!$B:$B,120,'01_異動主檔'!$D:$D,A1160,'01_異動主檔'!$E:$E,"移出")</f>
        <v/>
      </c>
      <c r="F1160" s="4">
        <f>SUMIFS('01_異動主檔'!$F:$F,'01_異動主檔'!$B:$B,120,'01_異動主檔'!$D:$D,A1160,'01_異動主檔'!$E:$E,"新增")</f>
        <v/>
      </c>
      <c r="G1160" s="4">
        <f>-SUMIFS('01_異動主檔'!$F:$F,'01_異動主檔'!$B:$B,120,'01_異動主檔'!$D:$D,A1160,'01_異動主檔'!$E:$E,"減列")</f>
        <v/>
      </c>
      <c r="H1160" s="4">
        <f>-SUMIFS('01_異動主檔'!$F:$F,'01_異動主檔'!$B:$B,120,'01_異動主檔'!$D:$D,A1160,'01_異動主檔'!$E:$E,"精簡")</f>
        <v/>
      </c>
      <c r="I1160" s="8">
        <f>C1160+D1160+E1160+F1160+G1160+H1160</f>
        <v/>
      </c>
    </row>
    <row r="1161" ht="18" customHeight="1">
      <c r="A1161" s="3" t="inlineStr">
        <is>
          <t>業務組</t>
        </is>
      </c>
      <c r="B1161" s="4" t="n">
        <v>121</v>
      </c>
      <c r="C1161" s="8">
        <f>I1160</f>
        <v/>
      </c>
      <c r="D1161" s="4">
        <f>SUMIFS('01_異動主檔'!$F:$F,'01_異動主檔'!$B:$B,121,'01_異動主檔'!$D:$D,A1161,'01_異動主檔'!$E:$E,"移入")</f>
        <v/>
      </c>
      <c r="E1161" s="4">
        <f>-SUMIFS('01_異動主檔'!$F:$F,'01_異動主檔'!$B:$B,121,'01_異動主檔'!$D:$D,A1161,'01_異動主檔'!$E:$E,"移出")</f>
        <v/>
      </c>
      <c r="F1161" s="4">
        <f>SUMIFS('01_異動主檔'!$F:$F,'01_異動主檔'!$B:$B,121,'01_異動主檔'!$D:$D,A1161,'01_異動主檔'!$E:$E,"新增")</f>
        <v/>
      </c>
      <c r="G1161" s="4">
        <f>-SUMIFS('01_異動主檔'!$F:$F,'01_異動主檔'!$B:$B,121,'01_異動主檔'!$D:$D,A1161,'01_異動主檔'!$E:$E,"減列")</f>
        <v/>
      </c>
      <c r="H1161" s="4">
        <f>-SUMIFS('01_異動主檔'!$F:$F,'01_異動主檔'!$B:$B,121,'01_異動主檔'!$D:$D,A1161,'01_異動主檔'!$E:$E,"精簡")</f>
        <v/>
      </c>
      <c r="I1161" s="8">
        <f>C1161+D1161+E1161+F1161+G1161+H1161</f>
        <v/>
      </c>
    </row>
    <row r="1162" ht="18" customHeight="1">
      <c r="A1162" s="5" t="inlineStr">
        <is>
          <t>業務組</t>
        </is>
      </c>
      <c r="B1162" s="6" t="n">
        <v>122</v>
      </c>
      <c r="C1162" s="8">
        <f>I1161</f>
        <v/>
      </c>
      <c r="D1162" s="4">
        <f>SUMIFS('01_異動主檔'!$F:$F,'01_異動主檔'!$B:$B,122,'01_異動主檔'!$D:$D,A1162,'01_異動主檔'!$E:$E,"移入")</f>
        <v/>
      </c>
      <c r="E1162" s="4">
        <f>-SUMIFS('01_異動主檔'!$F:$F,'01_異動主檔'!$B:$B,122,'01_異動主檔'!$D:$D,A1162,'01_異動主檔'!$E:$E,"移出")</f>
        <v/>
      </c>
      <c r="F1162" s="4">
        <f>SUMIFS('01_異動主檔'!$F:$F,'01_異動主檔'!$B:$B,122,'01_異動主檔'!$D:$D,A1162,'01_異動主檔'!$E:$E,"新增")</f>
        <v/>
      </c>
      <c r="G1162" s="4">
        <f>-SUMIFS('01_異動主檔'!$F:$F,'01_異動主檔'!$B:$B,122,'01_異動主檔'!$D:$D,A1162,'01_異動主檔'!$E:$E,"減列")</f>
        <v/>
      </c>
      <c r="H1162" s="4">
        <f>-SUMIFS('01_異動主檔'!$F:$F,'01_異動主檔'!$B:$B,122,'01_異動主檔'!$D:$D,A1162,'01_異動主檔'!$E:$E,"精簡")</f>
        <v/>
      </c>
      <c r="I1162" s="8">
        <f>C1162+D1162+E1162+F1162+G1162+H1162</f>
        <v/>
      </c>
    </row>
    <row r="1163" ht="18" customHeight="1">
      <c r="A1163" s="3" t="inlineStr">
        <is>
          <t>業務組</t>
        </is>
      </c>
      <c r="B1163" s="4" t="n">
        <v>123</v>
      </c>
      <c r="C1163" s="8">
        <f>I1162</f>
        <v/>
      </c>
      <c r="D1163" s="4">
        <f>SUMIFS('01_異動主檔'!$F:$F,'01_異動主檔'!$B:$B,123,'01_異動主檔'!$D:$D,A1163,'01_異動主檔'!$E:$E,"移入")</f>
        <v/>
      </c>
      <c r="E1163" s="4">
        <f>-SUMIFS('01_異動主檔'!$F:$F,'01_異動主檔'!$B:$B,123,'01_異動主檔'!$D:$D,A1163,'01_異動主檔'!$E:$E,"移出")</f>
        <v/>
      </c>
      <c r="F1163" s="4">
        <f>SUMIFS('01_異動主檔'!$F:$F,'01_異動主檔'!$B:$B,123,'01_異動主檔'!$D:$D,A1163,'01_異動主檔'!$E:$E,"新增")</f>
        <v/>
      </c>
      <c r="G1163" s="4">
        <f>-SUMIFS('01_異動主檔'!$F:$F,'01_異動主檔'!$B:$B,123,'01_異動主檔'!$D:$D,A1163,'01_異動主檔'!$E:$E,"減列")</f>
        <v/>
      </c>
      <c r="H1163" s="4">
        <f>-SUMIFS('01_異動主檔'!$F:$F,'01_異動主檔'!$B:$B,123,'01_異動主檔'!$D:$D,A1163,'01_異動主檔'!$E:$E,"精簡")</f>
        <v/>
      </c>
      <c r="I1163" s="8">
        <f>C1163+D1163+E1163+F1163+G1163+H1163</f>
        <v/>
      </c>
    </row>
    <row r="1164" ht="18" customHeight="1">
      <c r="A1164" s="5" t="inlineStr">
        <is>
          <t>業務組</t>
        </is>
      </c>
      <c r="B1164" s="6" t="n">
        <v>124</v>
      </c>
      <c r="C1164" s="8">
        <f>I1163</f>
        <v/>
      </c>
      <c r="D1164" s="4">
        <f>SUMIFS('01_異動主檔'!$F:$F,'01_異動主檔'!$B:$B,124,'01_異動主檔'!$D:$D,A1164,'01_異動主檔'!$E:$E,"移入")</f>
        <v/>
      </c>
      <c r="E1164" s="4">
        <f>-SUMIFS('01_異動主檔'!$F:$F,'01_異動主檔'!$B:$B,124,'01_異動主檔'!$D:$D,A1164,'01_異動主檔'!$E:$E,"移出")</f>
        <v/>
      </c>
      <c r="F1164" s="4">
        <f>SUMIFS('01_異動主檔'!$F:$F,'01_異動主檔'!$B:$B,124,'01_異動主檔'!$D:$D,A1164,'01_異動主檔'!$E:$E,"新增")</f>
        <v/>
      </c>
      <c r="G1164" s="4">
        <f>-SUMIFS('01_異動主檔'!$F:$F,'01_異動主檔'!$B:$B,124,'01_異動主檔'!$D:$D,A1164,'01_異動主檔'!$E:$E,"減列")</f>
        <v/>
      </c>
      <c r="H1164" s="4">
        <f>-SUMIFS('01_異動主檔'!$F:$F,'01_異動主檔'!$B:$B,124,'01_異動主檔'!$D:$D,A1164,'01_異動主檔'!$E:$E,"精簡")</f>
        <v/>
      </c>
      <c r="I1164" s="8">
        <f>C1164+D1164+E1164+F1164+G1164+H1164</f>
        <v/>
      </c>
    </row>
    <row r="1165" ht="18" customHeight="1">
      <c r="A1165" s="3" t="inlineStr">
        <is>
          <t>業務組</t>
        </is>
      </c>
      <c r="B1165" s="4" t="n">
        <v>125</v>
      </c>
      <c r="C1165" s="8">
        <f>I1164</f>
        <v/>
      </c>
      <c r="D1165" s="4">
        <f>SUMIFS('01_異動主檔'!$F:$F,'01_異動主檔'!$B:$B,125,'01_異動主檔'!$D:$D,A1165,'01_異動主檔'!$E:$E,"移入")</f>
        <v/>
      </c>
      <c r="E1165" s="4">
        <f>-SUMIFS('01_異動主檔'!$F:$F,'01_異動主檔'!$B:$B,125,'01_異動主檔'!$D:$D,A1165,'01_異動主檔'!$E:$E,"移出")</f>
        <v/>
      </c>
      <c r="F1165" s="4">
        <f>SUMIFS('01_異動主檔'!$F:$F,'01_異動主檔'!$B:$B,125,'01_異動主檔'!$D:$D,A1165,'01_異動主檔'!$E:$E,"新增")</f>
        <v/>
      </c>
      <c r="G1165" s="4">
        <f>-SUMIFS('01_異動主檔'!$F:$F,'01_異動主檔'!$B:$B,125,'01_異動主檔'!$D:$D,A1165,'01_異動主檔'!$E:$E,"減列")</f>
        <v/>
      </c>
      <c r="H1165" s="4">
        <f>-SUMIFS('01_異動主檔'!$F:$F,'01_異動主檔'!$B:$B,125,'01_異動主檔'!$D:$D,A1165,'01_異動主檔'!$E:$E,"精簡")</f>
        <v/>
      </c>
      <c r="I1165" s="8">
        <f>C1165+D1165+E1165+F1165+G1165+H1165</f>
        <v/>
      </c>
    </row>
    <row r="1166" ht="18" customHeight="1">
      <c r="A1166" s="5" t="inlineStr">
        <is>
          <t>技術組</t>
        </is>
      </c>
      <c r="B1166" s="6" t="n">
        <v>99</v>
      </c>
      <c r="C1166" s="8">
        <f>'02_年初員額設定'!B48</f>
        <v/>
      </c>
      <c r="D1166" s="4">
        <f>SUMIFS('01_異動主檔'!$F:$F,'01_異動主檔'!$B:$B,99,'01_異動主檔'!$D:$D,A1166,'01_異動主檔'!$E:$E,"移入")</f>
        <v/>
      </c>
      <c r="E1166" s="4">
        <f>-SUMIFS('01_異動主檔'!$F:$F,'01_異動主檔'!$B:$B,99,'01_異動主檔'!$D:$D,A1166,'01_異動主檔'!$E:$E,"移出")</f>
        <v/>
      </c>
      <c r="F1166" s="4">
        <f>SUMIFS('01_異動主檔'!$F:$F,'01_異動主檔'!$B:$B,99,'01_異動主檔'!$D:$D,A1166,'01_異動主檔'!$E:$E,"新增")</f>
        <v/>
      </c>
      <c r="G1166" s="4">
        <f>-SUMIFS('01_異動主檔'!$F:$F,'01_異動主檔'!$B:$B,99,'01_異動主檔'!$D:$D,A1166,'01_異動主檔'!$E:$E,"減列")</f>
        <v/>
      </c>
      <c r="H1166" s="4">
        <f>-SUMIFS('01_異動主檔'!$F:$F,'01_異動主檔'!$B:$B,99,'01_異動主檔'!$D:$D,A1166,'01_異動主檔'!$E:$E,"精簡")</f>
        <v/>
      </c>
      <c r="I1166" s="8">
        <f>C1166+D1166+E1166+F1166+G1166+H1166</f>
        <v/>
      </c>
    </row>
    <row r="1167" ht="18" customHeight="1">
      <c r="A1167" s="3" t="inlineStr">
        <is>
          <t>技術組</t>
        </is>
      </c>
      <c r="B1167" s="4" t="n">
        <v>100</v>
      </c>
      <c r="C1167" s="8">
        <f>I1166</f>
        <v/>
      </c>
      <c r="D1167" s="4">
        <f>SUMIFS('01_異動主檔'!$F:$F,'01_異動主檔'!$B:$B,100,'01_異動主檔'!$D:$D,A1167,'01_異動主檔'!$E:$E,"移入")</f>
        <v/>
      </c>
      <c r="E1167" s="4">
        <f>-SUMIFS('01_異動主檔'!$F:$F,'01_異動主檔'!$B:$B,100,'01_異動主檔'!$D:$D,A1167,'01_異動主檔'!$E:$E,"移出")</f>
        <v/>
      </c>
      <c r="F1167" s="4">
        <f>SUMIFS('01_異動主檔'!$F:$F,'01_異動主檔'!$B:$B,100,'01_異動主檔'!$D:$D,A1167,'01_異動主檔'!$E:$E,"新增")</f>
        <v/>
      </c>
      <c r="G1167" s="4">
        <f>-SUMIFS('01_異動主檔'!$F:$F,'01_異動主檔'!$B:$B,100,'01_異動主檔'!$D:$D,A1167,'01_異動主檔'!$E:$E,"減列")</f>
        <v/>
      </c>
      <c r="H1167" s="4">
        <f>-SUMIFS('01_異動主檔'!$F:$F,'01_異動主檔'!$B:$B,100,'01_異動主檔'!$D:$D,A1167,'01_異動主檔'!$E:$E,"精簡")</f>
        <v/>
      </c>
      <c r="I1167" s="8">
        <f>C1167+D1167+E1167+F1167+G1167+H1167</f>
        <v/>
      </c>
    </row>
    <row r="1168" ht="18" customHeight="1">
      <c r="A1168" s="5" t="inlineStr">
        <is>
          <t>技術組</t>
        </is>
      </c>
      <c r="B1168" s="6" t="n">
        <v>101</v>
      </c>
      <c r="C1168" s="8">
        <f>I1167</f>
        <v/>
      </c>
      <c r="D1168" s="4">
        <f>SUMIFS('01_異動主檔'!$F:$F,'01_異動主檔'!$B:$B,101,'01_異動主檔'!$D:$D,A1168,'01_異動主檔'!$E:$E,"移入")</f>
        <v/>
      </c>
      <c r="E1168" s="4">
        <f>-SUMIFS('01_異動主檔'!$F:$F,'01_異動主檔'!$B:$B,101,'01_異動主檔'!$D:$D,A1168,'01_異動主檔'!$E:$E,"移出")</f>
        <v/>
      </c>
      <c r="F1168" s="4">
        <f>SUMIFS('01_異動主檔'!$F:$F,'01_異動主檔'!$B:$B,101,'01_異動主檔'!$D:$D,A1168,'01_異動主檔'!$E:$E,"新增")</f>
        <v/>
      </c>
      <c r="G1168" s="4">
        <f>-SUMIFS('01_異動主檔'!$F:$F,'01_異動主檔'!$B:$B,101,'01_異動主檔'!$D:$D,A1168,'01_異動主檔'!$E:$E,"減列")</f>
        <v/>
      </c>
      <c r="H1168" s="4">
        <f>-SUMIFS('01_異動主檔'!$F:$F,'01_異動主檔'!$B:$B,101,'01_異動主檔'!$D:$D,A1168,'01_異動主檔'!$E:$E,"精簡")</f>
        <v/>
      </c>
      <c r="I1168" s="8">
        <f>C1168+D1168+E1168+F1168+G1168+H1168</f>
        <v/>
      </c>
    </row>
    <row r="1169" ht="18" customHeight="1">
      <c r="A1169" s="3" t="inlineStr">
        <is>
          <t>技術組</t>
        </is>
      </c>
      <c r="B1169" s="4" t="n">
        <v>102</v>
      </c>
      <c r="C1169" s="8">
        <f>I1168</f>
        <v/>
      </c>
      <c r="D1169" s="4">
        <f>SUMIFS('01_異動主檔'!$F:$F,'01_異動主檔'!$B:$B,102,'01_異動主檔'!$D:$D,A1169,'01_異動主檔'!$E:$E,"移入")</f>
        <v/>
      </c>
      <c r="E1169" s="4">
        <f>-SUMIFS('01_異動主檔'!$F:$F,'01_異動主檔'!$B:$B,102,'01_異動主檔'!$D:$D,A1169,'01_異動主檔'!$E:$E,"移出")</f>
        <v/>
      </c>
      <c r="F1169" s="4">
        <f>SUMIFS('01_異動主檔'!$F:$F,'01_異動主檔'!$B:$B,102,'01_異動主檔'!$D:$D,A1169,'01_異動主檔'!$E:$E,"新增")</f>
        <v/>
      </c>
      <c r="G1169" s="4">
        <f>-SUMIFS('01_異動主檔'!$F:$F,'01_異動主檔'!$B:$B,102,'01_異動主檔'!$D:$D,A1169,'01_異動主檔'!$E:$E,"減列")</f>
        <v/>
      </c>
      <c r="H1169" s="4">
        <f>-SUMIFS('01_異動主檔'!$F:$F,'01_異動主檔'!$B:$B,102,'01_異動主檔'!$D:$D,A1169,'01_異動主檔'!$E:$E,"精簡")</f>
        <v/>
      </c>
      <c r="I1169" s="8">
        <f>C1169+D1169+E1169+F1169+G1169+H1169</f>
        <v/>
      </c>
    </row>
    <row r="1170" ht="18" customHeight="1">
      <c r="A1170" s="5" t="inlineStr">
        <is>
          <t>技術組</t>
        </is>
      </c>
      <c r="B1170" s="6" t="n">
        <v>103</v>
      </c>
      <c r="C1170" s="8">
        <f>I1169</f>
        <v/>
      </c>
      <c r="D1170" s="4">
        <f>SUMIFS('01_異動主檔'!$F:$F,'01_異動主檔'!$B:$B,103,'01_異動主檔'!$D:$D,A1170,'01_異動主檔'!$E:$E,"移入")</f>
        <v/>
      </c>
      <c r="E1170" s="4">
        <f>-SUMIFS('01_異動主檔'!$F:$F,'01_異動主檔'!$B:$B,103,'01_異動主檔'!$D:$D,A1170,'01_異動主檔'!$E:$E,"移出")</f>
        <v/>
      </c>
      <c r="F1170" s="4">
        <f>SUMIFS('01_異動主檔'!$F:$F,'01_異動主檔'!$B:$B,103,'01_異動主檔'!$D:$D,A1170,'01_異動主檔'!$E:$E,"新增")</f>
        <v/>
      </c>
      <c r="G1170" s="4">
        <f>-SUMIFS('01_異動主檔'!$F:$F,'01_異動主檔'!$B:$B,103,'01_異動主檔'!$D:$D,A1170,'01_異動主檔'!$E:$E,"減列")</f>
        <v/>
      </c>
      <c r="H1170" s="4">
        <f>-SUMIFS('01_異動主檔'!$F:$F,'01_異動主檔'!$B:$B,103,'01_異動主檔'!$D:$D,A1170,'01_異動主檔'!$E:$E,"精簡")</f>
        <v/>
      </c>
      <c r="I1170" s="8">
        <f>C1170+D1170+E1170+F1170+G1170+H1170</f>
        <v/>
      </c>
    </row>
    <row r="1171" ht="18" customHeight="1">
      <c r="A1171" s="3" t="inlineStr">
        <is>
          <t>技術組</t>
        </is>
      </c>
      <c r="B1171" s="4" t="n">
        <v>104</v>
      </c>
      <c r="C1171" s="8">
        <f>I1170</f>
        <v/>
      </c>
      <c r="D1171" s="4">
        <f>SUMIFS('01_異動主檔'!$F:$F,'01_異動主檔'!$B:$B,104,'01_異動主檔'!$D:$D,A1171,'01_異動主檔'!$E:$E,"移入")</f>
        <v/>
      </c>
      <c r="E1171" s="4">
        <f>-SUMIFS('01_異動主檔'!$F:$F,'01_異動主檔'!$B:$B,104,'01_異動主檔'!$D:$D,A1171,'01_異動主檔'!$E:$E,"移出")</f>
        <v/>
      </c>
      <c r="F1171" s="4">
        <f>SUMIFS('01_異動主檔'!$F:$F,'01_異動主檔'!$B:$B,104,'01_異動主檔'!$D:$D,A1171,'01_異動主檔'!$E:$E,"新增")</f>
        <v/>
      </c>
      <c r="G1171" s="4">
        <f>-SUMIFS('01_異動主檔'!$F:$F,'01_異動主檔'!$B:$B,104,'01_異動主檔'!$D:$D,A1171,'01_異動主檔'!$E:$E,"減列")</f>
        <v/>
      </c>
      <c r="H1171" s="4">
        <f>-SUMIFS('01_異動主檔'!$F:$F,'01_異動主檔'!$B:$B,104,'01_異動主檔'!$D:$D,A1171,'01_異動主檔'!$E:$E,"精簡")</f>
        <v/>
      </c>
      <c r="I1171" s="8">
        <f>C1171+D1171+E1171+F1171+G1171+H1171</f>
        <v/>
      </c>
    </row>
    <row r="1172" ht="18" customHeight="1">
      <c r="A1172" s="5" t="inlineStr">
        <is>
          <t>技術組</t>
        </is>
      </c>
      <c r="B1172" s="6" t="n">
        <v>105</v>
      </c>
      <c r="C1172" s="8">
        <f>I1171</f>
        <v/>
      </c>
      <c r="D1172" s="4">
        <f>SUMIFS('01_異動主檔'!$F:$F,'01_異動主檔'!$B:$B,105,'01_異動主檔'!$D:$D,A1172,'01_異動主檔'!$E:$E,"移入")</f>
        <v/>
      </c>
      <c r="E1172" s="4">
        <f>-SUMIFS('01_異動主檔'!$F:$F,'01_異動主檔'!$B:$B,105,'01_異動主檔'!$D:$D,A1172,'01_異動主檔'!$E:$E,"移出")</f>
        <v/>
      </c>
      <c r="F1172" s="4">
        <f>SUMIFS('01_異動主檔'!$F:$F,'01_異動主檔'!$B:$B,105,'01_異動主檔'!$D:$D,A1172,'01_異動主檔'!$E:$E,"新增")</f>
        <v/>
      </c>
      <c r="G1172" s="4">
        <f>-SUMIFS('01_異動主檔'!$F:$F,'01_異動主檔'!$B:$B,105,'01_異動主檔'!$D:$D,A1172,'01_異動主檔'!$E:$E,"減列")</f>
        <v/>
      </c>
      <c r="H1172" s="4">
        <f>-SUMIFS('01_異動主檔'!$F:$F,'01_異動主檔'!$B:$B,105,'01_異動主檔'!$D:$D,A1172,'01_異動主檔'!$E:$E,"精簡")</f>
        <v/>
      </c>
      <c r="I1172" s="8">
        <f>C1172+D1172+E1172+F1172+G1172+H1172</f>
        <v/>
      </c>
    </row>
    <row r="1173" ht="18" customHeight="1">
      <c r="A1173" s="3" t="inlineStr">
        <is>
          <t>技術組</t>
        </is>
      </c>
      <c r="B1173" s="4" t="n">
        <v>106</v>
      </c>
      <c r="C1173" s="8">
        <f>I1172</f>
        <v/>
      </c>
      <c r="D1173" s="4">
        <f>SUMIFS('01_異動主檔'!$F:$F,'01_異動主檔'!$B:$B,106,'01_異動主檔'!$D:$D,A1173,'01_異動主檔'!$E:$E,"移入")</f>
        <v/>
      </c>
      <c r="E1173" s="4">
        <f>-SUMIFS('01_異動主檔'!$F:$F,'01_異動主檔'!$B:$B,106,'01_異動主檔'!$D:$D,A1173,'01_異動主檔'!$E:$E,"移出")</f>
        <v/>
      </c>
      <c r="F1173" s="4">
        <f>SUMIFS('01_異動主檔'!$F:$F,'01_異動主檔'!$B:$B,106,'01_異動主檔'!$D:$D,A1173,'01_異動主檔'!$E:$E,"新增")</f>
        <v/>
      </c>
      <c r="G1173" s="4">
        <f>-SUMIFS('01_異動主檔'!$F:$F,'01_異動主檔'!$B:$B,106,'01_異動主檔'!$D:$D,A1173,'01_異動主檔'!$E:$E,"減列")</f>
        <v/>
      </c>
      <c r="H1173" s="4">
        <f>-SUMIFS('01_異動主檔'!$F:$F,'01_異動主檔'!$B:$B,106,'01_異動主檔'!$D:$D,A1173,'01_異動主檔'!$E:$E,"精簡")</f>
        <v/>
      </c>
      <c r="I1173" s="8">
        <f>C1173+D1173+E1173+F1173+G1173+H1173</f>
        <v/>
      </c>
    </row>
    <row r="1174" ht="18" customHeight="1">
      <c r="A1174" s="5" t="inlineStr">
        <is>
          <t>技術組</t>
        </is>
      </c>
      <c r="B1174" s="6" t="n">
        <v>107</v>
      </c>
      <c r="C1174" s="8">
        <f>I1173</f>
        <v/>
      </c>
      <c r="D1174" s="4">
        <f>SUMIFS('01_異動主檔'!$F:$F,'01_異動主檔'!$B:$B,107,'01_異動主檔'!$D:$D,A1174,'01_異動主檔'!$E:$E,"移入")</f>
        <v/>
      </c>
      <c r="E1174" s="4">
        <f>-SUMIFS('01_異動主檔'!$F:$F,'01_異動主檔'!$B:$B,107,'01_異動主檔'!$D:$D,A1174,'01_異動主檔'!$E:$E,"移出")</f>
        <v/>
      </c>
      <c r="F1174" s="4">
        <f>SUMIFS('01_異動主檔'!$F:$F,'01_異動主檔'!$B:$B,107,'01_異動主檔'!$D:$D,A1174,'01_異動主檔'!$E:$E,"新增")</f>
        <v/>
      </c>
      <c r="G1174" s="4">
        <f>-SUMIFS('01_異動主檔'!$F:$F,'01_異動主檔'!$B:$B,107,'01_異動主檔'!$D:$D,A1174,'01_異動主檔'!$E:$E,"減列")</f>
        <v/>
      </c>
      <c r="H1174" s="4">
        <f>-SUMIFS('01_異動主檔'!$F:$F,'01_異動主檔'!$B:$B,107,'01_異動主檔'!$D:$D,A1174,'01_異動主檔'!$E:$E,"精簡")</f>
        <v/>
      </c>
      <c r="I1174" s="8">
        <f>C1174+D1174+E1174+F1174+G1174+H1174</f>
        <v/>
      </c>
    </row>
    <row r="1175" ht="18" customHeight="1">
      <c r="A1175" s="3" t="inlineStr">
        <is>
          <t>技術組</t>
        </is>
      </c>
      <c r="B1175" s="4" t="n">
        <v>108</v>
      </c>
      <c r="C1175" s="8">
        <f>I1174</f>
        <v/>
      </c>
      <c r="D1175" s="4">
        <f>SUMIFS('01_異動主檔'!$F:$F,'01_異動主檔'!$B:$B,108,'01_異動主檔'!$D:$D,A1175,'01_異動主檔'!$E:$E,"移入")</f>
        <v/>
      </c>
      <c r="E1175" s="4">
        <f>-SUMIFS('01_異動主檔'!$F:$F,'01_異動主檔'!$B:$B,108,'01_異動主檔'!$D:$D,A1175,'01_異動主檔'!$E:$E,"移出")</f>
        <v/>
      </c>
      <c r="F1175" s="4">
        <f>SUMIFS('01_異動主檔'!$F:$F,'01_異動主檔'!$B:$B,108,'01_異動主檔'!$D:$D,A1175,'01_異動主檔'!$E:$E,"新增")</f>
        <v/>
      </c>
      <c r="G1175" s="4">
        <f>-SUMIFS('01_異動主檔'!$F:$F,'01_異動主檔'!$B:$B,108,'01_異動主檔'!$D:$D,A1175,'01_異動主檔'!$E:$E,"減列")</f>
        <v/>
      </c>
      <c r="H1175" s="4">
        <f>-SUMIFS('01_異動主檔'!$F:$F,'01_異動主檔'!$B:$B,108,'01_異動主檔'!$D:$D,A1175,'01_異動主檔'!$E:$E,"精簡")</f>
        <v/>
      </c>
      <c r="I1175" s="8">
        <f>C1175+D1175+E1175+F1175+G1175+H1175</f>
        <v/>
      </c>
    </row>
    <row r="1176" ht="18" customHeight="1">
      <c r="A1176" s="5" t="inlineStr">
        <is>
          <t>技術組</t>
        </is>
      </c>
      <c r="B1176" s="6" t="n">
        <v>109</v>
      </c>
      <c r="C1176" s="8">
        <f>I1175</f>
        <v/>
      </c>
      <c r="D1176" s="4">
        <f>SUMIFS('01_異動主檔'!$F:$F,'01_異動主檔'!$B:$B,109,'01_異動主檔'!$D:$D,A1176,'01_異動主檔'!$E:$E,"移入")</f>
        <v/>
      </c>
      <c r="E1176" s="4">
        <f>-SUMIFS('01_異動主檔'!$F:$F,'01_異動主檔'!$B:$B,109,'01_異動主檔'!$D:$D,A1176,'01_異動主檔'!$E:$E,"移出")</f>
        <v/>
      </c>
      <c r="F1176" s="4">
        <f>SUMIFS('01_異動主檔'!$F:$F,'01_異動主檔'!$B:$B,109,'01_異動主檔'!$D:$D,A1176,'01_異動主檔'!$E:$E,"新增")</f>
        <v/>
      </c>
      <c r="G1176" s="4">
        <f>-SUMIFS('01_異動主檔'!$F:$F,'01_異動主檔'!$B:$B,109,'01_異動主檔'!$D:$D,A1176,'01_異動主檔'!$E:$E,"減列")</f>
        <v/>
      </c>
      <c r="H1176" s="4">
        <f>-SUMIFS('01_異動主檔'!$F:$F,'01_異動主檔'!$B:$B,109,'01_異動主檔'!$D:$D,A1176,'01_異動主檔'!$E:$E,"精簡")</f>
        <v/>
      </c>
      <c r="I1176" s="8">
        <f>C1176+D1176+E1176+F1176+G1176+H1176</f>
        <v/>
      </c>
    </row>
    <row r="1177" ht="18" customHeight="1">
      <c r="A1177" s="3" t="inlineStr">
        <is>
          <t>技術組</t>
        </is>
      </c>
      <c r="B1177" s="4" t="n">
        <v>110</v>
      </c>
      <c r="C1177" s="8">
        <f>I1176</f>
        <v/>
      </c>
      <c r="D1177" s="4">
        <f>SUMIFS('01_異動主檔'!$F:$F,'01_異動主檔'!$B:$B,110,'01_異動主檔'!$D:$D,A1177,'01_異動主檔'!$E:$E,"移入")</f>
        <v/>
      </c>
      <c r="E1177" s="4">
        <f>-SUMIFS('01_異動主檔'!$F:$F,'01_異動主檔'!$B:$B,110,'01_異動主檔'!$D:$D,A1177,'01_異動主檔'!$E:$E,"移出")</f>
        <v/>
      </c>
      <c r="F1177" s="4">
        <f>SUMIFS('01_異動主檔'!$F:$F,'01_異動主檔'!$B:$B,110,'01_異動主檔'!$D:$D,A1177,'01_異動主檔'!$E:$E,"新增")</f>
        <v/>
      </c>
      <c r="G1177" s="4">
        <f>-SUMIFS('01_異動主檔'!$F:$F,'01_異動主檔'!$B:$B,110,'01_異動主檔'!$D:$D,A1177,'01_異動主檔'!$E:$E,"減列")</f>
        <v/>
      </c>
      <c r="H1177" s="4">
        <f>-SUMIFS('01_異動主檔'!$F:$F,'01_異動主檔'!$B:$B,110,'01_異動主檔'!$D:$D,A1177,'01_異動主檔'!$E:$E,"精簡")</f>
        <v/>
      </c>
      <c r="I1177" s="8">
        <f>C1177+D1177+E1177+F1177+G1177+H1177</f>
        <v/>
      </c>
    </row>
    <row r="1178" ht="18" customHeight="1">
      <c r="A1178" s="5" t="inlineStr">
        <is>
          <t>技術組</t>
        </is>
      </c>
      <c r="B1178" s="6" t="n">
        <v>111</v>
      </c>
      <c r="C1178" s="8">
        <f>I1177</f>
        <v/>
      </c>
      <c r="D1178" s="4">
        <f>SUMIFS('01_異動主檔'!$F:$F,'01_異動主檔'!$B:$B,111,'01_異動主檔'!$D:$D,A1178,'01_異動主檔'!$E:$E,"移入")</f>
        <v/>
      </c>
      <c r="E1178" s="4">
        <f>-SUMIFS('01_異動主檔'!$F:$F,'01_異動主檔'!$B:$B,111,'01_異動主檔'!$D:$D,A1178,'01_異動主檔'!$E:$E,"移出")</f>
        <v/>
      </c>
      <c r="F1178" s="4">
        <f>SUMIFS('01_異動主檔'!$F:$F,'01_異動主檔'!$B:$B,111,'01_異動主檔'!$D:$D,A1178,'01_異動主檔'!$E:$E,"新增")</f>
        <v/>
      </c>
      <c r="G1178" s="4">
        <f>-SUMIFS('01_異動主檔'!$F:$F,'01_異動主檔'!$B:$B,111,'01_異動主檔'!$D:$D,A1178,'01_異動主檔'!$E:$E,"減列")</f>
        <v/>
      </c>
      <c r="H1178" s="4">
        <f>-SUMIFS('01_異動主檔'!$F:$F,'01_異動主檔'!$B:$B,111,'01_異動主檔'!$D:$D,A1178,'01_異動主檔'!$E:$E,"精簡")</f>
        <v/>
      </c>
      <c r="I1178" s="8">
        <f>C1178+D1178+E1178+F1178+G1178+H1178</f>
        <v/>
      </c>
    </row>
    <row r="1179" ht="18" customHeight="1">
      <c r="A1179" s="3" t="inlineStr">
        <is>
          <t>技術組</t>
        </is>
      </c>
      <c r="B1179" s="4" t="n">
        <v>112</v>
      </c>
      <c r="C1179" s="8">
        <f>I1178</f>
        <v/>
      </c>
      <c r="D1179" s="4">
        <f>SUMIFS('01_異動主檔'!$F:$F,'01_異動主檔'!$B:$B,112,'01_異動主檔'!$D:$D,A1179,'01_異動主檔'!$E:$E,"移入")</f>
        <v/>
      </c>
      <c r="E1179" s="4">
        <f>-SUMIFS('01_異動主檔'!$F:$F,'01_異動主檔'!$B:$B,112,'01_異動主檔'!$D:$D,A1179,'01_異動主檔'!$E:$E,"移出")</f>
        <v/>
      </c>
      <c r="F1179" s="4">
        <f>SUMIFS('01_異動主檔'!$F:$F,'01_異動主檔'!$B:$B,112,'01_異動主檔'!$D:$D,A1179,'01_異動主檔'!$E:$E,"新增")</f>
        <v/>
      </c>
      <c r="G1179" s="4">
        <f>-SUMIFS('01_異動主檔'!$F:$F,'01_異動主檔'!$B:$B,112,'01_異動主檔'!$D:$D,A1179,'01_異動主檔'!$E:$E,"減列")</f>
        <v/>
      </c>
      <c r="H1179" s="4">
        <f>-SUMIFS('01_異動主檔'!$F:$F,'01_異動主檔'!$B:$B,112,'01_異動主檔'!$D:$D,A1179,'01_異動主檔'!$E:$E,"精簡")</f>
        <v/>
      </c>
      <c r="I1179" s="8">
        <f>C1179+D1179+E1179+F1179+G1179+H1179</f>
        <v/>
      </c>
    </row>
    <row r="1180" ht="18" customHeight="1">
      <c r="A1180" s="5" t="inlineStr">
        <is>
          <t>技術組</t>
        </is>
      </c>
      <c r="B1180" s="6" t="n">
        <v>113</v>
      </c>
      <c r="C1180" s="8">
        <f>I1179</f>
        <v/>
      </c>
      <c r="D1180" s="4">
        <f>SUMIFS('01_異動主檔'!$F:$F,'01_異動主檔'!$B:$B,113,'01_異動主檔'!$D:$D,A1180,'01_異動主檔'!$E:$E,"移入")</f>
        <v/>
      </c>
      <c r="E1180" s="4">
        <f>-SUMIFS('01_異動主檔'!$F:$F,'01_異動主檔'!$B:$B,113,'01_異動主檔'!$D:$D,A1180,'01_異動主檔'!$E:$E,"移出")</f>
        <v/>
      </c>
      <c r="F1180" s="4">
        <f>SUMIFS('01_異動主檔'!$F:$F,'01_異動主檔'!$B:$B,113,'01_異動主檔'!$D:$D,A1180,'01_異動主檔'!$E:$E,"新增")</f>
        <v/>
      </c>
      <c r="G1180" s="4">
        <f>-SUMIFS('01_異動主檔'!$F:$F,'01_異動主檔'!$B:$B,113,'01_異動主檔'!$D:$D,A1180,'01_異動主檔'!$E:$E,"減列")</f>
        <v/>
      </c>
      <c r="H1180" s="4">
        <f>-SUMIFS('01_異動主檔'!$F:$F,'01_異動主檔'!$B:$B,113,'01_異動主檔'!$D:$D,A1180,'01_異動主檔'!$E:$E,"精簡")</f>
        <v/>
      </c>
      <c r="I1180" s="8">
        <f>C1180+D1180+E1180+F1180+G1180+H1180</f>
        <v/>
      </c>
    </row>
    <row r="1181" ht="18" customHeight="1">
      <c r="A1181" s="3" t="inlineStr">
        <is>
          <t>技術組</t>
        </is>
      </c>
      <c r="B1181" s="4" t="n">
        <v>114</v>
      </c>
      <c r="C1181" s="8">
        <f>I1180</f>
        <v/>
      </c>
      <c r="D1181" s="4">
        <f>SUMIFS('01_異動主檔'!$F:$F,'01_異動主檔'!$B:$B,114,'01_異動主檔'!$D:$D,A1181,'01_異動主檔'!$E:$E,"移入")</f>
        <v/>
      </c>
      <c r="E1181" s="4">
        <f>-SUMIFS('01_異動主檔'!$F:$F,'01_異動主檔'!$B:$B,114,'01_異動主檔'!$D:$D,A1181,'01_異動主檔'!$E:$E,"移出")</f>
        <v/>
      </c>
      <c r="F1181" s="4">
        <f>SUMIFS('01_異動主檔'!$F:$F,'01_異動主檔'!$B:$B,114,'01_異動主檔'!$D:$D,A1181,'01_異動主檔'!$E:$E,"新增")</f>
        <v/>
      </c>
      <c r="G1181" s="4">
        <f>-SUMIFS('01_異動主檔'!$F:$F,'01_異動主檔'!$B:$B,114,'01_異動主檔'!$D:$D,A1181,'01_異動主檔'!$E:$E,"減列")</f>
        <v/>
      </c>
      <c r="H1181" s="4">
        <f>-SUMIFS('01_異動主檔'!$F:$F,'01_異動主檔'!$B:$B,114,'01_異動主檔'!$D:$D,A1181,'01_異動主檔'!$E:$E,"精簡")</f>
        <v/>
      </c>
      <c r="I1181" s="8">
        <f>C1181+D1181+E1181+F1181+G1181+H1181</f>
        <v/>
      </c>
    </row>
    <row r="1182" ht="18" customHeight="1">
      <c r="A1182" s="5" t="inlineStr">
        <is>
          <t>技術組</t>
        </is>
      </c>
      <c r="B1182" s="6" t="n">
        <v>115</v>
      </c>
      <c r="C1182" s="8">
        <f>I1181</f>
        <v/>
      </c>
      <c r="D1182" s="4">
        <f>SUMIFS('01_異動主檔'!$F:$F,'01_異動主檔'!$B:$B,115,'01_異動主檔'!$D:$D,A1182,'01_異動主檔'!$E:$E,"移入")</f>
        <v/>
      </c>
      <c r="E1182" s="4">
        <f>-SUMIFS('01_異動主檔'!$F:$F,'01_異動主檔'!$B:$B,115,'01_異動主檔'!$D:$D,A1182,'01_異動主檔'!$E:$E,"移出")</f>
        <v/>
      </c>
      <c r="F1182" s="4">
        <f>SUMIFS('01_異動主檔'!$F:$F,'01_異動主檔'!$B:$B,115,'01_異動主檔'!$D:$D,A1182,'01_異動主檔'!$E:$E,"新增")</f>
        <v/>
      </c>
      <c r="G1182" s="4">
        <f>-SUMIFS('01_異動主檔'!$F:$F,'01_異動主檔'!$B:$B,115,'01_異動主檔'!$D:$D,A1182,'01_異動主檔'!$E:$E,"減列")</f>
        <v/>
      </c>
      <c r="H1182" s="4">
        <f>-SUMIFS('01_異動主檔'!$F:$F,'01_異動主檔'!$B:$B,115,'01_異動主檔'!$D:$D,A1182,'01_異動主檔'!$E:$E,"精簡")</f>
        <v/>
      </c>
      <c r="I1182" s="8">
        <f>C1182+D1182+E1182+F1182+G1182+H1182</f>
        <v/>
      </c>
    </row>
    <row r="1183" ht="18" customHeight="1">
      <c r="A1183" s="3" t="inlineStr">
        <is>
          <t>技術組</t>
        </is>
      </c>
      <c r="B1183" s="4" t="n">
        <v>116</v>
      </c>
      <c r="C1183" s="8">
        <f>I1182</f>
        <v/>
      </c>
      <c r="D1183" s="4">
        <f>SUMIFS('01_異動主檔'!$F:$F,'01_異動主檔'!$B:$B,116,'01_異動主檔'!$D:$D,A1183,'01_異動主檔'!$E:$E,"移入")</f>
        <v/>
      </c>
      <c r="E1183" s="4">
        <f>-SUMIFS('01_異動主檔'!$F:$F,'01_異動主檔'!$B:$B,116,'01_異動主檔'!$D:$D,A1183,'01_異動主檔'!$E:$E,"移出")</f>
        <v/>
      </c>
      <c r="F1183" s="4">
        <f>SUMIFS('01_異動主檔'!$F:$F,'01_異動主檔'!$B:$B,116,'01_異動主檔'!$D:$D,A1183,'01_異動主檔'!$E:$E,"新增")</f>
        <v/>
      </c>
      <c r="G1183" s="4">
        <f>-SUMIFS('01_異動主檔'!$F:$F,'01_異動主檔'!$B:$B,116,'01_異動主檔'!$D:$D,A1183,'01_異動主檔'!$E:$E,"減列")</f>
        <v/>
      </c>
      <c r="H1183" s="4">
        <f>-SUMIFS('01_異動主檔'!$F:$F,'01_異動主檔'!$B:$B,116,'01_異動主檔'!$D:$D,A1183,'01_異動主檔'!$E:$E,"精簡")</f>
        <v/>
      </c>
      <c r="I1183" s="8">
        <f>C1183+D1183+E1183+F1183+G1183+H1183</f>
        <v/>
      </c>
    </row>
    <row r="1184" ht="18" customHeight="1">
      <c r="A1184" s="5" t="inlineStr">
        <is>
          <t>技術組</t>
        </is>
      </c>
      <c r="B1184" s="6" t="n">
        <v>117</v>
      </c>
      <c r="C1184" s="8">
        <f>I1183</f>
        <v/>
      </c>
      <c r="D1184" s="4">
        <f>SUMIFS('01_異動主檔'!$F:$F,'01_異動主檔'!$B:$B,117,'01_異動主檔'!$D:$D,A1184,'01_異動主檔'!$E:$E,"移入")</f>
        <v/>
      </c>
      <c r="E1184" s="4">
        <f>-SUMIFS('01_異動主檔'!$F:$F,'01_異動主檔'!$B:$B,117,'01_異動主檔'!$D:$D,A1184,'01_異動主檔'!$E:$E,"移出")</f>
        <v/>
      </c>
      <c r="F1184" s="4">
        <f>SUMIFS('01_異動主檔'!$F:$F,'01_異動主檔'!$B:$B,117,'01_異動主檔'!$D:$D,A1184,'01_異動主檔'!$E:$E,"新增")</f>
        <v/>
      </c>
      <c r="G1184" s="4">
        <f>-SUMIFS('01_異動主檔'!$F:$F,'01_異動主檔'!$B:$B,117,'01_異動主檔'!$D:$D,A1184,'01_異動主檔'!$E:$E,"減列")</f>
        <v/>
      </c>
      <c r="H1184" s="4">
        <f>-SUMIFS('01_異動主檔'!$F:$F,'01_異動主檔'!$B:$B,117,'01_異動主檔'!$D:$D,A1184,'01_異動主檔'!$E:$E,"精簡")</f>
        <v/>
      </c>
      <c r="I1184" s="8">
        <f>C1184+D1184+E1184+F1184+G1184+H1184</f>
        <v/>
      </c>
    </row>
    <row r="1185" ht="18" customHeight="1">
      <c r="A1185" s="3" t="inlineStr">
        <is>
          <t>技術組</t>
        </is>
      </c>
      <c r="B1185" s="4" t="n">
        <v>118</v>
      </c>
      <c r="C1185" s="8">
        <f>I1184</f>
        <v/>
      </c>
      <c r="D1185" s="4">
        <f>SUMIFS('01_異動主檔'!$F:$F,'01_異動主檔'!$B:$B,118,'01_異動主檔'!$D:$D,A1185,'01_異動主檔'!$E:$E,"移入")</f>
        <v/>
      </c>
      <c r="E1185" s="4">
        <f>-SUMIFS('01_異動主檔'!$F:$F,'01_異動主檔'!$B:$B,118,'01_異動主檔'!$D:$D,A1185,'01_異動主檔'!$E:$E,"移出")</f>
        <v/>
      </c>
      <c r="F1185" s="4">
        <f>SUMIFS('01_異動主檔'!$F:$F,'01_異動主檔'!$B:$B,118,'01_異動主檔'!$D:$D,A1185,'01_異動主檔'!$E:$E,"新增")</f>
        <v/>
      </c>
      <c r="G1185" s="4">
        <f>-SUMIFS('01_異動主檔'!$F:$F,'01_異動主檔'!$B:$B,118,'01_異動主檔'!$D:$D,A1185,'01_異動主檔'!$E:$E,"減列")</f>
        <v/>
      </c>
      <c r="H1185" s="4">
        <f>-SUMIFS('01_異動主檔'!$F:$F,'01_異動主檔'!$B:$B,118,'01_異動主檔'!$D:$D,A1185,'01_異動主檔'!$E:$E,"精簡")</f>
        <v/>
      </c>
      <c r="I1185" s="8">
        <f>C1185+D1185+E1185+F1185+G1185+H1185</f>
        <v/>
      </c>
    </row>
    <row r="1186" ht="18" customHeight="1">
      <c r="A1186" s="5" t="inlineStr">
        <is>
          <t>技術組</t>
        </is>
      </c>
      <c r="B1186" s="6" t="n">
        <v>119</v>
      </c>
      <c r="C1186" s="8">
        <f>I1185</f>
        <v/>
      </c>
      <c r="D1186" s="4">
        <f>SUMIFS('01_異動主檔'!$F:$F,'01_異動主檔'!$B:$B,119,'01_異動主檔'!$D:$D,A1186,'01_異動主檔'!$E:$E,"移入")</f>
        <v/>
      </c>
      <c r="E1186" s="4">
        <f>-SUMIFS('01_異動主檔'!$F:$F,'01_異動主檔'!$B:$B,119,'01_異動主檔'!$D:$D,A1186,'01_異動主檔'!$E:$E,"移出")</f>
        <v/>
      </c>
      <c r="F1186" s="4">
        <f>SUMIFS('01_異動主檔'!$F:$F,'01_異動主檔'!$B:$B,119,'01_異動主檔'!$D:$D,A1186,'01_異動主檔'!$E:$E,"新增")</f>
        <v/>
      </c>
      <c r="G1186" s="4">
        <f>-SUMIFS('01_異動主檔'!$F:$F,'01_異動主檔'!$B:$B,119,'01_異動主檔'!$D:$D,A1186,'01_異動主檔'!$E:$E,"減列")</f>
        <v/>
      </c>
      <c r="H1186" s="4">
        <f>-SUMIFS('01_異動主檔'!$F:$F,'01_異動主檔'!$B:$B,119,'01_異動主檔'!$D:$D,A1186,'01_異動主檔'!$E:$E,"精簡")</f>
        <v/>
      </c>
      <c r="I1186" s="8">
        <f>C1186+D1186+E1186+F1186+G1186+H1186</f>
        <v/>
      </c>
    </row>
    <row r="1187" ht="18" customHeight="1">
      <c r="A1187" s="3" t="inlineStr">
        <is>
          <t>技術組</t>
        </is>
      </c>
      <c r="B1187" s="4" t="n">
        <v>120</v>
      </c>
      <c r="C1187" s="8">
        <f>I1186</f>
        <v/>
      </c>
      <c r="D1187" s="4">
        <f>SUMIFS('01_異動主檔'!$F:$F,'01_異動主檔'!$B:$B,120,'01_異動主檔'!$D:$D,A1187,'01_異動主檔'!$E:$E,"移入")</f>
        <v/>
      </c>
      <c r="E1187" s="4">
        <f>-SUMIFS('01_異動主檔'!$F:$F,'01_異動主檔'!$B:$B,120,'01_異動主檔'!$D:$D,A1187,'01_異動主檔'!$E:$E,"移出")</f>
        <v/>
      </c>
      <c r="F1187" s="4">
        <f>SUMIFS('01_異動主檔'!$F:$F,'01_異動主檔'!$B:$B,120,'01_異動主檔'!$D:$D,A1187,'01_異動主檔'!$E:$E,"新增")</f>
        <v/>
      </c>
      <c r="G1187" s="4">
        <f>-SUMIFS('01_異動主檔'!$F:$F,'01_異動主檔'!$B:$B,120,'01_異動主檔'!$D:$D,A1187,'01_異動主檔'!$E:$E,"減列")</f>
        <v/>
      </c>
      <c r="H1187" s="4">
        <f>-SUMIFS('01_異動主檔'!$F:$F,'01_異動主檔'!$B:$B,120,'01_異動主檔'!$D:$D,A1187,'01_異動主檔'!$E:$E,"精簡")</f>
        <v/>
      </c>
      <c r="I1187" s="8">
        <f>C1187+D1187+E1187+F1187+G1187+H1187</f>
        <v/>
      </c>
    </row>
    <row r="1188" ht="18" customHeight="1">
      <c r="A1188" s="5" t="inlineStr">
        <is>
          <t>技術組</t>
        </is>
      </c>
      <c r="B1188" s="6" t="n">
        <v>121</v>
      </c>
      <c r="C1188" s="8">
        <f>I1187</f>
        <v/>
      </c>
      <c r="D1188" s="4">
        <f>SUMIFS('01_異動主檔'!$F:$F,'01_異動主檔'!$B:$B,121,'01_異動主檔'!$D:$D,A1188,'01_異動主檔'!$E:$E,"移入")</f>
        <v/>
      </c>
      <c r="E1188" s="4">
        <f>-SUMIFS('01_異動主檔'!$F:$F,'01_異動主檔'!$B:$B,121,'01_異動主檔'!$D:$D,A1188,'01_異動主檔'!$E:$E,"移出")</f>
        <v/>
      </c>
      <c r="F1188" s="4">
        <f>SUMIFS('01_異動主檔'!$F:$F,'01_異動主檔'!$B:$B,121,'01_異動主檔'!$D:$D,A1188,'01_異動主檔'!$E:$E,"新增")</f>
        <v/>
      </c>
      <c r="G1188" s="4">
        <f>-SUMIFS('01_異動主檔'!$F:$F,'01_異動主檔'!$B:$B,121,'01_異動主檔'!$D:$D,A1188,'01_異動主檔'!$E:$E,"減列")</f>
        <v/>
      </c>
      <c r="H1188" s="4">
        <f>-SUMIFS('01_異動主檔'!$F:$F,'01_異動主檔'!$B:$B,121,'01_異動主檔'!$D:$D,A1188,'01_異動主檔'!$E:$E,"精簡")</f>
        <v/>
      </c>
      <c r="I1188" s="8">
        <f>C1188+D1188+E1188+F1188+G1188+H1188</f>
        <v/>
      </c>
    </row>
    <row r="1189" ht="18" customHeight="1">
      <c r="A1189" s="3" t="inlineStr">
        <is>
          <t>技術組</t>
        </is>
      </c>
      <c r="B1189" s="4" t="n">
        <v>122</v>
      </c>
      <c r="C1189" s="8">
        <f>I1188</f>
        <v/>
      </c>
      <c r="D1189" s="4">
        <f>SUMIFS('01_異動主檔'!$F:$F,'01_異動主檔'!$B:$B,122,'01_異動主檔'!$D:$D,A1189,'01_異動主檔'!$E:$E,"移入")</f>
        <v/>
      </c>
      <c r="E1189" s="4">
        <f>-SUMIFS('01_異動主檔'!$F:$F,'01_異動主檔'!$B:$B,122,'01_異動主檔'!$D:$D,A1189,'01_異動主檔'!$E:$E,"移出")</f>
        <v/>
      </c>
      <c r="F1189" s="4">
        <f>SUMIFS('01_異動主檔'!$F:$F,'01_異動主檔'!$B:$B,122,'01_異動主檔'!$D:$D,A1189,'01_異動主檔'!$E:$E,"新增")</f>
        <v/>
      </c>
      <c r="G1189" s="4">
        <f>-SUMIFS('01_異動主檔'!$F:$F,'01_異動主檔'!$B:$B,122,'01_異動主檔'!$D:$D,A1189,'01_異動主檔'!$E:$E,"減列")</f>
        <v/>
      </c>
      <c r="H1189" s="4">
        <f>-SUMIFS('01_異動主檔'!$F:$F,'01_異動主檔'!$B:$B,122,'01_異動主檔'!$D:$D,A1189,'01_異動主檔'!$E:$E,"精簡")</f>
        <v/>
      </c>
      <c r="I1189" s="8">
        <f>C1189+D1189+E1189+F1189+G1189+H1189</f>
        <v/>
      </c>
    </row>
    <row r="1190" ht="18" customHeight="1">
      <c r="A1190" s="5" t="inlineStr">
        <is>
          <t>技術組</t>
        </is>
      </c>
      <c r="B1190" s="6" t="n">
        <v>123</v>
      </c>
      <c r="C1190" s="8">
        <f>I1189</f>
        <v/>
      </c>
      <c r="D1190" s="4">
        <f>SUMIFS('01_異動主檔'!$F:$F,'01_異動主檔'!$B:$B,123,'01_異動主檔'!$D:$D,A1190,'01_異動主檔'!$E:$E,"移入")</f>
        <v/>
      </c>
      <c r="E1190" s="4">
        <f>-SUMIFS('01_異動主檔'!$F:$F,'01_異動主檔'!$B:$B,123,'01_異動主檔'!$D:$D,A1190,'01_異動主檔'!$E:$E,"移出")</f>
        <v/>
      </c>
      <c r="F1190" s="4">
        <f>SUMIFS('01_異動主檔'!$F:$F,'01_異動主檔'!$B:$B,123,'01_異動主檔'!$D:$D,A1190,'01_異動主檔'!$E:$E,"新增")</f>
        <v/>
      </c>
      <c r="G1190" s="4">
        <f>-SUMIFS('01_異動主檔'!$F:$F,'01_異動主檔'!$B:$B,123,'01_異動主檔'!$D:$D,A1190,'01_異動主檔'!$E:$E,"減列")</f>
        <v/>
      </c>
      <c r="H1190" s="4">
        <f>-SUMIFS('01_異動主檔'!$F:$F,'01_異動主檔'!$B:$B,123,'01_異動主檔'!$D:$D,A1190,'01_異動主檔'!$E:$E,"精簡")</f>
        <v/>
      </c>
      <c r="I1190" s="8">
        <f>C1190+D1190+E1190+F1190+G1190+H1190</f>
        <v/>
      </c>
    </row>
    <row r="1191" ht="18" customHeight="1">
      <c r="A1191" s="3" t="inlineStr">
        <is>
          <t>技術組</t>
        </is>
      </c>
      <c r="B1191" s="4" t="n">
        <v>124</v>
      </c>
      <c r="C1191" s="8">
        <f>I1190</f>
        <v/>
      </c>
      <c r="D1191" s="4">
        <f>SUMIFS('01_異動主檔'!$F:$F,'01_異動主檔'!$B:$B,124,'01_異動主檔'!$D:$D,A1191,'01_異動主檔'!$E:$E,"移入")</f>
        <v/>
      </c>
      <c r="E1191" s="4">
        <f>-SUMIFS('01_異動主檔'!$F:$F,'01_異動主檔'!$B:$B,124,'01_異動主檔'!$D:$D,A1191,'01_異動主檔'!$E:$E,"移出")</f>
        <v/>
      </c>
      <c r="F1191" s="4">
        <f>SUMIFS('01_異動主檔'!$F:$F,'01_異動主檔'!$B:$B,124,'01_異動主檔'!$D:$D,A1191,'01_異動主檔'!$E:$E,"新增")</f>
        <v/>
      </c>
      <c r="G1191" s="4">
        <f>-SUMIFS('01_異動主檔'!$F:$F,'01_異動主檔'!$B:$B,124,'01_異動主檔'!$D:$D,A1191,'01_異動主檔'!$E:$E,"減列")</f>
        <v/>
      </c>
      <c r="H1191" s="4">
        <f>-SUMIFS('01_異動主檔'!$F:$F,'01_異動主檔'!$B:$B,124,'01_異動主檔'!$D:$D,A1191,'01_異動主檔'!$E:$E,"精簡")</f>
        <v/>
      </c>
      <c r="I1191" s="8">
        <f>C1191+D1191+E1191+F1191+G1191+H1191</f>
        <v/>
      </c>
    </row>
    <row r="1192" ht="18" customHeight="1">
      <c r="A1192" s="5" t="inlineStr">
        <is>
          <t>技術組</t>
        </is>
      </c>
      <c r="B1192" s="6" t="n">
        <v>125</v>
      </c>
      <c r="C1192" s="8">
        <f>I1191</f>
        <v/>
      </c>
      <c r="D1192" s="4">
        <f>SUMIFS('01_異動主檔'!$F:$F,'01_異動主檔'!$B:$B,125,'01_異動主檔'!$D:$D,A1192,'01_異動主檔'!$E:$E,"移入")</f>
        <v/>
      </c>
      <c r="E1192" s="4">
        <f>-SUMIFS('01_異動主檔'!$F:$F,'01_異動主檔'!$B:$B,125,'01_異動主檔'!$D:$D,A1192,'01_異動主檔'!$E:$E,"移出")</f>
        <v/>
      </c>
      <c r="F1192" s="4">
        <f>SUMIFS('01_異動主檔'!$F:$F,'01_異動主檔'!$B:$B,125,'01_異動主檔'!$D:$D,A1192,'01_異動主檔'!$E:$E,"新增")</f>
        <v/>
      </c>
      <c r="G1192" s="4">
        <f>-SUMIFS('01_異動主檔'!$F:$F,'01_異動主檔'!$B:$B,125,'01_異動主檔'!$D:$D,A1192,'01_異動主檔'!$E:$E,"減列")</f>
        <v/>
      </c>
      <c r="H1192" s="4">
        <f>-SUMIFS('01_異動主檔'!$F:$F,'01_異動主檔'!$B:$B,125,'01_異動主檔'!$D:$D,A1192,'01_異動主檔'!$E:$E,"精簡")</f>
        <v/>
      </c>
      <c r="I1192" s="8">
        <f>C1192+D1192+E1192+F1192+G1192+H1192</f>
        <v/>
      </c>
    </row>
    <row r="1193" ht="18" customHeight="1">
      <c r="A1193" s="3" t="inlineStr">
        <is>
          <t>行政組</t>
        </is>
      </c>
      <c r="B1193" s="4" t="n">
        <v>99</v>
      </c>
      <c r="C1193" s="8">
        <f>'02_年初員額設定'!B49</f>
        <v/>
      </c>
      <c r="D1193" s="4">
        <f>SUMIFS('01_異動主檔'!$F:$F,'01_異動主檔'!$B:$B,99,'01_異動主檔'!$D:$D,A1193,'01_異動主檔'!$E:$E,"移入")</f>
        <v/>
      </c>
      <c r="E1193" s="4">
        <f>-SUMIFS('01_異動主檔'!$F:$F,'01_異動主檔'!$B:$B,99,'01_異動主檔'!$D:$D,A1193,'01_異動主檔'!$E:$E,"移出")</f>
        <v/>
      </c>
      <c r="F1193" s="4">
        <f>SUMIFS('01_異動主檔'!$F:$F,'01_異動主檔'!$B:$B,99,'01_異動主檔'!$D:$D,A1193,'01_異動主檔'!$E:$E,"新增")</f>
        <v/>
      </c>
      <c r="G1193" s="4">
        <f>-SUMIFS('01_異動主檔'!$F:$F,'01_異動主檔'!$B:$B,99,'01_異動主檔'!$D:$D,A1193,'01_異動主檔'!$E:$E,"減列")</f>
        <v/>
      </c>
      <c r="H1193" s="4">
        <f>-SUMIFS('01_異動主檔'!$F:$F,'01_異動主檔'!$B:$B,99,'01_異動主檔'!$D:$D,A1193,'01_異動主檔'!$E:$E,"精簡")</f>
        <v/>
      </c>
      <c r="I1193" s="8">
        <f>C1193+D1193+E1193+F1193+G1193+H1193</f>
        <v/>
      </c>
    </row>
    <row r="1194" ht="18" customHeight="1">
      <c r="A1194" s="5" t="inlineStr">
        <is>
          <t>行政組</t>
        </is>
      </c>
      <c r="B1194" s="6" t="n">
        <v>100</v>
      </c>
      <c r="C1194" s="8">
        <f>I1193</f>
        <v/>
      </c>
      <c r="D1194" s="4">
        <f>SUMIFS('01_異動主檔'!$F:$F,'01_異動主檔'!$B:$B,100,'01_異動主檔'!$D:$D,A1194,'01_異動主檔'!$E:$E,"移入")</f>
        <v/>
      </c>
      <c r="E1194" s="4">
        <f>-SUMIFS('01_異動主檔'!$F:$F,'01_異動主檔'!$B:$B,100,'01_異動主檔'!$D:$D,A1194,'01_異動主檔'!$E:$E,"移出")</f>
        <v/>
      </c>
      <c r="F1194" s="4">
        <f>SUMIFS('01_異動主檔'!$F:$F,'01_異動主檔'!$B:$B,100,'01_異動主檔'!$D:$D,A1194,'01_異動主檔'!$E:$E,"新增")</f>
        <v/>
      </c>
      <c r="G1194" s="4">
        <f>-SUMIFS('01_異動主檔'!$F:$F,'01_異動主檔'!$B:$B,100,'01_異動主檔'!$D:$D,A1194,'01_異動主檔'!$E:$E,"減列")</f>
        <v/>
      </c>
      <c r="H1194" s="4">
        <f>-SUMIFS('01_異動主檔'!$F:$F,'01_異動主檔'!$B:$B,100,'01_異動主檔'!$D:$D,A1194,'01_異動主檔'!$E:$E,"精簡")</f>
        <v/>
      </c>
      <c r="I1194" s="8">
        <f>C1194+D1194+E1194+F1194+G1194+H1194</f>
        <v/>
      </c>
    </row>
    <row r="1195" ht="18" customHeight="1">
      <c r="A1195" s="3" t="inlineStr">
        <is>
          <t>行政組</t>
        </is>
      </c>
      <c r="B1195" s="4" t="n">
        <v>101</v>
      </c>
      <c r="C1195" s="8">
        <f>I1194</f>
        <v/>
      </c>
      <c r="D1195" s="4">
        <f>SUMIFS('01_異動主檔'!$F:$F,'01_異動主檔'!$B:$B,101,'01_異動主檔'!$D:$D,A1195,'01_異動主檔'!$E:$E,"移入")</f>
        <v/>
      </c>
      <c r="E1195" s="4">
        <f>-SUMIFS('01_異動主檔'!$F:$F,'01_異動主檔'!$B:$B,101,'01_異動主檔'!$D:$D,A1195,'01_異動主檔'!$E:$E,"移出")</f>
        <v/>
      </c>
      <c r="F1195" s="4">
        <f>SUMIFS('01_異動主檔'!$F:$F,'01_異動主檔'!$B:$B,101,'01_異動主檔'!$D:$D,A1195,'01_異動主檔'!$E:$E,"新增")</f>
        <v/>
      </c>
      <c r="G1195" s="4">
        <f>-SUMIFS('01_異動主檔'!$F:$F,'01_異動主檔'!$B:$B,101,'01_異動主檔'!$D:$D,A1195,'01_異動主檔'!$E:$E,"減列")</f>
        <v/>
      </c>
      <c r="H1195" s="4">
        <f>-SUMIFS('01_異動主檔'!$F:$F,'01_異動主檔'!$B:$B,101,'01_異動主檔'!$D:$D,A1195,'01_異動主檔'!$E:$E,"精簡")</f>
        <v/>
      </c>
      <c r="I1195" s="8">
        <f>C1195+D1195+E1195+F1195+G1195+H1195</f>
        <v/>
      </c>
    </row>
    <row r="1196" ht="18" customHeight="1">
      <c r="A1196" s="5" t="inlineStr">
        <is>
          <t>行政組</t>
        </is>
      </c>
      <c r="B1196" s="6" t="n">
        <v>102</v>
      </c>
      <c r="C1196" s="8">
        <f>I1195</f>
        <v/>
      </c>
      <c r="D1196" s="4">
        <f>SUMIFS('01_異動主檔'!$F:$F,'01_異動主檔'!$B:$B,102,'01_異動主檔'!$D:$D,A1196,'01_異動主檔'!$E:$E,"移入")</f>
        <v/>
      </c>
      <c r="E1196" s="4">
        <f>-SUMIFS('01_異動主檔'!$F:$F,'01_異動主檔'!$B:$B,102,'01_異動主檔'!$D:$D,A1196,'01_異動主檔'!$E:$E,"移出")</f>
        <v/>
      </c>
      <c r="F1196" s="4">
        <f>SUMIFS('01_異動主檔'!$F:$F,'01_異動主檔'!$B:$B,102,'01_異動主檔'!$D:$D,A1196,'01_異動主檔'!$E:$E,"新增")</f>
        <v/>
      </c>
      <c r="G1196" s="4">
        <f>-SUMIFS('01_異動主檔'!$F:$F,'01_異動主檔'!$B:$B,102,'01_異動主檔'!$D:$D,A1196,'01_異動主檔'!$E:$E,"減列")</f>
        <v/>
      </c>
      <c r="H1196" s="4">
        <f>-SUMIFS('01_異動主檔'!$F:$F,'01_異動主檔'!$B:$B,102,'01_異動主檔'!$D:$D,A1196,'01_異動主檔'!$E:$E,"精簡")</f>
        <v/>
      </c>
      <c r="I1196" s="8">
        <f>C1196+D1196+E1196+F1196+G1196+H1196</f>
        <v/>
      </c>
    </row>
    <row r="1197" ht="18" customHeight="1">
      <c r="A1197" s="3" t="inlineStr">
        <is>
          <t>行政組</t>
        </is>
      </c>
      <c r="B1197" s="4" t="n">
        <v>103</v>
      </c>
      <c r="C1197" s="8">
        <f>I1196</f>
        <v/>
      </c>
      <c r="D1197" s="4">
        <f>SUMIFS('01_異動主檔'!$F:$F,'01_異動主檔'!$B:$B,103,'01_異動主檔'!$D:$D,A1197,'01_異動主檔'!$E:$E,"移入")</f>
        <v/>
      </c>
      <c r="E1197" s="4">
        <f>-SUMIFS('01_異動主檔'!$F:$F,'01_異動主檔'!$B:$B,103,'01_異動主檔'!$D:$D,A1197,'01_異動主檔'!$E:$E,"移出")</f>
        <v/>
      </c>
      <c r="F1197" s="4">
        <f>SUMIFS('01_異動主檔'!$F:$F,'01_異動主檔'!$B:$B,103,'01_異動主檔'!$D:$D,A1197,'01_異動主檔'!$E:$E,"新增")</f>
        <v/>
      </c>
      <c r="G1197" s="4">
        <f>-SUMIFS('01_異動主檔'!$F:$F,'01_異動主檔'!$B:$B,103,'01_異動主檔'!$D:$D,A1197,'01_異動主檔'!$E:$E,"減列")</f>
        <v/>
      </c>
      <c r="H1197" s="4">
        <f>-SUMIFS('01_異動主檔'!$F:$F,'01_異動主檔'!$B:$B,103,'01_異動主檔'!$D:$D,A1197,'01_異動主檔'!$E:$E,"精簡")</f>
        <v/>
      </c>
      <c r="I1197" s="8">
        <f>C1197+D1197+E1197+F1197+G1197+H1197</f>
        <v/>
      </c>
    </row>
    <row r="1198" ht="18" customHeight="1">
      <c r="A1198" s="5" t="inlineStr">
        <is>
          <t>行政組</t>
        </is>
      </c>
      <c r="B1198" s="6" t="n">
        <v>104</v>
      </c>
      <c r="C1198" s="8">
        <f>I1197</f>
        <v/>
      </c>
      <c r="D1198" s="4">
        <f>SUMIFS('01_異動主檔'!$F:$F,'01_異動主檔'!$B:$B,104,'01_異動主檔'!$D:$D,A1198,'01_異動主檔'!$E:$E,"移入")</f>
        <v/>
      </c>
      <c r="E1198" s="4">
        <f>-SUMIFS('01_異動主檔'!$F:$F,'01_異動主檔'!$B:$B,104,'01_異動主檔'!$D:$D,A1198,'01_異動主檔'!$E:$E,"移出")</f>
        <v/>
      </c>
      <c r="F1198" s="4">
        <f>SUMIFS('01_異動主檔'!$F:$F,'01_異動主檔'!$B:$B,104,'01_異動主檔'!$D:$D,A1198,'01_異動主檔'!$E:$E,"新增")</f>
        <v/>
      </c>
      <c r="G1198" s="4">
        <f>-SUMIFS('01_異動主檔'!$F:$F,'01_異動主檔'!$B:$B,104,'01_異動主檔'!$D:$D,A1198,'01_異動主檔'!$E:$E,"減列")</f>
        <v/>
      </c>
      <c r="H1198" s="4">
        <f>-SUMIFS('01_異動主檔'!$F:$F,'01_異動主檔'!$B:$B,104,'01_異動主檔'!$D:$D,A1198,'01_異動主檔'!$E:$E,"精簡")</f>
        <v/>
      </c>
      <c r="I1198" s="8">
        <f>C1198+D1198+E1198+F1198+G1198+H1198</f>
        <v/>
      </c>
    </row>
    <row r="1199" ht="18" customHeight="1">
      <c r="A1199" s="3" t="inlineStr">
        <is>
          <t>行政組</t>
        </is>
      </c>
      <c r="B1199" s="4" t="n">
        <v>105</v>
      </c>
      <c r="C1199" s="8">
        <f>I1198</f>
        <v/>
      </c>
      <c r="D1199" s="4">
        <f>SUMIFS('01_異動主檔'!$F:$F,'01_異動主檔'!$B:$B,105,'01_異動主檔'!$D:$D,A1199,'01_異動主檔'!$E:$E,"移入")</f>
        <v/>
      </c>
      <c r="E1199" s="4">
        <f>-SUMIFS('01_異動主檔'!$F:$F,'01_異動主檔'!$B:$B,105,'01_異動主檔'!$D:$D,A1199,'01_異動主檔'!$E:$E,"移出")</f>
        <v/>
      </c>
      <c r="F1199" s="4">
        <f>SUMIFS('01_異動主檔'!$F:$F,'01_異動主檔'!$B:$B,105,'01_異動主檔'!$D:$D,A1199,'01_異動主檔'!$E:$E,"新增")</f>
        <v/>
      </c>
      <c r="G1199" s="4">
        <f>-SUMIFS('01_異動主檔'!$F:$F,'01_異動主檔'!$B:$B,105,'01_異動主檔'!$D:$D,A1199,'01_異動主檔'!$E:$E,"減列")</f>
        <v/>
      </c>
      <c r="H1199" s="4">
        <f>-SUMIFS('01_異動主檔'!$F:$F,'01_異動主檔'!$B:$B,105,'01_異動主檔'!$D:$D,A1199,'01_異動主檔'!$E:$E,"精簡")</f>
        <v/>
      </c>
      <c r="I1199" s="8">
        <f>C1199+D1199+E1199+F1199+G1199+H1199</f>
        <v/>
      </c>
    </row>
    <row r="1200" ht="18" customHeight="1">
      <c r="A1200" s="5" t="inlineStr">
        <is>
          <t>行政組</t>
        </is>
      </c>
      <c r="B1200" s="6" t="n">
        <v>106</v>
      </c>
      <c r="C1200" s="8">
        <f>I1199</f>
        <v/>
      </c>
      <c r="D1200" s="4">
        <f>SUMIFS('01_異動主檔'!$F:$F,'01_異動主檔'!$B:$B,106,'01_異動主檔'!$D:$D,A1200,'01_異動主檔'!$E:$E,"移入")</f>
        <v/>
      </c>
      <c r="E1200" s="4">
        <f>-SUMIFS('01_異動主檔'!$F:$F,'01_異動主檔'!$B:$B,106,'01_異動主檔'!$D:$D,A1200,'01_異動主檔'!$E:$E,"移出")</f>
        <v/>
      </c>
      <c r="F1200" s="4">
        <f>SUMIFS('01_異動主檔'!$F:$F,'01_異動主檔'!$B:$B,106,'01_異動主檔'!$D:$D,A1200,'01_異動主檔'!$E:$E,"新增")</f>
        <v/>
      </c>
      <c r="G1200" s="4">
        <f>-SUMIFS('01_異動主檔'!$F:$F,'01_異動主檔'!$B:$B,106,'01_異動主檔'!$D:$D,A1200,'01_異動主檔'!$E:$E,"減列")</f>
        <v/>
      </c>
      <c r="H1200" s="4">
        <f>-SUMIFS('01_異動主檔'!$F:$F,'01_異動主檔'!$B:$B,106,'01_異動主檔'!$D:$D,A1200,'01_異動主檔'!$E:$E,"精簡")</f>
        <v/>
      </c>
      <c r="I1200" s="8">
        <f>C1200+D1200+E1200+F1200+G1200+H1200</f>
        <v/>
      </c>
    </row>
    <row r="1201" ht="18" customHeight="1">
      <c r="A1201" s="3" t="inlineStr">
        <is>
          <t>行政組</t>
        </is>
      </c>
      <c r="B1201" s="4" t="n">
        <v>107</v>
      </c>
      <c r="C1201" s="8">
        <f>I1200</f>
        <v/>
      </c>
      <c r="D1201" s="4">
        <f>SUMIFS('01_異動主檔'!$F:$F,'01_異動主檔'!$B:$B,107,'01_異動主檔'!$D:$D,A1201,'01_異動主檔'!$E:$E,"移入")</f>
        <v/>
      </c>
      <c r="E1201" s="4">
        <f>-SUMIFS('01_異動主檔'!$F:$F,'01_異動主檔'!$B:$B,107,'01_異動主檔'!$D:$D,A1201,'01_異動主檔'!$E:$E,"移出")</f>
        <v/>
      </c>
      <c r="F1201" s="4">
        <f>SUMIFS('01_異動主檔'!$F:$F,'01_異動主檔'!$B:$B,107,'01_異動主檔'!$D:$D,A1201,'01_異動主檔'!$E:$E,"新增")</f>
        <v/>
      </c>
      <c r="G1201" s="4">
        <f>-SUMIFS('01_異動主檔'!$F:$F,'01_異動主檔'!$B:$B,107,'01_異動主檔'!$D:$D,A1201,'01_異動主檔'!$E:$E,"減列")</f>
        <v/>
      </c>
      <c r="H1201" s="4">
        <f>-SUMIFS('01_異動主檔'!$F:$F,'01_異動主檔'!$B:$B,107,'01_異動主檔'!$D:$D,A1201,'01_異動主檔'!$E:$E,"精簡")</f>
        <v/>
      </c>
      <c r="I1201" s="8">
        <f>C1201+D1201+E1201+F1201+G1201+H1201</f>
        <v/>
      </c>
    </row>
    <row r="1202" ht="18" customHeight="1">
      <c r="A1202" s="5" t="inlineStr">
        <is>
          <t>行政組</t>
        </is>
      </c>
      <c r="B1202" s="6" t="n">
        <v>108</v>
      </c>
      <c r="C1202" s="8">
        <f>I1201</f>
        <v/>
      </c>
      <c r="D1202" s="4">
        <f>SUMIFS('01_異動主檔'!$F:$F,'01_異動主檔'!$B:$B,108,'01_異動主檔'!$D:$D,A1202,'01_異動主檔'!$E:$E,"移入")</f>
        <v/>
      </c>
      <c r="E1202" s="4">
        <f>-SUMIFS('01_異動主檔'!$F:$F,'01_異動主檔'!$B:$B,108,'01_異動主檔'!$D:$D,A1202,'01_異動主檔'!$E:$E,"移出")</f>
        <v/>
      </c>
      <c r="F1202" s="4">
        <f>SUMIFS('01_異動主檔'!$F:$F,'01_異動主檔'!$B:$B,108,'01_異動主檔'!$D:$D,A1202,'01_異動主檔'!$E:$E,"新增")</f>
        <v/>
      </c>
      <c r="G1202" s="4">
        <f>-SUMIFS('01_異動主檔'!$F:$F,'01_異動主檔'!$B:$B,108,'01_異動主檔'!$D:$D,A1202,'01_異動主檔'!$E:$E,"減列")</f>
        <v/>
      </c>
      <c r="H1202" s="4">
        <f>-SUMIFS('01_異動主檔'!$F:$F,'01_異動主檔'!$B:$B,108,'01_異動主檔'!$D:$D,A1202,'01_異動主檔'!$E:$E,"精簡")</f>
        <v/>
      </c>
      <c r="I1202" s="8">
        <f>C1202+D1202+E1202+F1202+G1202+H1202</f>
        <v/>
      </c>
    </row>
    <row r="1203" ht="18" customHeight="1">
      <c r="A1203" s="3" t="inlineStr">
        <is>
          <t>行政組</t>
        </is>
      </c>
      <c r="B1203" s="4" t="n">
        <v>109</v>
      </c>
      <c r="C1203" s="8">
        <f>I1202</f>
        <v/>
      </c>
      <c r="D1203" s="4">
        <f>SUMIFS('01_異動主檔'!$F:$F,'01_異動主檔'!$B:$B,109,'01_異動主檔'!$D:$D,A1203,'01_異動主檔'!$E:$E,"移入")</f>
        <v/>
      </c>
      <c r="E1203" s="4">
        <f>-SUMIFS('01_異動主檔'!$F:$F,'01_異動主檔'!$B:$B,109,'01_異動主檔'!$D:$D,A1203,'01_異動主檔'!$E:$E,"移出")</f>
        <v/>
      </c>
      <c r="F1203" s="4">
        <f>SUMIFS('01_異動主檔'!$F:$F,'01_異動主檔'!$B:$B,109,'01_異動主檔'!$D:$D,A1203,'01_異動主檔'!$E:$E,"新增")</f>
        <v/>
      </c>
      <c r="G1203" s="4">
        <f>-SUMIFS('01_異動主檔'!$F:$F,'01_異動主檔'!$B:$B,109,'01_異動主檔'!$D:$D,A1203,'01_異動主檔'!$E:$E,"減列")</f>
        <v/>
      </c>
      <c r="H1203" s="4">
        <f>-SUMIFS('01_異動主檔'!$F:$F,'01_異動主檔'!$B:$B,109,'01_異動主檔'!$D:$D,A1203,'01_異動主檔'!$E:$E,"精簡")</f>
        <v/>
      </c>
      <c r="I1203" s="8">
        <f>C1203+D1203+E1203+F1203+G1203+H1203</f>
        <v/>
      </c>
    </row>
    <row r="1204" ht="18" customHeight="1">
      <c r="A1204" s="5" t="inlineStr">
        <is>
          <t>行政組</t>
        </is>
      </c>
      <c r="B1204" s="6" t="n">
        <v>110</v>
      </c>
      <c r="C1204" s="8">
        <f>I1203</f>
        <v/>
      </c>
      <c r="D1204" s="4">
        <f>SUMIFS('01_異動主檔'!$F:$F,'01_異動主檔'!$B:$B,110,'01_異動主檔'!$D:$D,A1204,'01_異動主檔'!$E:$E,"移入")</f>
        <v/>
      </c>
      <c r="E1204" s="4">
        <f>-SUMIFS('01_異動主檔'!$F:$F,'01_異動主檔'!$B:$B,110,'01_異動主檔'!$D:$D,A1204,'01_異動主檔'!$E:$E,"移出")</f>
        <v/>
      </c>
      <c r="F1204" s="4">
        <f>SUMIFS('01_異動主檔'!$F:$F,'01_異動主檔'!$B:$B,110,'01_異動主檔'!$D:$D,A1204,'01_異動主檔'!$E:$E,"新增")</f>
        <v/>
      </c>
      <c r="G1204" s="4">
        <f>-SUMIFS('01_異動主檔'!$F:$F,'01_異動主檔'!$B:$B,110,'01_異動主檔'!$D:$D,A1204,'01_異動主檔'!$E:$E,"減列")</f>
        <v/>
      </c>
      <c r="H1204" s="4">
        <f>-SUMIFS('01_異動主檔'!$F:$F,'01_異動主檔'!$B:$B,110,'01_異動主檔'!$D:$D,A1204,'01_異動主檔'!$E:$E,"精簡")</f>
        <v/>
      </c>
      <c r="I1204" s="8">
        <f>C1204+D1204+E1204+F1204+G1204+H1204</f>
        <v/>
      </c>
    </row>
    <row r="1205" ht="18" customHeight="1">
      <c r="A1205" s="3" t="inlineStr">
        <is>
          <t>行政組</t>
        </is>
      </c>
      <c r="B1205" s="4" t="n">
        <v>111</v>
      </c>
      <c r="C1205" s="8">
        <f>I1204</f>
        <v/>
      </c>
      <c r="D1205" s="4">
        <f>SUMIFS('01_異動主檔'!$F:$F,'01_異動主檔'!$B:$B,111,'01_異動主檔'!$D:$D,A1205,'01_異動主檔'!$E:$E,"移入")</f>
        <v/>
      </c>
      <c r="E1205" s="4">
        <f>-SUMIFS('01_異動主檔'!$F:$F,'01_異動主檔'!$B:$B,111,'01_異動主檔'!$D:$D,A1205,'01_異動主檔'!$E:$E,"移出")</f>
        <v/>
      </c>
      <c r="F1205" s="4">
        <f>SUMIFS('01_異動主檔'!$F:$F,'01_異動主檔'!$B:$B,111,'01_異動主檔'!$D:$D,A1205,'01_異動主檔'!$E:$E,"新增")</f>
        <v/>
      </c>
      <c r="G1205" s="4">
        <f>-SUMIFS('01_異動主檔'!$F:$F,'01_異動主檔'!$B:$B,111,'01_異動主檔'!$D:$D,A1205,'01_異動主檔'!$E:$E,"減列")</f>
        <v/>
      </c>
      <c r="H1205" s="4">
        <f>-SUMIFS('01_異動主檔'!$F:$F,'01_異動主檔'!$B:$B,111,'01_異動主檔'!$D:$D,A1205,'01_異動主檔'!$E:$E,"精簡")</f>
        <v/>
      </c>
      <c r="I1205" s="8">
        <f>C1205+D1205+E1205+F1205+G1205+H1205</f>
        <v/>
      </c>
    </row>
    <row r="1206" ht="18" customHeight="1">
      <c r="A1206" s="5" t="inlineStr">
        <is>
          <t>行政組</t>
        </is>
      </c>
      <c r="B1206" s="6" t="n">
        <v>112</v>
      </c>
      <c r="C1206" s="8">
        <f>I1205</f>
        <v/>
      </c>
      <c r="D1206" s="4">
        <f>SUMIFS('01_異動主檔'!$F:$F,'01_異動主檔'!$B:$B,112,'01_異動主檔'!$D:$D,A1206,'01_異動主檔'!$E:$E,"移入")</f>
        <v/>
      </c>
      <c r="E1206" s="4">
        <f>-SUMIFS('01_異動主檔'!$F:$F,'01_異動主檔'!$B:$B,112,'01_異動主檔'!$D:$D,A1206,'01_異動主檔'!$E:$E,"移出")</f>
        <v/>
      </c>
      <c r="F1206" s="4">
        <f>SUMIFS('01_異動主檔'!$F:$F,'01_異動主檔'!$B:$B,112,'01_異動主檔'!$D:$D,A1206,'01_異動主檔'!$E:$E,"新增")</f>
        <v/>
      </c>
      <c r="G1206" s="4">
        <f>-SUMIFS('01_異動主檔'!$F:$F,'01_異動主檔'!$B:$B,112,'01_異動主檔'!$D:$D,A1206,'01_異動主檔'!$E:$E,"減列")</f>
        <v/>
      </c>
      <c r="H1206" s="4">
        <f>-SUMIFS('01_異動主檔'!$F:$F,'01_異動主檔'!$B:$B,112,'01_異動主檔'!$D:$D,A1206,'01_異動主檔'!$E:$E,"精簡")</f>
        <v/>
      </c>
      <c r="I1206" s="8">
        <f>C1206+D1206+E1206+F1206+G1206+H1206</f>
        <v/>
      </c>
    </row>
    <row r="1207" ht="18" customHeight="1">
      <c r="A1207" s="3" t="inlineStr">
        <is>
          <t>行政組</t>
        </is>
      </c>
      <c r="B1207" s="4" t="n">
        <v>113</v>
      </c>
      <c r="C1207" s="8">
        <f>I1206</f>
        <v/>
      </c>
      <c r="D1207" s="4">
        <f>SUMIFS('01_異動主檔'!$F:$F,'01_異動主檔'!$B:$B,113,'01_異動主檔'!$D:$D,A1207,'01_異動主檔'!$E:$E,"移入")</f>
        <v/>
      </c>
      <c r="E1207" s="4">
        <f>-SUMIFS('01_異動主檔'!$F:$F,'01_異動主檔'!$B:$B,113,'01_異動主檔'!$D:$D,A1207,'01_異動主檔'!$E:$E,"移出")</f>
        <v/>
      </c>
      <c r="F1207" s="4">
        <f>SUMIFS('01_異動主檔'!$F:$F,'01_異動主檔'!$B:$B,113,'01_異動主檔'!$D:$D,A1207,'01_異動主檔'!$E:$E,"新增")</f>
        <v/>
      </c>
      <c r="G1207" s="4">
        <f>-SUMIFS('01_異動主檔'!$F:$F,'01_異動主檔'!$B:$B,113,'01_異動主檔'!$D:$D,A1207,'01_異動主檔'!$E:$E,"減列")</f>
        <v/>
      </c>
      <c r="H1207" s="4">
        <f>-SUMIFS('01_異動主檔'!$F:$F,'01_異動主檔'!$B:$B,113,'01_異動主檔'!$D:$D,A1207,'01_異動主檔'!$E:$E,"精簡")</f>
        <v/>
      </c>
      <c r="I1207" s="8">
        <f>C1207+D1207+E1207+F1207+G1207+H1207</f>
        <v/>
      </c>
    </row>
    <row r="1208" ht="18" customHeight="1">
      <c r="A1208" s="5" t="inlineStr">
        <is>
          <t>行政組</t>
        </is>
      </c>
      <c r="B1208" s="6" t="n">
        <v>114</v>
      </c>
      <c r="C1208" s="8">
        <f>I1207</f>
        <v/>
      </c>
      <c r="D1208" s="4">
        <f>SUMIFS('01_異動主檔'!$F:$F,'01_異動主檔'!$B:$B,114,'01_異動主檔'!$D:$D,A1208,'01_異動主檔'!$E:$E,"移入")</f>
        <v/>
      </c>
      <c r="E1208" s="4">
        <f>-SUMIFS('01_異動主檔'!$F:$F,'01_異動主檔'!$B:$B,114,'01_異動主檔'!$D:$D,A1208,'01_異動主檔'!$E:$E,"移出")</f>
        <v/>
      </c>
      <c r="F1208" s="4">
        <f>SUMIFS('01_異動主檔'!$F:$F,'01_異動主檔'!$B:$B,114,'01_異動主檔'!$D:$D,A1208,'01_異動主檔'!$E:$E,"新增")</f>
        <v/>
      </c>
      <c r="G1208" s="4">
        <f>-SUMIFS('01_異動主檔'!$F:$F,'01_異動主檔'!$B:$B,114,'01_異動主檔'!$D:$D,A1208,'01_異動主檔'!$E:$E,"減列")</f>
        <v/>
      </c>
      <c r="H1208" s="4">
        <f>-SUMIFS('01_異動主檔'!$F:$F,'01_異動主檔'!$B:$B,114,'01_異動主檔'!$D:$D,A1208,'01_異動主檔'!$E:$E,"精簡")</f>
        <v/>
      </c>
      <c r="I1208" s="8">
        <f>C1208+D1208+E1208+F1208+G1208+H1208</f>
        <v/>
      </c>
    </row>
    <row r="1209" ht="18" customHeight="1">
      <c r="A1209" s="3" t="inlineStr">
        <is>
          <t>行政組</t>
        </is>
      </c>
      <c r="B1209" s="4" t="n">
        <v>115</v>
      </c>
      <c r="C1209" s="8">
        <f>I1208</f>
        <v/>
      </c>
      <c r="D1209" s="4">
        <f>SUMIFS('01_異動主檔'!$F:$F,'01_異動主檔'!$B:$B,115,'01_異動主檔'!$D:$D,A1209,'01_異動主檔'!$E:$E,"移入")</f>
        <v/>
      </c>
      <c r="E1209" s="4">
        <f>-SUMIFS('01_異動主檔'!$F:$F,'01_異動主檔'!$B:$B,115,'01_異動主檔'!$D:$D,A1209,'01_異動主檔'!$E:$E,"移出")</f>
        <v/>
      </c>
      <c r="F1209" s="4">
        <f>SUMIFS('01_異動主檔'!$F:$F,'01_異動主檔'!$B:$B,115,'01_異動主檔'!$D:$D,A1209,'01_異動主檔'!$E:$E,"新增")</f>
        <v/>
      </c>
      <c r="G1209" s="4">
        <f>-SUMIFS('01_異動主檔'!$F:$F,'01_異動主檔'!$B:$B,115,'01_異動主檔'!$D:$D,A1209,'01_異動主檔'!$E:$E,"減列")</f>
        <v/>
      </c>
      <c r="H1209" s="4">
        <f>-SUMIFS('01_異動主檔'!$F:$F,'01_異動主檔'!$B:$B,115,'01_異動主檔'!$D:$D,A1209,'01_異動主檔'!$E:$E,"精簡")</f>
        <v/>
      </c>
      <c r="I1209" s="8">
        <f>C1209+D1209+E1209+F1209+G1209+H1209</f>
        <v/>
      </c>
    </row>
    <row r="1210" ht="18" customHeight="1">
      <c r="A1210" s="5" t="inlineStr">
        <is>
          <t>行政組</t>
        </is>
      </c>
      <c r="B1210" s="6" t="n">
        <v>116</v>
      </c>
      <c r="C1210" s="8">
        <f>I1209</f>
        <v/>
      </c>
      <c r="D1210" s="4">
        <f>SUMIFS('01_異動主檔'!$F:$F,'01_異動主檔'!$B:$B,116,'01_異動主檔'!$D:$D,A1210,'01_異動主檔'!$E:$E,"移入")</f>
        <v/>
      </c>
      <c r="E1210" s="4">
        <f>-SUMIFS('01_異動主檔'!$F:$F,'01_異動主檔'!$B:$B,116,'01_異動主檔'!$D:$D,A1210,'01_異動主檔'!$E:$E,"移出")</f>
        <v/>
      </c>
      <c r="F1210" s="4">
        <f>SUMIFS('01_異動主檔'!$F:$F,'01_異動主檔'!$B:$B,116,'01_異動主檔'!$D:$D,A1210,'01_異動主檔'!$E:$E,"新增")</f>
        <v/>
      </c>
      <c r="G1210" s="4">
        <f>-SUMIFS('01_異動主檔'!$F:$F,'01_異動主檔'!$B:$B,116,'01_異動主檔'!$D:$D,A1210,'01_異動主檔'!$E:$E,"減列")</f>
        <v/>
      </c>
      <c r="H1210" s="4">
        <f>-SUMIFS('01_異動主檔'!$F:$F,'01_異動主檔'!$B:$B,116,'01_異動主檔'!$D:$D,A1210,'01_異動主檔'!$E:$E,"精簡")</f>
        <v/>
      </c>
      <c r="I1210" s="8">
        <f>C1210+D1210+E1210+F1210+G1210+H1210</f>
        <v/>
      </c>
    </row>
    <row r="1211" ht="18" customHeight="1">
      <c r="A1211" s="3" t="inlineStr">
        <is>
          <t>行政組</t>
        </is>
      </c>
      <c r="B1211" s="4" t="n">
        <v>117</v>
      </c>
      <c r="C1211" s="8">
        <f>I1210</f>
        <v/>
      </c>
      <c r="D1211" s="4">
        <f>SUMIFS('01_異動主檔'!$F:$F,'01_異動主檔'!$B:$B,117,'01_異動主檔'!$D:$D,A1211,'01_異動主檔'!$E:$E,"移入")</f>
        <v/>
      </c>
      <c r="E1211" s="4">
        <f>-SUMIFS('01_異動主檔'!$F:$F,'01_異動主檔'!$B:$B,117,'01_異動主檔'!$D:$D,A1211,'01_異動主檔'!$E:$E,"移出")</f>
        <v/>
      </c>
      <c r="F1211" s="4">
        <f>SUMIFS('01_異動主檔'!$F:$F,'01_異動主檔'!$B:$B,117,'01_異動主檔'!$D:$D,A1211,'01_異動主檔'!$E:$E,"新增")</f>
        <v/>
      </c>
      <c r="G1211" s="4">
        <f>-SUMIFS('01_異動主檔'!$F:$F,'01_異動主檔'!$B:$B,117,'01_異動主檔'!$D:$D,A1211,'01_異動主檔'!$E:$E,"減列")</f>
        <v/>
      </c>
      <c r="H1211" s="4">
        <f>-SUMIFS('01_異動主檔'!$F:$F,'01_異動主檔'!$B:$B,117,'01_異動主檔'!$D:$D,A1211,'01_異動主檔'!$E:$E,"精簡")</f>
        <v/>
      </c>
      <c r="I1211" s="8">
        <f>C1211+D1211+E1211+F1211+G1211+H1211</f>
        <v/>
      </c>
    </row>
    <row r="1212" ht="18" customHeight="1">
      <c r="A1212" s="5" t="inlineStr">
        <is>
          <t>行政組</t>
        </is>
      </c>
      <c r="B1212" s="6" t="n">
        <v>118</v>
      </c>
      <c r="C1212" s="8">
        <f>I1211</f>
        <v/>
      </c>
      <c r="D1212" s="4">
        <f>SUMIFS('01_異動主檔'!$F:$F,'01_異動主檔'!$B:$B,118,'01_異動主檔'!$D:$D,A1212,'01_異動主檔'!$E:$E,"移入")</f>
        <v/>
      </c>
      <c r="E1212" s="4">
        <f>-SUMIFS('01_異動主檔'!$F:$F,'01_異動主檔'!$B:$B,118,'01_異動主檔'!$D:$D,A1212,'01_異動主檔'!$E:$E,"移出")</f>
        <v/>
      </c>
      <c r="F1212" s="4">
        <f>SUMIFS('01_異動主檔'!$F:$F,'01_異動主檔'!$B:$B,118,'01_異動主檔'!$D:$D,A1212,'01_異動主檔'!$E:$E,"新增")</f>
        <v/>
      </c>
      <c r="G1212" s="4">
        <f>-SUMIFS('01_異動主檔'!$F:$F,'01_異動主檔'!$B:$B,118,'01_異動主檔'!$D:$D,A1212,'01_異動主檔'!$E:$E,"減列")</f>
        <v/>
      </c>
      <c r="H1212" s="4">
        <f>-SUMIFS('01_異動主檔'!$F:$F,'01_異動主檔'!$B:$B,118,'01_異動主檔'!$D:$D,A1212,'01_異動主檔'!$E:$E,"精簡")</f>
        <v/>
      </c>
      <c r="I1212" s="8">
        <f>C1212+D1212+E1212+F1212+G1212+H1212</f>
        <v/>
      </c>
    </row>
    <row r="1213" ht="18" customHeight="1">
      <c r="A1213" s="3" t="inlineStr">
        <is>
          <t>行政組</t>
        </is>
      </c>
      <c r="B1213" s="4" t="n">
        <v>119</v>
      </c>
      <c r="C1213" s="8">
        <f>I1212</f>
        <v/>
      </c>
      <c r="D1213" s="4">
        <f>SUMIFS('01_異動主檔'!$F:$F,'01_異動主檔'!$B:$B,119,'01_異動主檔'!$D:$D,A1213,'01_異動主檔'!$E:$E,"移入")</f>
        <v/>
      </c>
      <c r="E1213" s="4">
        <f>-SUMIFS('01_異動主檔'!$F:$F,'01_異動主檔'!$B:$B,119,'01_異動主檔'!$D:$D,A1213,'01_異動主檔'!$E:$E,"移出")</f>
        <v/>
      </c>
      <c r="F1213" s="4">
        <f>SUMIFS('01_異動主檔'!$F:$F,'01_異動主檔'!$B:$B,119,'01_異動主檔'!$D:$D,A1213,'01_異動主檔'!$E:$E,"新增")</f>
        <v/>
      </c>
      <c r="G1213" s="4">
        <f>-SUMIFS('01_異動主檔'!$F:$F,'01_異動主檔'!$B:$B,119,'01_異動主檔'!$D:$D,A1213,'01_異動主檔'!$E:$E,"減列")</f>
        <v/>
      </c>
      <c r="H1213" s="4">
        <f>-SUMIFS('01_異動主檔'!$F:$F,'01_異動主檔'!$B:$B,119,'01_異動主檔'!$D:$D,A1213,'01_異動主檔'!$E:$E,"精簡")</f>
        <v/>
      </c>
      <c r="I1213" s="8">
        <f>C1213+D1213+E1213+F1213+G1213+H1213</f>
        <v/>
      </c>
    </row>
    <row r="1214" ht="18" customHeight="1">
      <c r="A1214" s="5" t="inlineStr">
        <is>
          <t>行政組</t>
        </is>
      </c>
      <c r="B1214" s="6" t="n">
        <v>120</v>
      </c>
      <c r="C1214" s="8">
        <f>I1213</f>
        <v/>
      </c>
      <c r="D1214" s="4">
        <f>SUMIFS('01_異動主檔'!$F:$F,'01_異動主檔'!$B:$B,120,'01_異動主檔'!$D:$D,A1214,'01_異動主檔'!$E:$E,"移入")</f>
        <v/>
      </c>
      <c r="E1214" s="4">
        <f>-SUMIFS('01_異動主檔'!$F:$F,'01_異動主檔'!$B:$B,120,'01_異動主檔'!$D:$D,A1214,'01_異動主檔'!$E:$E,"移出")</f>
        <v/>
      </c>
      <c r="F1214" s="4">
        <f>SUMIFS('01_異動主檔'!$F:$F,'01_異動主檔'!$B:$B,120,'01_異動主檔'!$D:$D,A1214,'01_異動主檔'!$E:$E,"新增")</f>
        <v/>
      </c>
      <c r="G1214" s="4">
        <f>-SUMIFS('01_異動主檔'!$F:$F,'01_異動主檔'!$B:$B,120,'01_異動主檔'!$D:$D,A1214,'01_異動主檔'!$E:$E,"減列")</f>
        <v/>
      </c>
      <c r="H1214" s="4">
        <f>-SUMIFS('01_異動主檔'!$F:$F,'01_異動主檔'!$B:$B,120,'01_異動主檔'!$D:$D,A1214,'01_異動主檔'!$E:$E,"精簡")</f>
        <v/>
      </c>
      <c r="I1214" s="8">
        <f>C1214+D1214+E1214+F1214+G1214+H1214</f>
        <v/>
      </c>
    </row>
    <row r="1215" ht="18" customHeight="1">
      <c r="A1215" s="3" t="inlineStr">
        <is>
          <t>行政組</t>
        </is>
      </c>
      <c r="B1215" s="4" t="n">
        <v>121</v>
      </c>
      <c r="C1215" s="8">
        <f>I1214</f>
        <v/>
      </c>
      <c r="D1215" s="4">
        <f>SUMIFS('01_異動主檔'!$F:$F,'01_異動主檔'!$B:$B,121,'01_異動主檔'!$D:$D,A1215,'01_異動主檔'!$E:$E,"移入")</f>
        <v/>
      </c>
      <c r="E1215" s="4">
        <f>-SUMIFS('01_異動主檔'!$F:$F,'01_異動主檔'!$B:$B,121,'01_異動主檔'!$D:$D,A1215,'01_異動主檔'!$E:$E,"移出")</f>
        <v/>
      </c>
      <c r="F1215" s="4">
        <f>SUMIFS('01_異動主檔'!$F:$F,'01_異動主檔'!$B:$B,121,'01_異動主檔'!$D:$D,A1215,'01_異動主檔'!$E:$E,"新增")</f>
        <v/>
      </c>
      <c r="G1215" s="4">
        <f>-SUMIFS('01_異動主檔'!$F:$F,'01_異動主檔'!$B:$B,121,'01_異動主檔'!$D:$D,A1215,'01_異動主檔'!$E:$E,"減列")</f>
        <v/>
      </c>
      <c r="H1215" s="4">
        <f>-SUMIFS('01_異動主檔'!$F:$F,'01_異動主檔'!$B:$B,121,'01_異動主檔'!$D:$D,A1215,'01_異動主檔'!$E:$E,"精簡")</f>
        <v/>
      </c>
      <c r="I1215" s="8">
        <f>C1215+D1215+E1215+F1215+G1215+H1215</f>
        <v/>
      </c>
    </row>
    <row r="1216" ht="18" customHeight="1">
      <c r="A1216" s="5" t="inlineStr">
        <is>
          <t>行政組</t>
        </is>
      </c>
      <c r="B1216" s="6" t="n">
        <v>122</v>
      </c>
      <c r="C1216" s="8">
        <f>I1215</f>
        <v/>
      </c>
      <c r="D1216" s="4">
        <f>SUMIFS('01_異動主檔'!$F:$F,'01_異動主檔'!$B:$B,122,'01_異動主檔'!$D:$D,A1216,'01_異動主檔'!$E:$E,"移入")</f>
        <v/>
      </c>
      <c r="E1216" s="4">
        <f>-SUMIFS('01_異動主檔'!$F:$F,'01_異動主檔'!$B:$B,122,'01_異動主檔'!$D:$D,A1216,'01_異動主檔'!$E:$E,"移出")</f>
        <v/>
      </c>
      <c r="F1216" s="4">
        <f>SUMIFS('01_異動主檔'!$F:$F,'01_異動主檔'!$B:$B,122,'01_異動主檔'!$D:$D,A1216,'01_異動主檔'!$E:$E,"新增")</f>
        <v/>
      </c>
      <c r="G1216" s="4">
        <f>-SUMIFS('01_異動主檔'!$F:$F,'01_異動主檔'!$B:$B,122,'01_異動主檔'!$D:$D,A1216,'01_異動主檔'!$E:$E,"減列")</f>
        <v/>
      </c>
      <c r="H1216" s="4">
        <f>-SUMIFS('01_異動主檔'!$F:$F,'01_異動主檔'!$B:$B,122,'01_異動主檔'!$D:$D,A1216,'01_異動主檔'!$E:$E,"精簡")</f>
        <v/>
      </c>
      <c r="I1216" s="8">
        <f>C1216+D1216+E1216+F1216+G1216+H1216</f>
        <v/>
      </c>
    </row>
    <row r="1217" ht="18" customHeight="1">
      <c r="A1217" s="3" t="inlineStr">
        <is>
          <t>行政組</t>
        </is>
      </c>
      <c r="B1217" s="4" t="n">
        <v>123</v>
      </c>
      <c r="C1217" s="8">
        <f>I1216</f>
        <v/>
      </c>
      <c r="D1217" s="4">
        <f>SUMIFS('01_異動主檔'!$F:$F,'01_異動主檔'!$B:$B,123,'01_異動主檔'!$D:$D,A1217,'01_異動主檔'!$E:$E,"移入")</f>
        <v/>
      </c>
      <c r="E1217" s="4">
        <f>-SUMIFS('01_異動主檔'!$F:$F,'01_異動主檔'!$B:$B,123,'01_異動主檔'!$D:$D,A1217,'01_異動主檔'!$E:$E,"移出")</f>
        <v/>
      </c>
      <c r="F1217" s="4">
        <f>SUMIFS('01_異動主檔'!$F:$F,'01_異動主檔'!$B:$B,123,'01_異動主檔'!$D:$D,A1217,'01_異動主檔'!$E:$E,"新增")</f>
        <v/>
      </c>
      <c r="G1217" s="4">
        <f>-SUMIFS('01_異動主檔'!$F:$F,'01_異動主檔'!$B:$B,123,'01_異動主檔'!$D:$D,A1217,'01_異動主檔'!$E:$E,"減列")</f>
        <v/>
      </c>
      <c r="H1217" s="4">
        <f>-SUMIFS('01_異動主檔'!$F:$F,'01_異動主檔'!$B:$B,123,'01_異動主檔'!$D:$D,A1217,'01_異動主檔'!$E:$E,"精簡")</f>
        <v/>
      </c>
      <c r="I1217" s="8">
        <f>C1217+D1217+E1217+F1217+G1217+H1217</f>
        <v/>
      </c>
    </row>
    <row r="1218" ht="18" customHeight="1">
      <c r="A1218" s="5" t="inlineStr">
        <is>
          <t>行政組</t>
        </is>
      </c>
      <c r="B1218" s="6" t="n">
        <v>124</v>
      </c>
      <c r="C1218" s="8">
        <f>I1217</f>
        <v/>
      </c>
      <c r="D1218" s="4">
        <f>SUMIFS('01_異動主檔'!$F:$F,'01_異動主檔'!$B:$B,124,'01_異動主檔'!$D:$D,A1218,'01_異動主檔'!$E:$E,"移入")</f>
        <v/>
      </c>
      <c r="E1218" s="4">
        <f>-SUMIFS('01_異動主檔'!$F:$F,'01_異動主檔'!$B:$B,124,'01_異動主檔'!$D:$D,A1218,'01_異動主檔'!$E:$E,"移出")</f>
        <v/>
      </c>
      <c r="F1218" s="4">
        <f>SUMIFS('01_異動主檔'!$F:$F,'01_異動主檔'!$B:$B,124,'01_異動主檔'!$D:$D,A1218,'01_異動主檔'!$E:$E,"新增")</f>
        <v/>
      </c>
      <c r="G1218" s="4">
        <f>-SUMIFS('01_異動主檔'!$F:$F,'01_異動主檔'!$B:$B,124,'01_異動主檔'!$D:$D,A1218,'01_異動主檔'!$E:$E,"減列")</f>
        <v/>
      </c>
      <c r="H1218" s="4">
        <f>-SUMIFS('01_異動主檔'!$F:$F,'01_異動主檔'!$B:$B,124,'01_異動主檔'!$D:$D,A1218,'01_異動主檔'!$E:$E,"精簡")</f>
        <v/>
      </c>
      <c r="I1218" s="8">
        <f>C1218+D1218+E1218+F1218+G1218+H1218</f>
        <v/>
      </c>
    </row>
    <row r="1219" ht="18" customHeight="1">
      <c r="A1219" s="3" t="inlineStr">
        <is>
          <t>行政組</t>
        </is>
      </c>
      <c r="B1219" s="4" t="n">
        <v>125</v>
      </c>
      <c r="C1219" s="8">
        <f>I1218</f>
        <v/>
      </c>
      <c r="D1219" s="4">
        <f>SUMIFS('01_異動主檔'!$F:$F,'01_異動主檔'!$B:$B,125,'01_異動主檔'!$D:$D,A1219,'01_異動主檔'!$E:$E,"移入")</f>
        <v/>
      </c>
      <c r="E1219" s="4">
        <f>-SUMIFS('01_異動主檔'!$F:$F,'01_異動主檔'!$B:$B,125,'01_異動主檔'!$D:$D,A1219,'01_異動主檔'!$E:$E,"移出")</f>
        <v/>
      </c>
      <c r="F1219" s="4">
        <f>SUMIFS('01_異動主檔'!$F:$F,'01_異動主檔'!$B:$B,125,'01_異動主檔'!$D:$D,A1219,'01_異動主檔'!$E:$E,"新增")</f>
        <v/>
      </c>
      <c r="G1219" s="4">
        <f>-SUMIFS('01_異動主檔'!$F:$F,'01_異動主檔'!$B:$B,125,'01_異動主檔'!$D:$D,A1219,'01_異動主檔'!$E:$E,"減列")</f>
        <v/>
      </c>
      <c r="H1219" s="4">
        <f>-SUMIFS('01_異動主檔'!$F:$F,'01_異動主檔'!$B:$B,125,'01_異動主檔'!$D:$D,A1219,'01_異動主檔'!$E:$E,"精簡")</f>
        <v/>
      </c>
      <c r="I1219" s="8">
        <f>C1219+D1219+E1219+F1219+G1219+H1219</f>
        <v/>
      </c>
    </row>
    <row r="1220" ht="18" customHeight="1">
      <c r="A1220" s="5" t="inlineStr">
        <is>
          <t>財務組</t>
        </is>
      </c>
      <c r="B1220" s="6" t="n">
        <v>99</v>
      </c>
      <c r="C1220" s="8">
        <f>'02_年初員額設定'!B50</f>
        <v/>
      </c>
      <c r="D1220" s="4">
        <f>SUMIFS('01_異動主檔'!$F:$F,'01_異動主檔'!$B:$B,99,'01_異動主檔'!$D:$D,A1220,'01_異動主檔'!$E:$E,"移入")</f>
        <v/>
      </c>
      <c r="E1220" s="4">
        <f>-SUMIFS('01_異動主檔'!$F:$F,'01_異動主檔'!$B:$B,99,'01_異動主檔'!$D:$D,A1220,'01_異動主檔'!$E:$E,"移出")</f>
        <v/>
      </c>
      <c r="F1220" s="4">
        <f>SUMIFS('01_異動主檔'!$F:$F,'01_異動主檔'!$B:$B,99,'01_異動主檔'!$D:$D,A1220,'01_異動主檔'!$E:$E,"新增")</f>
        <v/>
      </c>
      <c r="G1220" s="4">
        <f>-SUMIFS('01_異動主檔'!$F:$F,'01_異動主檔'!$B:$B,99,'01_異動主檔'!$D:$D,A1220,'01_異動主檔'!$E:$E,"減列")</f>
        <v/>
      </c>
      <c r="H1220" s="4">
        <f>-SUMIFS('01_異動主檔'!$F:$F,'01_異動主檔'!$B:$B,99,'01_異動主檔'!$D:$D,A1220,'01_異動主檔'!$E:$E,"精簡")</f>
        <v/>
      </c>
      <c r="I1220" s="8">
        <f>C1220+D1220+E1220+F1220+G1220+H1220</f>
        <v/>
      </c>
    </row>
    <row r="1221" ht="18" customHeight="1">
      <c r="A1221" s="3" t="inlineStr">
        <is>
          <t>財務組</t>
        </is>
      </c>
      <c r="B1221" s="4" t="n">
        <v>100</v>
      </c>
      <c r="C1221" s="8">
        <f>I1220</f>
        <v/>
      </c>
      <c r="D1221" s="4">
        <f>SUMIFS('01_異動主檔'!$F:$F,'01_異動主檔'!$B:$B,100,'01_異動主檔'!$D:$D,A1221,'01_異動主檔'!$E:$E,"移入")</f>
        <v/>
      </c>
      <c r="E1221" s="4">
        <f>-SUMIFS('01_異動主檔'!$F:$F,'01_異動主檔'!$B:$B,100,'01_異動主檔'!$D:$D,A1221,'01_異動主檔'!$E:$E,"移出")</f>
        <v/>
      </c>
      <c r="F1221" s="4">
        <f>SUMIFS('01_異動主檔'!$F:$F,'01_異動主檔'!$B:$B,100,'01_異動主檔'!$D:$D,A1221,'01_異動主檔'!$E:$E,"新增")</f>
        <v/>
      </c>
      <c r="G1221" s="4">
        <f>-SUMIFS('01_異動主檔'!$F:$F,'01_異動主檔'!$B:$B,100,'01_異動主檔'!$D:$D,A1221,'01_異動主檔'!$E:$E,"減列")</f>
        <v/>
      </c>
      <c r="H1221" s="4">
        <f>-SUMIFS('01_異動主檔'!$F:$F,'01_異動主檔'!$B:$B,100,'01_異動主檔'!$D:$D,A1221,'01_異動主檔'!$E:$E,"精簡")</f>
        <v/>
      </c>
      <c r="I1221" s="8">
        <f>C1221+D1221+E1221+F1221+G1221+H1221</f>
        <v/>
      </c>
    </row>
    <row r="1222" ht="18" customHeight="1">
      <c r="A1222" s="5" t="inlineStr">
        <is>
          <t>財務組</t>
        </is>
      </c>
      <c r="B1222" s="6" t="n">
        <v>101</v>
      </c>
      <c r="C1222" s="8">
        <f>I1221</f>
        <v/>
      </c>
      <c r="D1222" s="4">
        <f>SUMIFS('01_異動主檔'!$F:$F,'01_異動主檔'!$B:$B,101,'01_異動主檔'!$D:$D,A1222,'01_異動主檔'!$E:$E,"移入")</f>
        <v/>
      </c>
      <c r="E1222" s="4">
        <f>-SUMIFS('01_異動主檔'!$F:$F,'01_異動主檔'!$B:$B,101,'01_異動主檔'!$D:$D,A1222,'01_異動主檔'!$E:$E,"移出")</f>
        <v/>
      </c>
      <c r="F1222" s="4">
        <f>SUMIFS('01_異動主檔'!$F:$F,'01_異動主檔'!$B:$B,101,'01_異動主檔'!$D:$D,A1222,'01_異動主檔'!$E:$E,"新增")</f>
        <v/>
      </c>
      <c r="G1222" s="4">
        <f>-SUMIFS('01_異動主檔'!$F:$F,'01_異動主檔'!$B:$B,101,'01_異動主檔'!$D:$D,A1222,'01_異動主檔'!$E:$E,"減列")</f>
        <v/>
      </c>
      <c r="H1222" s="4">
        <f>-SUMIFS('01_異動主檔'!$F:$F,'01_異動主檔'!$B:$B,101,'01_異動主檔'!$D:$D,A1222,'01_異動主檔'!$E:$E,"精簡")</f>
        <v/>
      </c>
      <c r="I1222" s="8">
        <f>C1222+D1222+E1222+F1222+G1222+H1222</f>
        <v/>
      </c>
    </row>
    <row r="1223" ht="18" customHeight="1">
      <c r="A1223" s="3" t="inlineStr">
        <is>
          <t>財務組</t>
        </is>
      </c>
      <c r="B1223" s="4" t="n">
        <v>102</v>
      </c>
      <c r="C1223" s="8">
        <f>I1222</f>
        <v/>
      </c>
      <c r="D1223" s="4">
        <f>SUMIFS('01_異動主檔'!$F:$F,'01_異動主檔'!$B:$B,102,'01_異動主檔'!$D:$D,A1223,'01_異動主檔'!$E:$E,"移入")</f>
        <v/>
      </c>
      <c r="E1223" s="4">
        <f>-SUMIFS('01_異動主檔'!$F:$F,'01_異動主檔'!$B:$B,102,'01_異動主檔'!$D:$D,A1223,'01_異動主檔'!$E:$E,"移出")</f>
        <v/>
      </c>
      <c r="F1223" s="4">
        <f>SUMIFS('01_異動主檔'!$F:$F,'01_異動主檔'!$B:$B,102,'01_異動主檔'!$D:$D,A1223,'01_異動主檔'!$E:$E,"新增")</f>
        <v/>
      </c>
      <c r="G1223" s="4">
        <f>-SUMIFS('01_異動主檔'!$F:$F,'01_異動主檔'!$B:$B,102,'01_異動主檔'!$D:$D,A1223,'01_異動主檔'!$E:$E,"減列")</f>
        <v/>
      </c>
      <c r="H1223" s="4">
        <f>-SUMIFS('01_異動主檔'!$F:$F,'01_異動主檔'!$B:$B,102,'01_異動主檔'!$D:$D,A1223,'01_異動主檔'!$E:$E,"精簡")</f>
        <v/>
      </c>
      <c r="I1223" s="8">
        <f>C1223+D1223+E1223+F1223+G1223+H1223</f>
        <v/>
      </c>
    </row>
    <row r="1224" ht="18" customHeight="1">
      <c r="A1224" s="5" t="inlineStr">
        <is>
          <t>財務組</t>
        </is>
      </c>
      <c r="B1224" s="6" t="n">
        <v>103</v>
      </c>
      <c r="C1224" s="8">
        <f>I1223</f>
        <v/>
      </c>
      <c r="D1224" s="4">
        <f>SUMIFS('01_異動主檔'!$F:$F,'01_異動主檔'!$B:$B,103,'01_異動主檔'!$D:$D,A1224,'01_異動主檔'!$E:$E,"移入")</f>
        <v/>
      </c>
      <c r="E1224" s="4">
        <f>-SUMIFS('01_異動主檔'!$F:$F,'01_異動主檔'!$B:$B,103,'01_異動主檔'!$D:$D,A1224,'01_異動主檔'!$E:$E,"移出")</f>
        <v/>
      </c>
      <c r="F1224" s="4">
        <f>SUMIFS('01_異動主檔'!$F:$F,'01_異動主檔'!$B:$B,103,'01_異動主檔'!$D:$D,A1224,'01_異動主檔'!$E:$E,"新增")</f>
        <v/>
      </c>
      <c r="G1224" s="4">
        <f>-SUMIFS('01_異動主檔'!$F:$F,'01_異動主檔'!$B:$B,103,'01_異動主檔'!$D:$D,A1224,'01_異動主檔'!$E:$E,"減列")</f>
        <v/>
      </c>
      <c r="H1224" s="4">
        <f>-SUMIFS('01_異動主檔'!$F:$F,'01_異動主檔'!$B:$B,103,'01_異動主檔'!$D:$D,A1224,'01_異動主檔'!$E:$E,"精簡")</f>
        <v/>
      </c>
      <c r="I1224" s="8">
        <f>C1224+D1224+E1224+F1224+G1224+H1224</f>
        <v/>
      </c>
    </row>
    <row r="1225" ht="18" customHeight="1">
      <c r="A1225" s="3" t="inlineStr">
        <is>
          <t>財務組</t>
        </is>
      </c>
      <c r="B1225" s="4" t="n">
        <v>104</v>
      </c>
      <c r="C1225" s="8">
        <f>I1224</f>
        <v/>
      </c>
      <c r="D1225" s="4">
        <f>SUMIFS('01_異動主檔'!$F:$F,'01_異動主檔'!$B:$B,104,'01_異動主檔'!$D:$D,A1225,'01_異動主檔'!$E:$E,"移入")</f>
        <v/>
      </c>
      <c r="E1225" s="4">
        <f>-SUMIFS('01_異動主檔'!$F:$F,'01_異動主檔'!$B:$B,104,'01_異動主檔'!$D:$D,A1225,'01_異動主檔'!$E:$E,"移出")</f>
        <v/>
      </c>
      <c r="F1225" s="4">
        <f>SUMIFS('01_異動主檔'!$F:$F,'01_異動主檔'!$B:$B,104,'01_異動主檔'!$D:$D,A1225,'01_異動主檔'!$E:$E,"新增")</f>
        <v/>
      </c>
      <c r="G1225" s="4">
        <f>-SUMIFS('01_異動主檔'!$F:$F,'01_異動主檔'!$B:$B,104,'01_異動主檔'!$D:$D,A1225,'01_異動主檔'!$E:$E,"減列")</f>
        <v/>
      </c>
      <c r="H1225" s="4">
        <f>-SUMIFS('01_異動主檔'!$F:$F,'01_異動主檔'!$B:$B,104,'01_異動主檔'!$D:$D,A1225,'01_異動主檔'!$E:$E,"精簡")</f>
        <v/>
      </c>
      <c r="I1225" s="8">
        <f>C1225+D1225+E1225+F1225+G1225+H1225</f>
        <v/>
      </c>
    </row>
    <row r="1226" ht="18" customHeight="1">
      <c r="A1226" s="5" t="inlineStr">
        <is>
          <t>財務組</t>
        </is>
      </c>
      <c r="B1226" s="6" t="n">
        <v>105</v>
      </c>
      <c r="C1226" s="8">
        <f>I1225</f>
        <v/>
      </c>
      <c r="D1226" s="4">
        <f>SUMIFS('01_異動主檔'!$F:$F,'01_異動主檔'!$B:$B,105,'01_異動主檔'!$D:$D,A1226,'01_異動主檔'!$E:$E,"移入")</f>
        <v/>
      </c>
      <c r="E1226" s="4">
        <f>-SUMIFS('01_異動主檔'!$F:$F,'01_異動主檔'!$B:$B,105,'01_異動主檔'!$D:$D,A1226,'01_異動主檔'!$E:$E,"移出")</f>
        <v/>
      </c>
      <c r="F1226" s="4">
        <f>SUMIFS('01_異動主檔'!$F:$F,'01_異動主檔'!$B:$B,105,'01_異動主檔'!$D:$D,A1226,'01_異動主檔'!$E:$E,"新增")</f>
        <v/>
      </c>
      <c r="G1226" s="4">
        <f>-SUMIFS('01_異動主檔'!$F:$F,'01_異動主檔'!$B:$B,105,'01_異動主檔'!$D:$D,A1226,'01_異動主檔'!$E:$E,"減列")</f>
        <v/>
      </c>
      <c r="H1226" s="4">
        <f>-SUMIFS('01_異動主檔'!$F:$F,'01_異動主檔'!$B:$B,105,'01_異動主檔'!$D:$D,A1226,'01_異動主檔'!$E:$E,"精簡")</f>
        <v/>
      </c>
      <c r="I1226" s="8">
        <f>C1226+D1226+E1226+F1226+G1226+H1226</f>
        <v/>
      </c>
    </row>
    <row r="1227" ht="18" customHeight="1">
      <c r="A1227" s="3" t="inlineStr">
        <is>
          <t>財務組</t>
        </is>
      </c>
      <c r="B1227" s="4" t="n">
        <v>106</v>
      </c>
      <c r="C1227" s="8">
        <f>I1226</f>
        <v/>
      </c>
      <c r="D1227" s="4">
        <f>SUMIFS('01_異動主檔'!$F:$F,'01_異動主檔'!$B:$B,106,'01_異動主檔'!$D:$D,A1227,'01_異動主檔'!$E:$E,"移入")</f>
        <v/>
      </c>
      <c r="E1227" s="4">
        <f>-SUMIFS('01_異動主檔'!$F:$F,'01_異動主檔'!$B:$B,106,'01_異動主檔'!$D:$D,A1227,'01_異動主檔'!$E:$E,"移出")</f>
        <v/>
      </c>
      <c r="F1227" s="4">
        <f>SUMIFS('01_異動主檔'!$F:$F,'01_異動主檔'!$B:$B,106,'01_異動主檔'!$D:$D,A1227,'01_異動主檔'!$E:$E,"新增")</f>
        <v/>
      </c>
      <c r="G1227" s="4">
        <f>-SUMIFS('01_異動主檔'!$F:$F,'01_異動主檔'!$B:$B,106,'01_異動主檔'!$D:$D,A1227,'01_異動主檔'!$E:$E,"減列")</f>
        <v/>
      </c>
      <c r="H1227" s="4">
        <f>-SUMIFS('01_異動主檔'!$F:$F,'01_異動主檔'!$B:$B,106,'01_異動主檔'!$D:$D,A1227,'01_異動主檔'!$E:$E,"精簡")</f>
        <v/>
      </c>
      <c r="I1227" s="8">
        <f>C1227+D1227+E1227+F1227+G1227+H1227</f>
        <v/>
      </c>
    </row>
    <row r="1228" ht="18" customHeight="1">
      <c r="A1228" s="5" t="inlineStr">
        <is>
          <t>財務組</t>
        </is>
      </c>
      <c r="B1228" s="6" t="n">
        <v>107</v>
      </c>
      <c r="C1228" s="8">
        <f>I1227</f>
        <v/>
      </c>
      <c r="D1228" s="4">
        <f>SUMIFS('01_異動主檔'!$F:$F,'01_異動主檔'!$B:$B,107,'01_異動主檔'!$D:$D,A1228,'01_異動主檔'!$E:$E,"移入")</f>
        <v/>
      </c>
      <c r="E1228" s="4">
        <f>-SUMIFS('01_異動主檔'!$F:$F,'01_異動主檔'!$B:$B,107,'01_異動主檔'!$D:$D,A1228,'01_異動主檔'!$E:$E,"移出")</f>
        <v/>
      </c>
      <c r="F1228" s="4">
        <f>SUMIFS('01_異動主檔'!$F:$F,'01_異動主檔'!$B:$B,107,'01_異動主檔'!$D:$D,A1228,'01_異動主檔'!$E:$E,"新增")</f>
        <v/>
      </c>
      <c r="G1228" s="4">
        <f>-SUMIFS('01_異動主檔'!$F:$F,'01_異動主檔'!$B:$B,107,'01_異動主檔'!$D:$D,A1228,'01_異動主檔'!$E:$E,"減列")</f>
        <v/>
      </c>
      <c r="H1228" s="4">
        <f>-SUMIFS('01_異動主檔'!$F:$F,'01_異動主檔'!$B:$B,107,'01_異動主檔'!$D:$D,A1228,'01_異動主檔'!$E:$E,"精簡")</f>
        <v/>
      </c>
      <c r="I1228" s="8">
        <f>C1228+D1228+E1228+F1228+G1228+H1228</f>
        <v/>
      </c>
    </row>
    <row r="1229" ht="18" customHeight="1">
      <c r="A1229" s="3" t="inlineStr">
        <is>
          <t>財務組</t>
        </is>
      </c>
      <c r="B1229" s="4" t="n">
        <v>108</v>
      </c>
      <c r="C1229" s="8">
        <f>I1228</f>
        <v/>
      </c>
      <c r="D1229" s="4">
        <f>SUMIFS('01_異動主檔'!$F:$F,'01_異動主檔'!$B:$B,108,'01_異動主檔'!$D:$D,A1229,'01_異動主檔'!$E:$E,"移入")</f>
        <v/>
      </c>
      <c r="E1229" s="4">
        <f>-SUMIFS('01_異動主檔'!$F:$F,'01_異動主檔'!$B:$B,108,'01_異動主檔'!$D:$D,A1229,'01_異動主檔'!$E:$E,"移出")</f>
        <v/>
      </c>
      <c r="F1229" s="4">
        <f>SUMIFS('01_異動主檔'!$F:$F,'01_異動主檔'!$B:$B,108,'01_異動主檔'!$D:$D,A1229,'01_異動主檔'!$E:$E,"新增")</f>
        <v/>
      </c>
      <c r="G1229" s="4">
        <f>-SUMIFS('01_異動主檔'!$F:$F,'01_異動主檔'!$B:$B,108,'01_異動主檔'!$D:$D,A1229,'01_異動主檔'!$E:$E,"減列")</f>
        <v/>
      </c>
      <c r="H1229" s="4">
        <f>-SUMIFS('01_異動主檔'!$F:$F,'01_異動主檔'!$B:$B,108,'01_異動主檔'!$D:$D,A1229,'01_異動主檔'!$E:$E,"精簡")</f>
        <v/>
      </c>
      <c r="I1229" s="8">
        <f>C1229+D1229+E1229+F1229+G1229+H1229</f>
        <v/>
      </c>
    </row>
    <row r="1230" ht="18" customHeight="1">
      <c r="A1230" s="5" t="inlineStr">
        <is>
          <t>財務組</t>
        </is>
      </c>
      <c r="B1230" s="6" t="n">
        <v>109</v>
      </c>
      <c r="C1230" s="8">
        <f>I1229</f>
        <v/>
      </c>
      <c r="D1230" s="4">
        <f>SUMIFS('01_異動主檔'!$F:$F,'01_異動主檔'!$B:$B,109,'01_異動主檔'!$D:$D,A1230,'01_異動主檔'!$E:$E,"移入")</f>
        <v/>
      </c>
      <c r="E1230" s="4">
        <f>-SUMIFS('01_異動主檔'!$F:$F,'01_異動主檔'!$B:$B,109,'01_異動主檔'!$D:$D,A1230,'01_異動主檔'!$E:$E,"移出")</f>
        <v/>
      </c>
      <c r="F1230" s="4">
        <f>SUMIFS('01_異動主檔'!$F:$F,'01_異動主檔'!$B:$B,109,'01_異動主檔'!$D:$D,A1230,'01_異動主檔'!$E:$E,"新增")</f>
        <v/>
      </c>
      <c r="G1230" s="4">
        <f>-SUMIFS('01_異動主檔'!$F:$F,'01_異動主檔'!$B:$B,109,'01_異動主檔'!$D:$D,A1230,'01_異動主檔'!$E:$E,"減列")</f>
        <v/>
      </c>
      <c r="H1230" s="4">
        <f>-SUMIFS('01_異動主檔'!$F:$F,'01_異動主檔'!$B:$B,109,'01_異動主檔'!$D:$D,A1230,'01_異動主檔'!$E:$E,"精簡")</f>
        <v/>
      </c>
      <c r="I1230" s="8">
        <f>C1230+D1230+E1230+F1230+G1230+H1230</f>
        <v/>
      </c>
    </row>
    <row r="1231" ht="18" customHeight="1">
      <c r="A1231" s="3" t="inlineStr">
        <is>
          <t>財務組</t>
        </is>
      </c>
      <c r="B1231" s="4" t="n">
        <v>110</v>
      </c>
      <c r="C1231" s="8">
        <f>I1230</f>
        <v/>
      </c>
      <c r="D1231" s="4">
        <f>SUMIFS('01_異動主檔'!$F:$F,'01_異動主檔'!$B:$B,110,'01_異動主檔'!$D:$D,A1231,'01_異動主檔'!$E:$E,"移入")</f>
        <v/>
      </c>
      <c r="E1231" s="4">
        <f>-SUMIFS('01_異動主檔'!$F:$F,'01_異動主檔'!$B:$B,110,'01_異動主檔'!$D:$D,A1231,'01_異動主檔'!$E:$E,"移出")</f>
        <v/>
      </c>
      <c r="F1231" s="4">
        <f>SUMIFS('01_異動主檔'!$F:$F,'01_異動主檔'!$B:$B,110,'01_異動主檔'!$D:$D,A1231,'01_異動主檔'!$E:$E,"新增")</f>
        <v/>
      </c>
      <c r="G1231" s="4">
        <f>-SUMIFS('01_異動主檔'!$F:$F,'01_異動主檔'!$B:$B,110,'01_異動主檔'!$D:$D,A1231,'01_異動主檔'!$E:$E,"減列")</f>
        <v/>
      </c>
      <c r="H1231" s="4">
        <f>-SUMIFS('01_異動主檔'!$F:$F,'01_異動主檔'!$B:$B,110,'01_異動主檔'!$D:$D,A1231,'01_異動主檔'!$E:$E,"精簡")</f>
        <v/>
      </c>
      <c r="I1231" s="8">
        <f>C1231+D1231+E1231+F1231+G1231+H1231</f>
        <v/>
      </c>
    </row>
    <row r="1232" ht="18" customHeight="1">
      <c r="A1232" s="5" t="inlineStr">
        <is>
          <t>財務組</t>
        </is>
      </c>
      <c r="B1232" s="6" t="n">
        <v>111</v>
      </c>
      <c r="C1232" s="8">
        <f>I1231</f>
        <v/>
      </c>
      <c r="D1232" s="4">
        <f>SUMIFS('01_異動主檔'!$F:$F,'01_異動主檔'!$B:$B,111,'01_異動主檔'!$D:$D,A1232,'01_異動主檔'!$E:$E,"移入")</f>
        <v/>
      </c>
      <c r="E1232" s="4">
        <f>-SUMIFS('01_異動主檔'!$F:$F,'01_異動主檔'!$B:$B,111,'01_異動主檔'!$D:$D,A1232,'01_異動主檔'!$E:$E,"移出")</f>
        <v/>
      </c>
      <c r="F1232" s="4">
        <f>SUMIFS('01_異動主檔'!$F:$F,'01_異動主檔'!$B:$B,111,'01_異動主檔'!$D:$D,A1232,'01_異動主檔'!$E:$E,"新增")</f>
        <v/>
      </c>
      <c r="G1232" s="4">
        <f>-SUMIFS('01_異動主檔'!$F:$F,'01_異動主檔'!$B:$B,111,'01_異動主檔'!$D:$D,A1232,'01_異動主檔'!$E:$E,"減列")</f>
        <v/>
      </c>
      <c r="H1232" s="4">
        <f>-SUMIFS('01_異動主檔'!$F:$F,'01_異動主檔'!$B:$B,111,'01_異動主檔'!$D:$D,A1232,'01_異動主檔'!$E:$E,"精簡")</f>
        <v/>
      </c>
      <c r="I1232" s="8">
        <f>C1232+D1232+E1232+F1232+G1232+H1232</f>
        <v/>
      </c>
    </row>
    <row r="1233" ht="18" customHeight="1">
      <c r="A1233" s="3" t="inlineStr">
        <is>
          <t>財務組</t>
        </is>
      </c>
      <c r="B1233" s="4" t="n">
        <v>112</v>
      </c>
      <c r="C1233" s="8">
        <f>I1232</f>
        <v/>
      </c>
      <c r="D1233" s="4">
        <f>SUMIFS('01_異動主檔'!$F:$F,'01_異動主檔'!$B:$B,112,'01_異動主檔'!$D:$D,A1233,'01_異動主檔'!$E:$E,"移入")</f>
        <v/>
      </c>
      <c r="E1233" s="4">
        <f>-SUMIFS('01_異動主檔'!$F:$F,'01_異動主檔'!$B:$B,112,'01_異動主檔'!$D:$D,A1233,'01_異動主檔'!$E:$E,"移出")</f>
        <v/>
      </c>
      <c r="F1233" s="4">
        <f>SUMIFS('01_異動主檔'!$F:$F,'01_異動主檔'!$B:$B,112,'01_異動主檔'!$D:$D,A1233,'01_異動主檔'!$E:$E,"新增")</f>
        <v/>
      </c>
      <c r="G1233" s="4">
        <f>-SUMIFS('01_異動主檔'!$F:$F,'01_異動主檔'!$B:$B,112,'01_異動主檔'!$D:$D,A1233,'01_異動主檔'!$E:$E,"減列")</f>
        <v/>
      </c>
      <c r="H1233" s="4">
        <f>-SUMIFS('01_異動主檔'!$F:$F,'01_異動主檔'!$B:$B,112,'01_異動主檔'!$D:$D,A1233,'01_異動主檔'!$E:$E,"精簡")</f>
        <v/>
      </c>
      <c r="I1233" s="8">
        <f>C1233+D1233+E1233+F1233+G1233+H1233</f>
        <v/>
      </c>
    </row>
    <row r="1234" ht="18" customHeight="1">
      <c r="A1234" s="5" t="inlineStr">
        <is>
          <t>財務組</t>
        </is>
      </c>
      <c r="B1234" s="6" t="n">
        <v>113</v>
      </c>
      <c r="C1234" s="8">
        <f>I1233</f>
        <v/>
      </c>
      <c r="D1234" s="4">
        <f>SUMIFS('01_異動主檔'!$F:$F,'01_異動主檔'!$B:$B,113,'01_異動主檔'!$D:$D,A1234,'01_異動主檔'!$E:$E,"移入")</f>
        <v/>
      </c>
      <c r="E1234" s="4">
        <f>-SUMIFS('01_異動主檔'!$F:$F,'01_異動主檔'!$B:$B,113,'01_異動主檔'!$D:$D,A1234,'01_異動主檔'!$E:$E,"移出")</f>
        <v/>
      </c>
      <c r="F1234" s="4">
        <f>SUMIFS('01_異動主檔'!$F:$F,'01_異動主檔'!$B:$B,113,'01_異動主檔'!$D:$D,A1234,'01_異動主檔'!$E:$E,"新增")</f>
        <v/>
      </c>
      <c r="G1234" s="4">
        <f>-SUMIFS('01_異動主檔'!$F:$F,'01_異動主檔'!$B:$B,113,'01_異動主檔'!$D:$D,A1234,'01_異動主檔'!$E:$E,"減列")</f>
        <v/>
      </c>
      <c r="H1234" s="4">
        <f>-SUMIFS('01_異動主檔'!$F:$F,'01_異動主檔'!$B:$B,113,'01_異動主檔'!$D:$D,A1234,'01_異動主檔'!$E:$E,"精簡")</f>
        <v/>
      </c>
      <c r="I1234" s="8">
        <f>C1234+D1234+E1234+F1234+G1234+H1234</f>
        <v/>
      </c>
    </row>
    <row r="1235" ht="18" customHeight="1">
      <c r="A1235" s="3" t="inlineStr">
        <is>
          <t>財務組</t>
        </is>
      </c>
      <c r="B1235" s="4" t="n">
        <v>114</v>
      </c>
      <c r="C1235" s="8">
        <f>I1234</f>
        <v/>
      </c>
      <c r="D1235" s="4">
        <f>SUMIFS('01_異動主檔'!$F:$F,'01_異動主檔'!$B:$B,114,'01_異動主檔'!$D:$D,A1235,'01_異動主檔'!$E:$E,"移入")</f>
        <v/>
      </c>
      <c r="E1235" s="4">
        <f>-SUMIFS('01_異動主檔'!$F:$F,'01_異動主檔'!$B:$B,114,'01_異動主檔'!$D:$D,A1235,'01_異動主檔'!$E:$E,"移出")</f>
        <v/>
      </c>
      <c r="F1235" s="4">
        <f>SUMIFS('01_異動主檔'!$F:$F,'01_異動主檔'!$B:$B,114,'01_異動主檔'!$D:$D,A1235,'01_異動主檔'!$E:$E,"新增")</f>
        <v/>
      </c>
      <c r="G1235" s="4">
        <f>-SUMIFS('01_異動主檔'!$F:$F,'01_異動主檔'!$B:$B,114,'01_異動主檔'!$D:$D,A1235,'01_異動主檔'!$E:$E,"減列")</f>
        <v/>
      </c>
      <c r="H1235" s="4">
        <f>-SUMIFS('01_異動主檔'!$F:$F,'01_異動主檔'!$B:$B,114,'01_異動主檔'!$D:$D,A1235,'01_異動主檔'!$E:$E,"精簡")</f>
        <v/>
      </c>
      <c r="I1235" s="8">
        <f>C1235+D1235+E1235+F1235+G1235+H1235</f>
        <v/>
      </c>
    </row>
    <row r="1236" ht="18" customHeight="1">
      <c r="A1236" s="5" t="inlineStr">
        <is>
          <t>財務組</t>
        </is>
      </c>
      <c r="B1236" s="6" t="n">
        <v>115</v>
      </c>
      <c r="C1236" s="8">
        <f>I1235</f>
        <v/>
      </c>
      <c r="D1236" s="4">
        <f>SUMIFS('01_異動主檔'!$F:$F,'01_異動主檔'!$B:$B,115,'01_異動主檔'!$D:$D,A1236,'01_異動主檔'!$E:$E,"移入")</f>
        <v/>
      </c>
      <c r="E1236" s="4">
        <f>-SUMIFS('01_異動主檔'!$F:$F,'01_異動主檔'!$B:$B,115,'01_異動主檔'!$D:$D,A1236,'01_異動主檔'!$E:$E,"移出")</f>
        <v/>
      </c>
      <c r="F1236" s="4">
        <f>SUMIFS('01_異動主檔'!$F:$F,'01_異動主檔'!$B:$B,115,'01_異動主檔'!$D:$D,A1236,'01_異動主檔'!$E:$E,"新增")</f>
        <v/>
      </c>
      <c r="G1236" s="4">
        <f>-SUMIFS('01_異動主檔'!$F:$F,'01_異動主檔'!$B:$B,115,'01_異動主檔'!$D:$D,A1236,'01_異動主檔'!$E:$E,"減列")</f>
        <v/>
      </c>
      <c r="H1236" s="4">
        <f>-SUMIFS('01_異動主檔'!$F:$F,'01_異動主檔'!$B:$B,115,'01_異動主檔'!$D:$D,A1236,'01_異動主檔'!$E:$E,"精簡")</f>
        <v/>
      </c>
      <c r="I1236" s="8">
        <f>C1236+D1236+E1236+F1236+G1236+H1236</f>
        <v/>
      </c>
    </row>
    <row r="1237" ht="18" customHeight="1">
      <c r="A1237" s="3" t="inlineStr">
        <is>
          <t>財務組</t>
        </is>
      </c>
      <c r="B1237" s="4" t="n">
        <v>116</v>
      </c>
      <c r="C1237" s="8">
        <f>I1236</f>
        <v/>
      </c>
      <c r="D1237" s="4">
        <f>SUMIFS('01_異動主檔'!$F:$F,'01_異動主檔'!$B:$B,116,'01_異動主檔'!$D:$D,A1237,'01_異動主檔'!$E:$E,"移入")</f>
        <v/>
      </c>
      <c r="E1237" s="4">
        <f>-SUMIFS('01_異動主檔'!$F:$F,'01_異動主檔'!$B:$B,116,'01_異動主檔'!$D:$D,A1237,'01_異動主檔'!$E:$E,"移出")</f>
        <v/>
      </c>
      <c r="F1237" s="4">
        <f>SUMIFS('01_異動主檔'!$F:$F,'01_異動主檔'!$B:$B,116,'01_異動主檔'!$D:$D,A1237,'01_異動主檔'!$E:$E,"新增")</f>
        <v/>
      </c>
      <c r="G1237" s="4">
        <f>-SUMIFS('01_異動主檔'!$F:$F,'01_異動主檔'!$B:$B,116,'01_異動主檔'!$D:$D,A1237,'01_異動主檔'!$E:$E,"減列")</f>
        <v/>
      </c>
      <c r="H1237" s="4">
        <f>-SUMIFS('01_異動主檔'!$F:$F,'01_異動主檔'!$B:$B,116,'01_異動主檔'!$D:$D,A1237,'01_異動主檔'!$E:$E,"精簡")</f>
        <v/>
      </c>
      <c r="I1237" s="8">
        <f>C1237+D1237+E1237+F1237+G1237+H1237</f>
        <v/>
      </c>
    </row>
    <row r="1238" ht="18" customHeight="1">
      <c r="A1238" s="5" t="inlineStr">
        <is>
          <t>財務組</t>
        </is>
      </c>
      <c r="B1238" s="6" t="n">
        <v>117</v>
      </c>
      <c r="C1238" s="8">
        <f>I1237</f>
        <v/>
      </c>
      <c r="D1238" s="4">
        <f>SUMIFS('01_異動主檔'!$F:$F,'01_異動主檔'!$B:$B,117,'01_異動主檔'!$D:$D,A1238,'01_異動主檔'!$E:$E,"移入")</f>
        <v/>
      </c>
      <c r="E1238" s="4">
        <f>-SUMIFS('01_異動主檔'!$F:$F,'01_異動主檔'!$B:$B,117,'01_異動主檔'!$D:$D,A1238,'01_異動主檔'!$E:$E,"移出")</f>
        <v/>
      </c>
      <c r="F1238" s="4">
        <f>SUMIFS('01_異動主檔'!$F:$F,'01_異動主檔'!$B:$B,117,'01_異動主檔'!$D:$D,A1238,'01_異動主檔'!$E:$E,"新增")</f>
        <v/>
      </c>
      <c r="G1238" s="4">
        <f>-SUMIFS('01_異動主檔'!$F:$F,'01_異動主檔'!$B:$B,117,'01_異動主檔'!$D:$D,A1238,'01_異動主檔'!$E:$E,"減列")</f>
        <v/>
      </c>
      <c r="H1238" s="4">
        <f>-SUMIFS('01_異動主檔'!$F:$F,'01_異動主檔'!$B:$B,117,'01_異動主檔'!$D:$D,A1238,'01_異動主檔'!$E:$E,"精簡")</f>
        <v/>
      </c>
      <c r="I1238" s="8">
        <f>C1238+D1238+E1238+F1238+G1238+H1238</f>
        <v/>
      </c>
    </row>
    <row r="1239" ht="18" customHeight="1">
      <c r="A1239" s="3" t="inlineStr">
        <is>
          <t>財務組</t>
        </is>
      </c>
      <c r="B1239" s="4" t="n">
        <v>118</v>
      </c>
      <c r="C1239" s="8">
        <f>I1238</f>
        <v/>
      </c>
      <c r="D1239" s="4">
        <f>SUMIFS('01_異動主檔'!$F:$F,'01_異動主檔'!$B:$B,118,'01_異動主檔'!$D:$D,A1239,'01_異動主檔'!$E:$E,"移入")</f>
        <v/>
      </c>
      <c r="E1239" s="4">
        <f>-SUMIFS('01_異動主檔'!$F:$F,'01_異動主檔'!$B:$B,118,'01_異動主檔'!$D:$D,A1239,'01_異動主檔'!$E:$E,"移出")</f>
        <v/>
      </c>
      <c r="F1239" s="4">
        <f>SUMIFS('01_異動主檔'!$F:$F,'01_異動主檔'!$B:$B,118,'01_異動主檔'!$D:$D,A1239,'01_異動主檔'!$E:$E,"新增")</f>
        <v/>
      </c>
      <c r="G1239" s="4">
        <f>-SUMIFS('01_異動主檔'!$F:$F,'01_異動主檔'!$B:$B,118,'01_異動主檔'!$D:$D,A1239,'01_異動主檔'!$E:$E,"減列")</f>
        <v/>
      </c>
      <c r="H1239" s="4">
        <f>-SUMIFS('01_異動主檔'!$F:$F,'01_異動主檔'!$B:$B,118,'01_異動主檔'!$D:$D,A1239,'01_異動主檔'!$E:$E,"精簡")</f>
        <v/>
      </c>
      <c r="I1239" s="8">
        <f>C1239+D1239+E1239+F1239+G1239+H1239</f>
        <v/>
      </c>
    </row>
    <row r="1240" ht="18" customHeight="1">
      <c r="A1240" s="5" t="inlineStr">
        <is>
          <t>財務組</t>
        </is>
      </c>
      <c r="B1240" s="6" t="n">
        <v>119</v>
      </c>
      <c r="C1240" s="8">
        <f>I1239</f>
        <v/>
      </c>
      <c r="D1240" s="4">
        <f>SUMIFS('01_異動主檔'!$F:$F,'01_異動主檔'!$B:$B,119,'01_異動主檔'!$D:$D,A1240,'01_異動主檔'!$E:$E,"移入")</f>
        <v/>
      </c>
      <c r="E1240" s="4">
        <f>-SUMIFS('01_異動主檔'!$F:$F,'01_異動主檔'!$B:$B,119,'01_異動主檔'!$D:$D,A1240,'01_異動主檔'!$E:$E,"移出")</f>
        <v/>
      </c>
      <c r="F1240" s="4">
        <f>SUMIFS('01_異動主檔'!$F:$F,'01_異動主檔'!$B:$B,119,'01_異動主檔'!$D:$D,A1240,'01_異動主檔'!$E:$E,"新增")</f>
        <v/>
      </c>
      <c r="G1240" s="4">
        <f>-SUMIFS('01_異動主檔'!$F:$F,'01_異動主檔'!$B:$B,119,'01_異動主檔'!$D:$D,A1240,'01_異動主檔'!$E:$E,"減列")</f>
        <v/>
      </c>
      <c r="H1240" s="4">
        <f>-SUMIFS('01_異動主檔'!$F:$F,'01_異動主檔'!$B:$B,119,'01_異動主檔'!$D:$D,A1240,'01_異動主檔'!$E:$E,"精簡")</f>
        <v/>
      </c>
      <c r="I1240" s="8">
        <f>C1240+D1240+E1240+F1240+G1240+H1240</f>
        <v/>
      </c>
    </row>
    <row r="1241" ht="18" customHeight="1">
      <c r="A1241" s="3" t="inlineStr">
        <is>
          <t>財務組</t>
        </is>
      </c>
      <c r="B1241" s="4" t="n">
        <v>120</v>
      </c>
      <c r="C1241" s="8">
        <f>I1240</f>
        <v/>
      </c>
      <c r="D1241" s="4">
        <f>SUMIFS('01_異動主檔'!$F:$F,'01_異動主檔'!$B:$B,120,'01_異動主檔'!$D:$D,A1241,'01_異動主檔'!$E:$E,"移入")</f>
        <v/>
      </c>
      <c r="E1241" s="4">
        <f>-SUMIFS('01_異動主檔'!$F:$F,'01_異動主檔'!$B:$B,120,'01_異動主檔'!$D:$D,A1241,'01_異動主檔'!$E:$E,"移出")</f>
        <v/>
      </c>
      <c r="F1241" s="4">
        <f>SUMIFS('01_異動主檔'!$F:$F,'01_異動主檔'!$B:$B,120,'01_異動主檔'!$D:$D,A1241,'01_異動主檔'!$E:$E,"新增")</f>
        <v/>
      </c>
      <c r="G1241" s="4">
        <f>-SUMIFS('01_異動主檔'!$F:$F,'01_異動主檔'!$B:$B,120,'01_異動主檔'!$D:$D,A1241,'01_異動主檔'!$E:$E,"減列")</f>
        <v/>
      </c>
      <c r="H1241" s="4">
        <f>-SUMIFS('01_異動主檔'!$F:$F,'01_異動主檔'!$B:$B,120,'01_異動主檔'!$D:$D,A1241,'01_異動主檔'!$E:$E,"精簡")</f>
        <v/>
      </c>
      <c r="I1241" s="8">
        <f>C1241+D1241+E1241+F1241+G1241+H1241</f>
        <v/>
      </c>
    </row>
    <row r="1242" ht="18" customHeight="1">
      <c r="A1242" s="5" t="inlineStr">
        <is>
          <t>財務組</t>
        </is>
      </c>
      <c r="B1242" s="6" t="n">
        <v>121</v>
      </c>
      <c r="C1242" s="8">
        <f>I1241</f>
        <v/>
      </c>
      <c r="D1242" s="4">
        <f>SUMIFS('01_異動主檔'!$F:$F,'01_異動主檔'!$B:$B,121,'01_異動主檔'!$D:$D,A1242,'01_異動主檔'!$E:$E,"移入")</f>
        <v/>
      </c>
      <c r="E1242" s="4">
        <f>-SUMIFS('01_異動主檔'!$F:$F,'01_異動主檔'!$B:$B,121,'01_異動主檔'!$D:$D,A1242,'01_異動主檔'!$E:$E,"移出")</f>
        <v/>
      </c>
      <c r="F1242" s="4">
        <f>SUMIFS('01_異動主檔'!$F:$F,'01_異動主檔'!$B:$B,121,'01_異動主檔'!$D:$D,A1242,'01_異動主檔'!$E:$E,"新增")</f>
        <v/>
      </c>
      <c r="G1242" s="4">
        <f>-SUMIFS('01_異動主檔'!$F:$F,'01_異動主檔'!$B:$B,121,'01_異動主檔'!$D:$D,A1242,'01_異動主檔'!$E:$E,"減列")</f>
        <v/>
      </c>
      <c r="H1242" s="4">
        <f>-SUMIFS('01_異動主檔'!$F:$F,'01_異動主檔'!$B:$B,121,'01_異動主檔'!$D:$D,A1242,'01_異動主檔'!$E:$E,"精簡")</f>
        <v/>
      </c>
      <c r="I1242" s="8">
        <f>C1242+D1242+E1242+F1242+G1242+H1242</f>
        <v/>
      </c>
    </row>
    <row r="1243" ht="18" customHeight="1">
      <c r="A1243" s="3" t="inlineStr">
        <is>
          <t>財務組</t>
        </is>
      </c>
      <c r="B1243" s="4" t="n">
        <v>122</v>
      </c>
      <c r="C1243" s="8">
        <f>I1242</f>
        <v/>
      </c>
      <c r="D1243" s="4">
        <f>SUMIFS('01_異動主檔'!$F:$F,'01_異動主檔'!$B:$B,122,'01_異動主檔'!$D:$D,A1243,'01_異動主檔'!$E:$E,"移入")</f>
        <v/>
      </c>
      <c r="E1243" s="4">
        <f>-SUMIFS('01_異動主檔'!$F:$F,'01_異動主檔'!$B:$B,122,'01_異動主檔'!$D:$D,A1243,'01_異動主檔'!$E:$E,"移出")</f>
        <v/>
      </c>
      <c r="F1243" s="4">
        <f>SUMIFS('01_異動主檔'!$F:$F,'01_異動主檔'!$B:$B,122,'01_異動主檔'!$D:$D,A1243,'01_異動主檔'!$E:$E,"新增")</f>
        <v/>
      </c>
      <c r="G1243" s="4">
        <f>-SUMIFS('01_異動主檔'!$F:$F,'01_異動主檔'!$B:$B,122,'01_異動主檔'!$D:$D,A1243,'01_異動主檔'!$E:$E,"減列")</f>
        <v/>
      </c>
      <c r="H1243" s="4">
        <f>-SUMIFS('01_異動主檔'!$F:$F,'01_異動主檔'!$B:$B,122,'01_異動主檔'!$D:$D,A1243,'01_異動主檔'!$E:$E,"精簡")</f>
        <v/>
      </c>
      <c r="I1243" s="8">
        <f>C1243+D1243+E1243+F1243+G1243+H1243</f>
        <v/>
      </c>
    </row>
    <row r="1244" ht="18" customHeight="1">
      <c r="A1244" s="5" t="inlineStr">
        <is>
          <t>財務組</t>
        </is>
      </c>
      <c r="B1244" s="6" t="n">
        <v>123</v>
      </c>
      <c r="C1244" s="8">
        <f>I1243</f>
        <v/>
      </c>
      <c r="D1244" s="4">
        <f>SUMIFS('01_異動主檔'!$F:$F,'01_異動主檔'!$B:$B,123,'01_異動主檔'!$D:$D,A1244,'01_異動主檔'!$E:$E,"移入")</f>
        <v/>
      </c>
      <c r="E1244" s="4">
        <f>-SUMIFS('01_異動主檔'!$F:$F,'01_異動主檔'!$B:$B,123,'01_異動主檔'!$D:$D,A1244,'01_異動主檔'!$E:$E,"移出")</f>
        <v/>
      </c>
      <c r="F1244" s="4">
        <f>SUMIFS('01_異動主檔'!$F:$F,'01_異動主檔'!$B:$B,123,'01_異動主檔'!$D:$D,A1244,'01_異動主檔'!$E:$E,"新增")</f>
        <v/>
      </c>
      <c r="G1244" s="4">
        <f>-SUMIFS('01_異動主檔'!$F:$F,'01_異動主檔'!$B:$B,123,'01_異動主檔'!$D:$D,A1244,'01_異動主檔'!$E:$E,"減列")</f>
        <v/>
      </c>
      <c r="H1244" s="4">
        <f>-SUMIFS('01_異動主檔'!$F:$F,'01_異動主檔'!$B:$B,123,'01_異動主檔'!$D:$D,A1244,'01_異動主檔'!$E:$E,"精簡")</f>
        <v/>
      </c>
      <c r="I1244" s="8">
        <f>C1244+D1244+E1244+F1244+G1244+H1244</f>
        <v/>
      </c>
    </row>
    <row r="1245" ht="18" customHeight="1">
      <c r="A1245" s="3" t="inlineStr">
        <is>
          <t>財務組</t>
        </is>
      </c>
      <c r="B1245" s="4" t="n">
        <v>124</v>
      </c>
      <c r="C1245" s="8">
        <f>I1244</f>
        <v/>
      </c>
      <c r="D1245" s="4">
        <f>SUMIFS('01_異動主檔'!$F:$F,'01_異動主檔'!$B:$B,124,'01_異動主檔'!$D:$D,A1245,'01_異動主檔'!$E:$E,"移入")</f>
        <v/>
      </c>
      <c r="E1245" s="4">
        <f>-SUMIFS('01_異動主檔'!$F:$F,'01_異動主檔'!$B:$B,124,'01_異動主檔'!$D:$D,A1245,'01_異動主檔'!$E:$E,"移出")</f>
        <v/>
      </c>
      <c r="F1245" s="4">
        <f>SUMIFS('01_異動主檔'!$F:$F,'01_異動主檔'!$B:$B,124,'01_異動主檔'!$D:$D,A1245,'01_異動主檔'!$E:$E,"新增")</f>
        <v/>
      </c>
      <c r="G1245" s="4">
        <f>-SUMIFS('01_異動主檔'!$F:$F,'01_異動主檔'!$B:$B,124,'01_異動主檔'!$D:$D,A1245,'01_異動主檔'!$E:$E,"減列")</f>
        <v/>
      </c>
      <c r="H1245" s="4">
        <f>-SUMIFS('01_異動主檔'!$F:$F,'01_異動主檔'!$B:$B,124,'01_異動主檔'!$D:$D,A1245,'01_異動主檔'!$E:$E,"精簡")</f>
        <v/>
      </c>
      <c r="I1245" s="8">
        <f>C1245+D1245+E1245+F1245+G1245+H1245</f>
        <v/>
      </c>
    </row>
    <row r="1246" ht="18" customHeight="1">
      <c r="A1246" s="5" t="inlineStr">
        <is>
          <t>財務組</t>
        </is>
      </c>
      <c r="B1246" s="6" t="n">
        <v>125</v>
      </c>
      <c r="C1246" s="8">
        <f>I1245</f>
        <v/>
      </c>
      <c r="D1246" s="4">
        <f>SUMIFS('01_異動主檔'!$F:$F,'01_異動主檔'!$B:$B,125,'01_異動主檔'!$D:$D,A1246,'01_異動主檔'!$E:$E,"移入")</f>
        <v/>
      </c>
      <c r="E1246" s="4">
        <f>-SUMIFS('01_異動主檔'!$F:$F,'01_異動主檔'!$B:$B,125,'01_異動主檔'!$D:$D,A1246,'01_異動主檔'!$E:$E,"移出")</f>
        <v/>
      </c>
      <c r="F1246" s="4">
        <f>SUMIFS('01_異動主檔'!$F:$F,'01_異動主檔'!$B:$B,125,'01_異動主檔'!$D:$D,A1246,'01_異動主檔'!$E:$E,"新增")</f>
        <v/>
      </c>
      <c r="G1246" s="4">
        <f>-SUMIFS('01_異動主檔'!$F:$F,'01_異動主檔'!$B:$B,125,'01_異動主檔'!$D:$D,A1246,'01_異動主檔'!$E:$E,"減列")</f>
        <v/>
      </c>
      <c r="H1246" s="4">
        <f>-SUMIFS('01_異動主檔'!$F:$F,'01_異動主檔'!$B:$B,125,'01_異動主檔'!$D:$D,A1246,'01_異動主檔'!$E:$E,"精簡")</f>
        <v/>
      </c>
      <c r="I1246" s="8">
        <f>C1246+D1246+E1246+F1246+G1246+H1246</f>
        <v/>
      </c>
    </row>
    <row r="1247" ht="18" customHeight="1">
      <c r="A1247" s="3" t="inlineStr">
        <is>
          <t>法規組</t>
        </is>
      </c>
      <c r="B1247" s="4" t="n">
        <v>99</v>
      </c>
      <c r="C1247" s="8">
        <f>'02_年初員額設定'!B51</f>
        <v/>
      </c>
      <c r="D1247" s="4">
        <f>SUMIFS('01_異動主檔'!$F:$F,'01_異動主檔'!$B:$B,99,'01_異動主檔'!$D:$D,A1247,'01_異動主檔'!$E:$E,"移入")</f>
        <v/>
      </c>
      <c r="E1247" s="4">
        <f>-SUMIFS('01_異動主檔'!$F:$F,'01_異動主檔'!$B:$B,99,'01_異動主檔'!$D:$D,A1247,'01_異動主檔'!$E:$E,"移出")</f>
        <v/>
      </c>
      <c r="F1247" s="4">
        <f>SUMIFS('01_異動主檔'!$F:$F,'01_異動主檔'!$B:$B,99,'01_異動主檔'!$D:$D,A1247,'01_異動主檔'!$E:$E,"新增")</f>
        <v/>
      </c>
      <c r="G1247" s="4">
        <f>-SUMIFS('01_異動主檔'!$F:$F,'01_異動主檔'!$B:$B,99,'01_異動主檔'!$D:$D,A1247,'01_異動主檔'!$E:$E,"減列")</f>
        <v/>
      </c>
      <c r="H1247" s="4">
        <f>-SUMIFS('01_異動主檔'!$F:$F,'01_異動主檔'!$B:$B,99,'01_異動主檔'!$D:$D,A1247,'01_異動主檔'!$E:$E,"精簡")</f>
        <v/>
      </c>
      <c r="I1247" s="8">
        <f>C1247+D1247+E1247+F1247+G1247+H1247</f>
        <v/>
      </c>
    </row>
    <row r="1248" ht="18" customHeight="1">
      <c r="A1248" s="5" t="inlineStr">
        <is>
          <t>法規組</t>
        </is>
      </c>
      <c r="B1248" s="6" t="n">
        <v>100</v>
      </c>
      <c r="C1248" s="8">
        <f>I1247</f>
        <v/>
      </c>
      <c r="D1248" s="4">
        <f>SUMIFS('01_異動主檔'!$F:$F,'01_異動主檔'!$B:$B,100,'01_異動主檔'!$D:$D,A1248,'01_異動主檔'!$E:$E,"移入")</f>
        <v/>
      </c>
      <c r="E1248" s="4">
        <f>-SUMIFS('01_異動主檔'!$F:$F,'01_異動主檔'!$B:$B,100,'01_異動主檔'!$D:$D,A1248,'01_異動主檔'!$E:$E,"移出")</f>
        <v/>
      </c>
      <c r="F1248" s="4">
        <f>SUMIFS('01_異動主檔'!$F:$F,'01_異動主檔'!$B:$B,100,'01_異動主檔'!$D:$D,A1248,'01_異動主檔'!$E:$E,"新增")</f>
        <v/>
      </c>
      <c r="G1248" s="4">
        <f>-SUMIFS('01_異動主檔'!$F:$F,'01_異動主檔'!$B:$B,100,'01_異動主檔'!$D:$D,A1248,'01_異動主檔'!$E:$E,"減列")</f>
        <v/>
      </c>
      <c r="H1248" s="4">
        <f>-SUMIFS('01_異動主檔'!$F:$F,'01_異動主檔'!$B:$B,100,'01_異動主檔'!$D:$D,A1248,'01_異動主檔'!$E:$E,"精簡")</f>
        <v/>
      </c>
      <c r="I1248" s="8">
        <f>C1248+D1248+E1248+F1248+G1248+H1248</f>
        <v/>
      </c>
    </row>
    <row r="1249" ht="18" customHeight="1">
      <c r="A1249" s="3" t="inlineStr">
        <is>
          <t>法規組</t>
        </is>
      </c>
      <c r="B1249" s="4" t="n">
        <v>101</v>
      </c>
      <c r="C1249" s="8">
        <f>I1248</f>
        <v/>
      </c>
      <c r="D1249" s="4">
        <f>SUMIFS('01_異動主檔'!$F:$F,'01_異動主檔'!$B:$B,101,'01_異動主檔'!$D:$D,A1249,'01_異動主檔'!$E:$E,"移入")</f>
        <v/>
      </c>
      <c r="E1249" s="4">
        <f>-SUMIFS('01_異動主檔'!$F:$F,'01_異動主檔'!$B:$B,101,'01_異動主檔'!$D:$D,A1249,'01_異動主檔'!$E:$E,"移出")</f>
        <v/>
      </c>
      <c r="F1249" s="4">
        <f>SUMIFS('01_異動主檔'!$F:$F,'01_異動主檔'!$B:$B,101,'01_異動主檔'!$D:$D,A1249,'01_異動主檔'!$E:$E,"新增")</f>
        <v/>
      </c>
      <c r="G1249" s="4">
        <f>-SUMIFS('01_異動主檔'!$F:$F,'01_異動主檔'!$B:$B,101,'01_異動主檔'!$D:$D,A1249,'01_異動主檔'!$E:$E,"減列")</f>
        <v/>
      </c>
      <c r="H1249" s="4">
        <f>-SUMIFS('01_異動主檔'!$F:$F,'01_異動主檔'!$B:$B,101,'01_異動主檔'!$D:$D,A1249,'01_異動主檔'!$E:$E,"精簡")</f>
        <v/>
      </c>
      <c r="I1249" s="8">
        <f>C1249+D1249+E1249+F1249+G1249+H1249</f>
        <v/>
      </c>
    </row>
    <row r="1250" ht="18" customHeight="1">
      <c r="A1250" s="5" t="inlineStr">
        <is>
          <t>法規組</t>
        </is>
      </c>
      <c r="B1250" s="6" t="n">
        <v>102</v>
      </c>
      <c r="C1250" s="8">
        <f>I1249</f>
        <v/>
      </c>
      <c r="D1250" s="4">
        <f>SUMIFS('01_異動主檔'!$F:$F,'01_異動主檔'!$B:$B,102,'01_異動主檔'!$D:$D,A1250,'01_異動主檔'!$E:$E,"移入")</f>
        <v/>
      </c>
      <c r="E1250" s="4">
        <f>-SUMIFS('01_異動主檔'!$F:$F,'01_異動主檔'!$B:$B,102,'01_異動主檔'!$D:$D,A1250,'01_異動主檔'!$E:$E,"移出")</f>
        <v/>
      </c>
      <c r="F1250" s="4">
        <f>SUMIFS('01_異動主檔'!$F:$F,'01_異動主檔'!$B:$B,102,'01_異動主檔'!$D:$D,A1250,'01_異動主檔'!$E:$E,"新增")</f>
        <v/>
      </c>
      <c r="G1250" s="4">
        <f>-SUMIFS('01_異動主檔'!$F:$F,'01_異動主檔'!$B:$B,102,'01_異動主檔'!$D:$D,A1250,'01_異動主檔'!$E:$E,"減列")</f>
        <v/>
      </c>
      <c r="H1250" s="4">
        <f>-SUMIFS('01_異動主檔'!$F:$F,'01_異動主檔'!$B:$B,102,'01_異動主檔'!$D:$D,A1250,'01_異動主檔'!$E:$E,"精簡")</f>
        <v/>
      </c>
      <c r="I1250" s="8">
        <f>C1250+D1250+E1250+F1250+G1250+H1250</f>
        <v/>
      </c>
    </row>
    <row r="1251" ht="18" customHeight="1">
      <c r="A1251" s="3" t="inlineStr">
        <is>
          <t>法規組</t>
        </is>
      </c>
      <c r="B1251" s="4" t="n">
        <v>103</v>
      </c>
      <c r="C1251" s="8">
        <f>I1250</f>
        <v/>
      </c>
      <c r="D1251" s="4">
        <f>SUMIFS('01_異動主檔'!$F:$F,'01_異動主檔'!$B:$B,103,'01_異動主檔'!$D:$D,A1251,'01_異動主檔'!$E:$E,"移入")</f>
        <v/>
      </c>
      <c r="E1251" s="4">
        <f>-SUMIFS('01_異動主檔'!$F:$F,'01_異動主檔'!$B:$B,103,'01_異動主檔'!$D:$D,A1251,'01_異動主檔'!$E:$E,"移出")</f>
        <v/>
      </c>
      <c r="F1251" s="4">
        <f>SUMIFS('01_異動主檔'!$F:$F,'01_異動主檔'!$B:$B,103,'01_異動主檔'!$D:$D,A1251,'01_異動主檔'!$E:$E,"新增")</f>
        <v/>
      </c>
      <c r="G1251" s="4">
        <f>-SUMIFS('01_異動主檔'!$F:$F,'01_異動主檔'!$B:$B,103,'01_異動主檔'!$D:$D,A1251,'01_異動主檔'!$E:$E,"減列")</f>
        <v/>
      </c>
      <c r="H1251" s="4">
        <f>-SUMIFS('01_異動主檔'!$F:$F,'01_異動主檔'!$B:$B,103,'01_異動主檔'!$D:$D,A1251,'01_異動主檔'!$E:$E,"精簡")</f>
        <v/>
      </c>
      <c r="I1251" s="8">
        <f>C1251+D1251+E1251+F1251+G1251+H1251</f>
        <v/>
      </c>
    </row>
    <row r="1252" ht="18" customHeight="1">
      <c r="A1252" s="5" t="inlineStr">
        <is>
          <t>法規組</t>
        </is>
      </c>
      <c r="B1252" s="6" t="n">
        <v>104</v>
      </c>
      <c r="C1252" s="8">
        <f>I1251</f>
        <v/>
      </c>
      <c r="D1252" s="4">
        <f>SUMIFS('01_異動主檔'!$F:$F,'01_異動主檔'!$B:$B,104,'01_異動主檔'!$D:$D,A1252,'01_異動主檔'!$E:$E,"移入")</f>
        <v/>
      </c>
      <c r="E1252" s="4">
        <f>-SUMIFS('01_異動主檔'!$F:$F,'01_異動主檔'!$B:$B,104,'01_異動主檔'!$D:$D,A1252,'01_異動主檔'!$E:$E,"移出")</f>
        <v/>
      </c>
      <c r="F1252" s="4">
        <f>SUMIFS('01_異動主檔'!$F:$F,'01_異動主檔'!$B:$B,104,'01_異動主檔'!$D:$D,A1252,'01_異動主檔'!$E:$E,"新增")</f>
        <v/>
      </c>
      <c r="G1252" s="4">
        <f>-SUMIFS('01_異動主檔'!$F:$F,'01_異動主檔'!$B:$B,104,'01_異動主檔'!$D:$D,A1252,'01_異動主檔'!$E:$E,"減列")</f>
        <v/>
      </c>
      <c r="H1252" s="4">
        <f>-SUMIFS('01_異動主檔'!$F:$F,'01_異動主檔'!$B:$B,104,'01_異動主檔'!$D:$D,A1252,'01_異動主檔'!$E:$E,"精簡")</f>
        <v/>
      </c>
      <c r="I1252" s="8">
        <f>C1252+D1252+E1252+F1252+G1252+H1252</f>
        <v/>
      </c>
    </row>
    <row r="1253" ht="18" customHeight="1">
      <c r="A1253" s="3" t="inlineStr">
        <is>
          <t>法規組</t>
        </is>
      </c>
      <c r="B1253" s="4" t="n">
        <v>105</v>
      </c>
      <c r="C1253" s="8">
        <f>I1252</f>
        <v/>
      </c>
      <c r="D1253" s="4">
        <f>SUMIFS('01_異動主檔'!$F:$F,'01_異動主檔'!$B:$B,105,'01_異動主檔'!$D:$D,A1253,'01_異動主檔'!$E:$E,"移入")</f>
        <v/>
      </c>
      <c r="E1253" s="4">
        <f>-SUMIFS('01_異動主檔'!$F:$F,'01_異動主檔'!$B:$B,105,'01_異動主檔'!$D:$D,A1253,'01_異動主檔'!$E:$E,"移出")</f>
        <v/>
      </c>
      <c r="F1253" s="4">
        <f>SUMIFS('01_異動主檔'!$F:$F,'01_異動主檔'!$B:$B,105,'01_異動主檔'!$D:$D,A1253,'01_異動主檔'!$E:$E,"新增")</f>
        <v/>
      </c>
      <c r="G1253" s="4">
        <f>-SUMIFS('01_異動主檔'!$F:$F,'01_異動主檔'!$B:$B,105,'01_異動主檔'!$D:$D,A1253,'01_異動主檔'!$E:$E,"減列")</f>
        <v/>
      </c>
      <c r="H1253" s="4">
        <f>-SUMIFS('01_異動主檔'!$F:$F,'01_異動主檔'!$B:$B,105,'01_異動主檔'!$D:$D,A1253,'01_異動主檔'!$E:$E,"精簡")</f>
        <v/>
      </c>
      <c r="I1253" s="8">
        <f>C1253+D1253+E1253+F1253+G1253+H1253</f>
        <v/>
      </c>
    </row>
    <row r="1254" ht="18" customHeight="1">
      <c r="A1254" s="5" t="inlineStr">
        <is>
          <t>法規組</t>
        </is>
      </c>
      <c r="B1254" s="6" t="n">
        <v>106</v>
      </c>
      <c r="C1254" s="8">
        <f>I1253</f>
        <v/>
      </c>
      <c r="D1254" s="4">
        <f>SUMIFS('01_異動主檔'!$F:$F,'01_異動主檔'!$B:$B,106,'01_異動主檔'!$D:$D,A1254,'01_異動主檔'!$E:$E,"移入")</f>
        <v/>
      </c>
      <c r="E1254" s="4">
        <f>-SUMIFS('01_異動主檔'!$F:$F,'01_異動主檔'!$B:$B,106,'01_異動主檔'!$D:$D,A1254,'01_異動主檔'!$E:$E,"移出")</f>
        <v/>
      </c>
      <c r="F1254" s="4">
        <f>SUMIFS('01_異動主檔'!$F:$F,'01_異動主檔'!$B:$B,106,'01_異動主檔'!$D:$D,A1254,'01_異動主檔'!$E:$E,"新增")</f>
        <v/>
      </c>
      <c r="G1254" s="4">
        <f>-SUMIFS('01_異動主檔'!$F:$F,'01_異動主檔'!$B:$B,106,'01_異動主檔'!$D:$D,A1254,'01_異動主檔'!$E:$E,"減列")</f>
        <v/>
      </c>
      <c r="H1254" s="4">
        <f>-SUMIFS('01_異動主檔'!$F:$F,'01_異動主檔'!$B:$B,106,'01_異動主檔'!$D:$D,A1254,'01_異動主檔'!$E:$E,"精簡")</f>
        <v/>
      </c>
      <c r="I1254" s="8">
        <f>C1254+D1254+E1254+F1254+G1254+H1254</f>
        <v/>
      </c>
    </row>
    <row r="1255" ht="18" customHeight="1">
      <c r="A1255" s="3" t="inlineStr">
        <is>
          <t>法規組</t>
        </is>
      </c>
      <c r="B1255" s="4" t="n">
        <v>107</v>
      </c>
      <c r="C1255" s="8">
        <f>I1254</f>
        <v/>
      </c>
      <c r="D1255" s="4">
        <f>SUMIFS('01_異動主檔'!$F:$F,'01_異動主檔'!$B:$B,107,'01_異動主檔'!$D:$D,A1255,'01_異動主檔'!$E:$E,"移入")</f>
        <v/>
      </c>
      <c r="E1255" s="4">
        <f>-SUMIFS('01_異動主檔'!$F:$F,'01_異動主檔'!$B:$B,107,'01_異動主檔'!$D:$D,A1255,'01_異動主檔'!$E:$E,"移出")</f>
        <v/>
      </c>
      <c r="F1255" s="4">
        <f>SUMIFS('01_異動主檔'!$F:$F,'01_異動主檔'!$B:$B,107,'01_異動主檔'!$D:$D,A1255,'01_異動主檔'!$E:$E,"新增")</f>
        <v/>
      </c>
      <c r="G1255" s="4">
        <f>-SUMIFS('01_異動主檔'!$F:$F,'01_異動主檔'!$B:$B,107,'01_異動主檔'!$D:$D,A1255,'01_異動主檔'!$E:$E,"減列")</f>
        <v/>
      </c>
      <c r="H1255" s="4">
        <f>-SUMIFS('01_異動主檔'!$F:$F,'01_異動主檔'!$B:$B,107,'01_異動主檔'!$D:$D,A1255,'01_異動主檔'!$E:$E,"精簡")</f>
        <v/>
      </c>
      <c r="I1255" s="8">
        <f>C1255+D1255+E1255+F1255+G1255+H1255</f>
        <v/>
      </c>
    </row>
    <row r="1256" ht="18" customHeight="1">
      <c r="A1256" s="5" t="inlineStr">
        <is>
          <t>法規組</t>
        </is>
      </c>
      <c r="B1256" s="6" t="n">
        <v>108</v>
      </c>
      <c r="C1256" s="8">
        <f>I1255</f>
        <v/>
      </c>
      <c r="D1256" s="4">
        <f>SUMIFS('01_異動主檔'!$F:$F,'01_異動主檔'!$B:$B,108,'01_異動主檔'!$D:$D,A1256,'01_異動主檔'!$E:$E,"移入")</f>
        <v/>
      </c>
      <c r="E1256" s="4">
        <f>-SUMIFS('01_異動主檔'!$F:$F,'01_異動主檔'!$B:$B,108,'01_異動主檔'!$D:$D,A1256,'01_異動主檔'!$E:$E,"移出")</f>
        <v/>
      </c>
      <c r="F1256" s="4">
        <f>SUMIFS('01_異動主檔'!$F:$F,'01_異動主檔'!$B:$B,108,'01_異動主檔'!$D:$D,A1256,'01_異動主檔'!$E:$E,"新增")</f>
        <v/>
      </c>
      <c r="G1256" s="4">
        <f>-SUMIFS('01_異動主檔'!$F:$F,'01_異動主檔'!$B:$B,108,'01_異動主檔'!$D:$D,A1256,'01_異動主檔'!$E:$E,"減列")</f>
        <v/>
      </c>
      <c r="H1256" s="4">
        <f>-SUMIFS('01_異動主檔'!$F:$F,'01_異動主檔'!$B:$B,108,'01_異動主檔'!$D:$D,A1256,'01_異動主檔'!$E:$E,"精簡")</f>
        <v/>
      </c>
      <c r="I1256" s="8">
        <f>C1256+D1256+E1256+F1256+G1256+H1256</f>
        <v/>
      </c>
    </row>
    <row r="1257" ht="18" customHeight="1">
      <c r="A1257" s="3" t="inlineStr">
        <is>
          <t>法規組</t>
        </is>
      </c>
      <c r="B1257" s="4" t="n">
        <v>109</v>
      </c>
      <c r="C1257" s="8">
        <f>I1256</f>
        <v/>
      </c>
      <c r="D1257" s="4">
        <f>SUMIFS('01_異動主檔'!$F:$F,'01_異動主檔'!$B:$B,109,'01_異動主檔'!$D:$D,A1257,'01_異動主檔'!$E:$E,"移入")</f>
        <v/>
      </c>
      <c r="E1257" s="4">
        <f>-SUMIFS('01_異動主檔'!$F:$F,'01_異動主檔'!$B:$B,109,'01_異動主檔'!$D:$D,A1257,'01_異動主檔'!$E:$E,"移出")</f>
        <v/>
      </c>
      <c r="F1257" s="4">
        <f>SUMIFS('01_異動主檔'!$F:$F,'01_異動主檔'!$B:$B,109,'01_異動主檔'!$D:$D,A1257,'01_異動主檔'!$E:$E,"新增")</f>
        <v/>
      </c>
      <c r="G1257" s="4">
        <f>-SUMIFS('01_異動主檔'!$F:$F,'01_異動主檔'!$B:$B,109,'01_異動主檔'!$D:$D,A1257,'01_異動主檔'!$E:$E,"減列")</f>
        <v/>
      </c>
      <c r="H1257" s="4">
        <f>-SUMIFS('01_異動主檔'!$F:$F,'01_異動主檔'!$B:$B,109,'01_異動主檔'!$D:$D,A1257,'01_異動主檔'!$E:$E,"精簡")</f>
        <v/>
      </c>
      <c r="I1257" s="8">
        <f>C1257+D1257+E1257+F1257+G1257+H1257</f>
        <v/>
      </c>
    </row>
    <row r="1258" ht="18" customHeight="1">
      <c r="A1258" s="5" t="inlineStr">
        <is>
          <t>法規組</t>
        </is>
      </c>
      <c r="B1258" s="6" t="n">
        <v>110</v>
      </c>
      <c r="C1258" s="8">
        <f>I1257</f>
        <v/>
      </c>
      <c r="D1258" s="4">
        <f>SUMIFS('01_異動主檔'!$F:$F,'01_異動主檔'!$B:$B,110,'01_異動主檔'!$D:$D,A1258,'01_異動主檔'!$E:$E,"移入")</f>
        <v/>
      </c>
      <c r="E1258" s="4">
        <f>-SUMIFS('01_異動主檔'!$F:$F,'01_異動主檔'!$B:$B,110,'01_異動主檔'!$D:$D,A1258,'01_異動主檔'!$E:$E,"移出")</f>
        <v/>
      </c>
      <c r="F1258" s="4">
        <f>SUMIFS('01_異動主檔'!$F:$F,'01_異動主檔'!$B:$B,110,'01_異動主檔'!$D:$D,A1258,'01_異動主檔'!$E:$E,"新增")</f>
        <v/>
      </c>
      <c r="G1258" s="4">
        <f>-SUMIFS('01_異動主檔'!$F:$F,'01_異動主檔'!$B:$B,110,'01_異動主檔'!$D:$D,A1258,'01_異動主檔'!$E:$E,"減列")</f>
        <v/>
      </c>
      <c r="H1258" s="4">
        <f>-SUMIFS('01_異動主檔'!$F:$F,'01_異動主檔'!$B:$B,110,'01_異動主檔'!$D:$D,A1258,'01_異動主檔'!$E:$E,"精簡")</f>
        <v/>
      </c>
      <c r="I1258" s="8">
        <f>C1258+D1258+E1258+F1258+G1258+H1258</f>
        <v/>
      </c>
    </row>
    <row r="1259" ht="18" customHeight="1">
      <c r="A1259" s="3" t="inlineStr">
        <is>
          <t>法規組</t>
        </is>
      </c>
      <c r="B1259" s="4" t="n">
        <v>111</v>
      </c>
      <c r="C1259" s="8">
        <f>I1258</f>
        <v/>
      </c>
      <c r="D1259" s="4">
        <f>SUMIFS('01_異動主檔'!$F:$F,'01_異動主檔'!$B:$B,111,'01_異動主檔'!$D:$D,A1259,'01_異動主檔'!$E:$E,"移入")</f>
        <v/>
      </c>
      <c r="E1259" s="4">
        <f>-SUMIFS('01_異動主檔'!$F:$F,'01_異動主檔'!$B:$B,111,'01_異動主檔'!$D:$D,A1259,'01_異動主檔'!$E:$E,"移出")</f>
        <v/>
      </c>
      <c r="F1259" s="4">
        <f>SUMIFS('01_異動主檔'!$F:$F,'01_異動主檔'!$B:$B,111,'01_異動主檔'!$D:$D,A1259,'01_異動主檔'!$E:$E,"新增")</f>
        <v/>
      </c>
      <c r="G1259" s="4">
        <f>-SUMIFS('01_異動主檔'!$F:$F,'01_異動主檔'!$B:$B,111,'01_異動主檔'!$D:$D,A1259,'01_異動主檔'!$E:$E,"減列")</f>
        <v/>
      </c>
      <c r="H1259" s="4">
        <f>-SUMIFS('01_異動主檔'!$F:$F,'01_異動主檔'!$B:$B,111,'01_異動主檔'!$D:$D,A1259,'01_異動主檔'!$E:$E,"精簡")</f>
        <v/>
      </c>
      <c r="I1259" s="8">
        <f>C1259+D1259+E1259+F1259+G1259+H1259</f>
        <v/>
      </c>
    </row>
    <row r="1260" ht="18" customHeight="1">
      <c r="A1260" s="5" t="inlineStr">
        <is>
          <t>法規組</t>
        </is>
      </c>
      <c r="B1260" s="6" t="n">
        <v>112</v>
      </c>
      <c r="C1260" s="8">
        <f>I1259</f>
        <v/>
      </c>
      <c r="D1260" s="4">
        <f>SUMIFS('01_異動主檔'!$F:$F,'01_異動主檔'!$B:$B,112,'01_異動主檔'!$D:$D,A1260,'01_異動主檔'!$E:$E,"移入")</f>
        <v/>
      </c>
      <c r="E1260" s="4">
        <f>-SUMIFS('01_異動主檔'!$F:$F,'01_異動主檔'!$B:$B,112,'01_異動主檔'!$D:$D,A1260,'01_異動主檔'!$E:$E,"移出")</f>
        <v/>
      </c>
      <c r="F1260" s="4">
        <f>SUMIFS('01_異動主檔'!$F:$F,'01_異動主檔'!$B:$B,112,'01_異動主檔'!$D:$D,A1260,'01_異動主檔'!$E:$E,"新增")</f>
        <v/>
      </c>
      <c r="G1260" s="4">
        <f>-SUMIFS('01_異動主檔'!$F:$F,'01_異動主檔'!$B:$B,112,'01_異動主檔'!$D:$D,A1260,'01_異動主檔'!$E:$E,"減列")</f>
        <v/>
      </c>
      <c r="H1260" s="4">
        <f>-SUMIFS('01_異動主檔'!$F:$F,'01_異動主檔'!$B:$B,112,'01_異動主檔'!$D:$D,A1260,'01_異動主檔'!$E:$E,"精簡")</f>
        <v/>
      </c>
      <c r="I1260" s="8">
        <f>C1260+D1260+E1260+F1260+G1260+H1260</f>
        <v/>
      </c>
    </row>
    <row r="1261" ht="18" customHeight="1">
      <c r="A1261" s="3" t="inlineStr">
        <is>
          <t>法規組</t>
        </is>
      </c>
      <c r="B1261" s="4" t="n">
        <v>113</v>
      </c>
      <c r="C1261" s="8">
        <f>I1260</f>
        <v/>
      </c>
      <c r="D1261" s="4">
        <f>SUMIFS('01_異動主檔'!$F:$F,'01_異動主檔'!$B:$B,113,'01_異動主檔'!$D:$D,A1261,'01_異動主檔'!$E:$E,"移入")</f>
        <v/>
      </c>
      <c r="E1261" s="4">
        <f>-SUMIFS('01_異動主檔'!$F:$F,'01_異動主檔'!$B:$B,113,'01_異動主檔'!$D:$D,A1261,'01_異動主檔'!$E:$E,"移出")</f>
        <v/>
      </c>
      <c r="F1261" s="4">
        <f>SUMIFS('01_異動主檔'!$F:$F,'01_異動主檔'!$B:$B,113,'01_異動主檔'!$D:$D,A1261,'01_異動主檔'!$E:$E,"新增")</f>
        <v/>
      </c>
      <c r="G1261" s="4">
        <f>-SUMIFS('01_異動主檔'!$F:$F,'01_異動主檔'!$B:$B,113,'01_異動主檔'!$D:$D,A1261,'01_異動主檔'!$E:$E,"減列")</f>
        <v/>
      </c>
      <c r="H1261" s="4">
        <f>-SUMIFS('01_異動主檔'!$F:$F,'01_異動主檔'!$B:$B,113,'01_異動主檔'!$D:$D,A1261,'01_異動主檔'!$E:$E,"精簡")</f>
        <v/>
      </c>
      <c r="I1261" s="8">
        <f>C1261+D1261+E1261+F1261+G1261+H1261</f>
        <v/>
      </c>
    </row>
    <row r="1262" ht="18" customHeight="1">
      <c r="A1262" s="5" t="inlineStr">
        <is>
          <t>法規組</t>
        </is>
      </c>
      <c r="B1262" s="6" t="n">
        <v>114</v>
      </c>
      <c r="C1262" s="8">
        <f>I1261</f>
        <v/>
      </c>
      <c r="D1262" s="4">
        <f>SUMIFS('01_異動主檔'!$F:$F,'01_異動主檔'!$B:$B,114,'01_異動主檔'!$D:$D,A1262,'01_異動主檔'!$E:$E,"移入")</f>
        <v/>
      </c>
      <c r="E1262" s="4">
        <f>-SUMIFS('01_異動主檔'!$F:$F,'01_異動主檔'!$B:$B,114,'01_異動主檔'!$D:$D,A1262,'01_異動主檔'!$E:$E,"移出")</f>
        <v/>
      </c>
      <c r="F1262" s="4">
        <f>SUMIFS('01_異動主檔'!$F:$F,'01_異動主檔'!$B:$B,114,'01_異動主檔'!$D:$D,A1262,'01_異動主檔'!$E:$E,"新增")</f>
        <v/>
      </c>
      <c r="G1262" s="4">
        <f>-SUMIFS('01_異動主檔'!$F:$F,'01_異動主檔'!$B:$B,114,'01_異動主檔'!$D:$D,A1262,'01_異動主檔'!$E:$E,"減列")</f>
        <v/>
      </c>
      <c r="H1262" s="4">
        <f>-SUMIFS('01_異動主檔'!$F:$F,'01_異動主檔'!$B:$B,114,'01_異動主檔'!$D:$D,A1262,'01_異動主檔'!$E:$E,"精簡")</f>
        <v/>
      </c>
      <c r="I1262" s="8">
        <f>C1262+D1262+E1262+F1262+G1262+H1262</f>
        <v/>
      </c>
    </row>
    <row r="1263" ht="18" customHeight="1">
      <c r="A1263" s="3" t="inlineStr">
        <is>
          <t>法規組</t>
        </is>
      </c>
      <c r="B1263" s="4" t="n">
        <v>115</v>
      </c>
      <c r="C1263" s="8">
        <f>I1262</f>
        <v/>
      </c>
      <c r="D1263" s="4">
        <f>SUMIFS('01_異動主檔'!$F:$F,'01_異動主檔'!$B:$B,115,'01_異動主檔'!$D:$D,A1263,'01_異動主檔'!$E:$E,"移入")</f>
        <v/>
      </c>
      <c r="E1263" s="4">
        <f>-SUMIFS('01_異動主檔'!$F:$F,'01_異動主檔'!$B:$B,115,'01_異動主檔'!$D:$D,A1263,'01_異動主檔'!$E:$E,"移出")</f>
        <v/>
      </c>
      <c r="F1263" s="4">
        <f>SUMIFS('01_異動主檔'!$F:$F,'01_異動主檔'!$B:$B,115,'01_異動主檔'!$D:$D,A1263,'01_異動主檔'!$E:$E,"新增")</f>
        <v/>
      </c>
      <c r="G1263" s="4">
        <f>-SUMIFS('01_異動主檔'!$F:$F,'01_異動主檔'!$B:$B,115,'01_異動主檔'!$D:$D,A1263,'01_異動主檔'!$E:$E,"減列")</f>
        <v/>
      </c>
      <c r="H1263" s="4">
        <f>-SUMIFS('01_異動主檔'!$F:$F,'01_異動主檔'!$B:$B,115,'01_異動主檔'!$D:$D,A1263,'01_異動主檔'!$E:$E,"精簡")</f>
        <v/>
      </c>
      <c r="I1263" s="8">
        <f>C1263+D1263+E1263+F1263+G1263+H1263</f>
        <v/>
      </c>
    </row>
    <row r="1264" ht="18" customHeight="1">
      <c r="A1264" s="5" t="inlineStr">
        <is>
          <t>法規組</t>
        </is>
      </c>
      <c r="B1264" s="6" t="n">
        <v>116</v>
      </c>
      <c r="C1264" s="8">
        <f>I1263</f>
        <v/>
      </c>
      <c r="D1264" s="4">
        <f>SUMIFS('01_異動主檔'!$F:$F,'01_異動主檔'!$B:$B,116,'01_異動主檔'!$D:$D,A1264,'01_異動主檔'!$E:$E,"移入")</f>
        <v/>
      </c>
      <c r="E1264" s="4">
        <f>-SUMIFS('01_異動主檔'!$F:$F,'01_異動主檔'!$B:$B,116,'01_異動主檔'!$D:$D,A1264,'01_異動主檔'!$E:$E,"移出")</f>
        <v/>
      </c>
      <c r="F1264" s="4">
        <f>SUMIFS('01_異動主檔'!$F:$F,'01_異動主檔'!$B:$B,116,'01_異動主檔'!$D:$D,A1264,'01_異動主檔'!$E:$E,"新增")</f>
        <v/>
      </c>
      <c r="G1264" s="4">
        <f>-SUMIFS('01_異動主檔'!$F:$F,'01_異動主檔'!$B:$B,116,'01_異動主檔'!$D:$D,A1264,'01_異動主檔'!$E:$E,"減列")</f>
        <v/>
      </c>
      <c r="H1264" s="4">
        <f>-SUMIFS('01_異動主檔'!$F:$F,'01_異動主檔'!$B:$B,116,'01_異動主檔'!$D:$D,A1264,'01_異動主檔'!$E:$E,"精簡")</f>
        <v/>
      </c>
      <c r="I1264" s="8">
        <f>C1264+D1264+E1264+F1264+G1264+H1264</f>
        <v/>
      </c>
    </row>
    <row r="1265" ht="18" customHeight="1">
      <c r="A1265" s="3" t="inlineStr">
        <is>
          <t>法規組</t>
        </is>
      </c>
      <c r="B1265" s="4" t="n">
        <v>117</v>
      </c>
      <c r="C1265" s="8">
        <f>I1264</f>
        <v/>
      </c>
      <c r="D1265" s="4">
        <f>SUMIFS('01_異動主檔'!$F:$F,'01_異動主檔'!$B:$B,117,'01_異動主檔'!$D:$D,A1265,'01_異動主檔'!$E:$E,"移入")</f>
        <v/>
      </c>
      <c r="E1265" s="4">
        <f>-SUMIFS('01_異動主檔'!$F:$F,'01_異動主檔'!$B:$B,117,'01_異動主檔'!$D:$D,A1265,'01_異動主檔'!$E:$E,"移出")</f>
        <v/>
      </c>
      <c r="F1265" s="4">
        <f>SUMIFS('01_異動主檔'!$F:$F,'01_異動主檔'!$B:$B,117,'01_異動主檔'!$D:$D,A1265,'01_異動主檔'!$E:$E,"新增")</f>
        <v/>
      </c>
      <c r="G1265" s="4">
        <f>-SUMIFS('01_異動主檔'!$F:$F,'01_異動主檔'!$B:$B,117,'01_異動主檔'!$D:$D,A1265,'01_異動主檔'!$E:$E,"減列")</f>
        <v/>
      </c>
      <c r="H1265" s="4">
        <f>-SUMIFS('01_異動主檔'!$F:$F,'01_異動主檔'!$B:$B,117,'01_異動主檔'!$D:$D,A1265,'01_異動主檔'!$E:$E,"精簡")</f>
        <v/>
      </c>
      <c r="I1265" s="8">
        <f>C1265+D1265+E1265+F1265+G1265+H1265</f>
        <v/>
      </c>
    </row>
    <row r="1266" ht="18" customHeight="1">
      <c r="A1266" s="5" t="inlineStr">
        <is>
          <t>法規組</t>
        </is>
      </c>
      <c r="B1266" s="6" t="n">
        <v>118</v>
      </c>
      <c r="C1266" s="8">
        <f>I1265</f>
        <v/>
      </c>
      <c r="D1266" s="4">
        <f>SUMIFS('01_異動主檔'!$F:$F,'01_異動主檔'!$B:$B,118,'01_異動主檔'!$D:$D,A1266,'01_異動主檔'!$E:$E,"移入")</f>
        <v/>
      </c>
      <c r="E1266" s="4">
        <f>-SUMIFS('01_異動主檔'!$F:$F,'01_異動主檔'!$B:$B,118,'01_異動主檔'!$D:$D,A1266,'01_異動主檔'!$E:$E,"移出")</f>
        <v/>
      </c>
      <c r="F1266" s="4">
        <f>SUMIFS('01_異動主檔'!$F:$F,'01_異動主檔'!$B:$B,118,'01_異動主檔'!$D:$D,A1266,'01_異動主檔'!$E:$E,"新增")</f>
        <v/>
      </c>
      <c r="G1266" s="4">
        <f>-SUMIFS('01_異動主檔'!$F:$F,'01_異動主檔'!$B:$B,118,'01_異動主檔'!$D:$D,A1266,'01_異動主檔'!$E:$E,"減列")</f>
        <v/>
      </c>
      <c r="H1266" s="4">
        <f>-SUMIFS('01_異動主檔'!$F:$F,'01_異動主檔'!$B:$B,118,'01_異動主檔'!$D:$D,A1266,'01_異動主檔'!$E:$E,"精簡")</f>
        <v/>
      </c>
      <c r="I1266" s="8">
        <f>C1266+D1266+E1266+F1266+G1266+H1266</f>
        <v/>
      </c>
    </row>
    <row r="1267" ht="18" customHeight="1">
      <c r="A1267" s="3" t="inlineStr">
        <is>
          <t>法規組</t>
        </is>
      </c>
      <c r="B1267" s="4" t="n">
        <v>119</v>
      </c>
      <c r="C1267" s="8">
        <f>I1266</f>
        <v/>
      </c>
      <c r="D1267" s="4">
        <f>SUMIFS('01_異動主檔'!$F:$F,'01_異動主檔'!$B:$B,119,'01_異動主檔'!$D:$D,A1267,'01_異動主檔'!$E:$E,"移入")</f>
        <v/>
      </c>
      <c r="E1267" s="4">
        <f>-SUMIFS('01_異動主檔'!$F:$F,'01_異動主檔'!$B:$B,119,'01_異動主檔'!$D:$D,A1267,'01_異動主檔'!$E:$E,"移出")</f>
        <v/>
      </c>
      <c r="F1267" s="4">
        <f>SUMIFS('01_異動主檔'!$F:$F,'01_異動主檔'!$B:$B,119,'01_異動主檔'!$D:$D,A1267,'01_異動主檔'!$E:$E,"新增")</f>
        <v/>
      </c>
      <c r="G1267" s="4">
        <f>-SUMIFS('01_異動主檔'!$F:$F,'01_異動主檔'!$B:$B,119,'01_異動主檔'!$D:$D,A1267,'01_異動主檔'!$E:$E,"減列")</f>
        <v/>
      </c>
      <c r="H1267" s="4">
        <f>-SUMIFS('01_異動主檔'!$F:$F,'01_異動主檔'!$B:$B,119,'01_異動主檔'!$D:$D,A1267,'01_異動主檔'!$E:$E,"精簡")</f>
        <v/>
      </c>
      <c r="I1267" s="8">
        <f>C1267+D1267+E1267+F1267+G1267+H1267</f>
        <v/>
      </c>
    </row>
    <row r="1268" ht="18" customHeight="1">
      <c r="A1268" s="5" t="inlineStr">
        <is>
          <t>法規組</t>
        </is>
      </c>
      <c r="B1268" s="6" t="n">
        <v>120</v>
      </c>
      <c r="C1268" s="8">
        <f>I1267</f>
        <v/>
      </c>
      <c r="D1268" s="4">
        <f>SUMIFS('01_異動主檔'!$F:$F,'01_異動主檔'!$B:$B,120,'01_異動主檔'!$D:$D,A1268,'01_異動主檔'!$E:$E,"移入")</f>
        <v/>
      </c>
      <c r="E1268" s="4">
        <f>-SUMIFS('01_異動主檔'!$F:$F,'01_異動主檔'!$B:$B,120,'01_異動主檔'!$D:$D,A1268,'01_異動主檔'!$E:$E,"移出")</f>
        <v/>
      </c>
      <c r="F1268" s="4">
        <f>SUMIFS('01_異動主檔'!$F:$F,'01_異動主檔'!$B:$B,120,'01_異動主檔'!$D:$D,A1268,'01_異動主檔'!$E:$E,"新增")</f>
        <v/>
      </c>
      <c r="G1268" s="4">
        <f>-SUMIFS('01_異動主檔'!$F:$F,'01_異動主檔'!$B:$B,120,'01_異動主檔'!$D:$D,A1268,'01_異動主檔'!$E:$E,"減列")</f>
        <v/>
      </c>
      <c r="H1268" s="4">
        <f>-SUMIFS('01_異動主檔'!$F:$F,'01_異動主檔'!$B:$B,120,'01_異動主檔'!$D:$D,A1268,'01_異動主檔'!$E:$E,"精簡")</f>
        <v/>
      </c>
      <c r="I1268" s="8">
        <f>C1268+D1268+E1268+F1268+G1268+H1268</f>
        <v/>
      </c>
    </row>
    <row r="1269" ht="18" customHeight="1">
      <c r="A1269" s="3" t="inlineStr">
        <is>
          <t>法規組</t>
        </is>
      </c>
      <c r="B1269" s="4" t="n">
        <v>121</v>
      </c>
      <c r="C1269" s="8">
        <f>I1268</f>
        <v/>
      </c>
      <c r="D1269" s="4">
        <f>SUMIFS('01_異動主檔'!$F:$F,'01_異動主檔'!$B:$B,121,'01_異動主檔'!$D:$D,A1269,'01_異動主檔'!$E:$E,"移入")</f>
        <v/>
      </c>
      <c r="E1269" s="4">
        <f>-SUMIFS('01_異動主檔'!$F:$F,'01_異動主檔'!$B:$B,121,'01_異動主檔'!$D:$D,A1269,'01_異動主檔'!$E:$E,"移出")</f>
        <v/>
      </c>
      <c r="F1269" s="4">
        <f>SUMIFS('01_異動主檔'!$F:$F,'01_異動主檔'!$B:$B,121,'01_異動主檔'!$D:$D,A1269,'01_異動主檔'!$E:$E,"新增")</f>
        <v/>
      </c>
      <c r="G1269" s="4">
        <f>-SUMIFS('01_異動主檔'!$F:$F,'01_異動主檔'!$B:$B,121,'01_異動主檔'!$D:$D,A1269,'01_異動主檔'!$E:$E,"減列")</f>
        <v/>
      </c>
      <c r="H1269" s="4">
        <f>-SUMIFS('01_異動主檔'!$F:$F,'01_異動主檔'!$B:$B,121,'01_異動主檔'!$D:$D,A1269,'01_異動主檔'!$E:$E,"精簡")</f>
        <v/>
      </c>
      <c r="I1269" s="8">
        <f>C1269+D1269+E1269+F1269+G1269+H1269</f>
        <v/>
      </c>
    </row>
    <row r="1270" ht="18" customHeight="1">
      <c r="A1270" s="5" t="inlineStr">
        <is>
          <t>法規組</t>
        </is>
      </c>
      <c r="B1270" s="6" t="n">
        <v>122</v>
      </c>
      <c r="C1270" s="8">
        <f>I1269</f>
        <v/>
      </c>
      <c r="D1270" s="4">
        <f>SUMIFS('01_異動主檔'!$F:$F,'01_異動主檔'!$B:$B,122,'01_異動主檔'!$D:$D,A1270,'01_異動主檔'!$E:$E,"移入")</f>
        <v/>
      </c>
      <c r="E1270" s="4">
        <f>-SUMIFS('01_異動主檔'!$F:$F,'01_異動主檔'!$B:$B,122,'01_異動主檔'!$D:$D,A1270,'01_異動主檔'!$E:$E,"移出")</f>
        <v/>
      </c>
      <c r="F1270" s="4">
        <f>SUMIFS('01_異動主檔'!$F:$F,'01_異動主檔'!$B:$B,122,'01_異動主檔'!$D:$D,A1270,'01_異動主檔'!$E:$E,"新增")</f>
        <v/>
      </c>
      <c r="G1270" s="4">
        <f>-SUMIFS('01_異動主檔'!$F:$F,'01_異動主檔'!$B:$B,122,'01_異動主檔'!$D:$D,A1270,'01_異動主檔'!$E:$E,"減列")</f>
        <v/>
      </c>
      <c r="H1270" s="4">
        <f>-SUMIFS('01_異動主檔'!$F:$F,'01_異動主檔'!$B:$B,122,'01_異動主檔'!$D:$D,A1270,'01_異動主檔'!$E:$E,"精簡")</f>
        <v/>
      </c>
      <c r="I1270" s="8">
        <f>C1270+D1270+E1270+F1270+G1270+H1270</f>
        <v/>
      </c>
    </row>
    <row r="1271" ht="18" customHeight="1">
      <c r="A1271" s="3" t="inlineStr">
        <is>
          <t>法規組</t>
        </is>
      </c>
      <c r="B1271" s="4" t="n">
        <v>123</v>
      </c>
      <c r="C1271" s="8">
        <f>I1270</f>
        <v/>
      </c>
      <c r="D1271" s="4">
        <f>SUMIFS('01_異動主檔'!$F:$F,'01_異動主檔'!$B:$B,123,'01_異動主檔'!$D:$D,A1271,'01_異動主檔'!$E:$E,"移入")</f>
        <v/>
      </c>
      <c r="E1271" s="4">
        <f>-SUMIFS('01_異動主檔'!$F:$F,'01_異動主檔'!$B:$B,123,'01_異動主檔'!$D:$D,A1271,'01_異動主檔'!$E:$E,"移出")</f>
        <v/>
      </c>
      <c r="F1271" s="4">
        <f>SUMIFS('01_異動主檔'!$F:$F,'01_異動主檔'!$B:$B,123,'01_異動主檔'!$D:$D,A1271,'01_異動主檔'!$E:$E,"新增")</f>
        <v/>
      </c>
      <c r="G1271" s="4">
        <f>-SUMIFS('01_異動主檔'!$F:$F,'01_異動主檔'!$B:$B,123,'01_異動主檔'!$D:$D,A1271,'01_異動主檔'!$E:$E,"減列")</f>
        <v/>
      </c>
      <c r="H1271" s="4">
        <f>-SUMIFS('01_異動主檔'!$F:$F,'01_異動主檔'!$B:$B,123,'01_異動主檔'!$D:$D,A1271,'01_異動主檔'!$E:$E,"精簡")</f>
        <v/>
      </c>
      <c r="I1271" s="8">
        <f>C1271+D1271+E1271+F1271+G1271+H1271</f>
        <v/>
      </c>
    </row>
    <row r="1272" ht="18" customHeight="1">
      <c r="A1272" s="5" t="inlineStr">
        <is>
          <t>法規組</t>
        </is>
      </c>
      <c r="B1272" s="6" t="n">
        <v>124</v>
      </c>
      <c r="C1272" s="8">
        <f>I1271</f>
        <v/>
      </c>
      <c r="D1272" s="4">
        <f>SUMIFS('01_異動主檔'!$F:$F,'01_異動主檔'!$B:$B,124,'01_異動主檔'!$D:$D,A1272,'01_異動主檔'!$E:$E,"移入")</f>
        <v/>
      </c>
      <c r="E1272" s="4">
        <f>-SUMIFS('01_異動主檔'!$F:$F,'01_異動主檔'!$B:$B,124,'01_異動主檔'!$D:$D,A1272,'01_異動主檔'!$E:$E,"移出")</f>
        <v/>
      </c>
      <c r="F1272" s="4">
        <f>SUMIFS('01_異動主檔'!$F:$F,'01_異動主檔'!$B:$B,124,'01_異動主檔'!$D:$D,A1272,'01_異動主檔'!$E:$E,"新增")</f>
        <v/>
      </c>
      <c r="G1272" s="4">
        <f>-SUMIFS('01_異動主檔'!$F:$F,'01_異動主檔'!$B:$B,124,'01_異動主檔'!$D:$D,A1272,'01_異動主檔'!$E:$E,"減列")</f>
        <v/>
      </c>
      <c r="H1272" s="4">
        <f>-SUMIFS('01_異動主檔'!$F:$F,'01_異動主檔'!$B:$B,124,'01_異動主檔'!$D:$D,A1272,'01_異動主檔'!$E:$E,"精簡")</f>
        <v/>
      </c>
      <c r="I1272" s="8">
        <f>C1272+D1272+E1272+F1272+G1272+H1272</f>
        <v/>
      </c>
    </row>
    <row r="1273" ht="18" customHeight="1">
      <c r="A1273" s="3" t="inlineStr">
        <is>
          <t>法規組</t>
        </is>
      </c>
      <c r="B1273" s="4" t="n">
        <v>125</v>
      </c>
      <c r="C1273" s="8">
        <f>I1272</f>
        <v/>
      </c>
      <c r="D1273" s="4">
        <f>SUMIFS('01_異動主檔'!$F:$F,'01_異動主檔'!$B:$B,125,'01_異動主檔'!$D:$D,A1273,'01_異動主檔'!$E:$E,"移入")</f>
        <v/>
      </c>
      <c r="E1273" s="4">
        <f>-SUMIFS('01_異動主檔'!$F:$F,'01_異動主檔'!$B:$B,125,'01_異動主檔'!$D:$D,A1273,'01_異動主檔'!$E:$E,"移出")</f>
        <v/>
      </c>
      <c r="F1273" s="4">
        <f>SUMIFS('01_異動主檔'!$F:$F,'01_異動主檔'!$B:$B,125,'01_異動主檔'!$D:$D,A1273,'01_異動主檔'!$E:$E,"新增")</f>
        <v/>
      </c>
      <c r="G1273" s="4">
        <f>-SUMIFS('01_異動主檔'!$F:$F,'01_異動主檔'!$B:$B,125,'01_異動主檔'!$D:$D,A1273,'01_異動主檔'!$E:$E,"減列")</f>
        <v/>
      </c>
      <c r="H1273" s="4">
        <f>-SUMIFS('01_異動主檔'!$F:$F,'01_異動主檔'!$B:$B,125,'01_異動主檔'!$D:$D,A1273,'01_異動主檔'!$E:$E,"精簡")</f>
        <v/>
      </c>
      <c r="I1273" s="8">
        <f>C1273+D1273+E1273+F1273+G1273+H1273</f>
        <v/>
      </c>
    </row>
    <row r="1274" ht="18" customHeight="1">
      <c r="A1274" s="5" t="inlineStr">
        <is>
          <t>稽核組</t>
        </is>
      </c>
      <c r="B1274" s="6" t="n">
        <v>99</v>
      </c>
      <c r="C1274" s="8">
        <f>'02_年初員額設定'!B52</f>
        <v/>
      </c>
      <c r="D1274" s="4">
        <f>SUMIFS('01_異動主檔'!$F:$F,'01_異動主檔'!$B:$B,99,'01_異動主檔'!$D:$D,A1274,'01_異動主檔'!$E:$E,"移入")</f>
        <v/>
      </c>
      <c r="E1274" s="4">
        <f>-SUMIFS('01_異動主檔'!$F:$F,'01_異動主檔'!$B:$B,99,'01_異動主檔'!$D:$D,A1274,'01_異動主檔'!$E:$E,"移出")</f>
        <v/>
      </c>
      <c r="F1274" s="4">
        <f>SUMIFS('01_異動主檔'!$F:$F,'01_異動主檔'!$B:$B,99,'01_異動主檔'!$D:$D,A1274,'01_異動主檔'!$E:$E,"新增")</f>
        <v/>
      </c>
      <c r="G1274" s="4">
        <f>-SUMIFS('01_異動主檔'!$F:$F,'01_異動主檔'!$B:$B,99,'01_異動主檔'!$D:$D,A1274,'01_異動主檔'!$E:$E,"減列")</f>
        <v/>
      </c>
      <c r="H1274" s="4">
        <f>-SUMIFS('01_異動主檔'!$F:$F,'01_異動主檔'!$B:$B,99,'01_異動主檔'!$D:$D,A1274,'01_異動主檔'!$E:$E,"精簡")</f>
        <v/>
      </c>
      <c r="I1274" s="8">
        <f>C1274+D1274+E1274+F1274+G1274+H1274</f>
        <v/>
      </c>
    </row>
    <row r="1275" ht="18" customHeight="1">
      <c r="A1275" s="3" t="inlineStr">
        <is>
          <t>稽核組</t>
        </is>
      </c>
      <c r="B1275" s="4" t="n">
        <v>100</v>
      </c>
      <c r="C1275" s="8">
        <f>I1274</f>
        <v/>
      </c>
      <c r="D1275" s="4">
        <f>SUMIFS('01_異動主檔'!$F:$F,'01_異動主檔'!$B:$B,100,'01_異動主檔'!$D:$D,A1275,'01_異動主檔'!$E:$E,"移入")</f>
        <v/>
      </c>
      <c r="E1275" s="4">
        <f>-SUMIFS('01_異動主檔'!$F:$F,'01_異動主檔'!$B:$B,100,'01_異動主檔'!$D:$D,A1275,'01_異動主檔'!$E:$E,"移出")</f>
        <v/>
      </c>
      <c r="F1275" s="4">
        <f>SUMIFS('01_異動主檔'!$F:$F,'01_異動主檔'!$B:$B,100,'01_異動主檔'!$D:$D,A1275,'01_異動主檔'!$E:$E,"新增")</f>
        <v/>
      </c>
      <c r="G1275" s="4">
        <f>-SUMIFS('01_異動主檔'!$F:$F,'01_異動主檔'!$B:$B,100,'01_異動主檔'!$D:$D,A1275,'01_異動主檔'!$E:$E,"減列")</f>
        <v/>
      </c>
      <c r="H1275" s="4">
        <f>-SUMIFS('01_異動主檔'!$F:$F,'01_異動主檔'!$B:$B,100,'01_異動主檔'!$D:$D,A1275,'01_異動主檔'!$E:$E,"精簡")</f>
        <v/>
      </c>
      <c r="I1275" s="8">
        <f>C1275+D1275+E1275+F1275+G1275+H1275</f>
        <v/>
      </c>
    </row>
    <row r="1276" ht="18" customHeight="1">
      <c r="A1276" s="5" t="inlineStr">
        <is>
          <t>稽核組</t>
        </is>
      </c>
      <c r="B1276" s="6" t="n">
        <v>101</v>
      </c>
      <c r="C1276" s="8">
        <f>I1275</f>
        <v/>
      </c>
      <c r="D1276" s="4">
        <f>SUMIFS('01_異動主檔'!$F:$F,'01_異動主檔'!$B:$B,101,'01_異動主檔'!$D:$D,A1276,'01_異動主檔'!$E:$E,"移入")</f>
        <v/>
      </c>
      <c r="E1276" s="4">
        <f>-SUMIFS('01_異動主檔'!$F:$F,'01_異動主檔'!$B:$B,101,'01_異動主檔'!$D:$D,A1276,'01_異動主檔'!$E:$E,"移出")</f>
        <v/>
      </c>
      <c r="F1276" s="4">
        <f>SUMIFS('01_異動主檔'!$F:$F,'01_異動主檔'!$B:$B,101,'01_異動主檔'!$D:$D,A1276,'01_異動主檔'!$E:$E,"新增")</f>
        <v/>
      </c>
      <c r="G1276" s="4">
        <f>-SUMIFS('01_異動主檔'!$F:$F,'01_異動主檔'!$B:$B,101,'01_異動主檔'!$D:$D,A1276,'01_異動主檔'!$E:$E,"減列")</f>
        <v/>
      </c>
      <c r="H1276" s="4">
        <f>-SUMIFS('01_異動主檔'!$F:$F,'01_異動主檔'!$B:$B,101,'01_異動主檔'!$D:$D,A1276,'01_異動主檔'!$E:$E,"精簡")</f>
        <v/>
      </c>
      <c r="I1276" s="8">
        <f>C1276+D1276+E1276+F1276+G1276+H1276</f>
        <v/>
      </c>
    </row>
    <row r="1277" ht="18" customHeight="1">
      <c r="A1277" s="3" t="inlineStr">
        <is>
          <t>稽核組</t>
        </is>
      </c>
      <c r="B1277" s="4" t="n">
        <v>102</v>
      </c>
      <c r="C1277" s="8">
        <f>I1276</f>
        <v/>
      </c>
      <c r="D1277" s="4">
        <f>SUMIFS('01_異動主檔'!$F:$F,'01_異動主檔'!$B:$B,102,'01_異動主檔'!$D:$D,A1277,'01_異動主檔'!$E:$E,"移入")</f>
        <v/>
      </c>
      <c r="E1277" s="4">
        <f>-SUMIFS('01_異動主檔'!$F:$F,'01_異動主檔'!$B:$B,102,'01_異動主檔'!$D:$D,A1277,'01_異動主檔'!$E:$E,"移出")</f>
        <v/>
      </c>
      <c r="F1277" s="4">
        <f>SUMIFS('01_異動主檔'!$F:$F,'01_異動主檔'!$B:$B,102,'01_異動主檔'!$D:$D,A1277,'01_異動主檔'!$E:$E,"新增")</f>
        <v/>
      </c>
      <c r="G1277" s="4">
        <f>-SUMIFS('01_異動主檔'!$F:$F,'01_異動主檔'!$B:$B,102,'01_異動主檔'!$D:$D,A1277,'01_異動主檔'!$E:$E,"減列")</f>
        <v/>
      </c>
      <c r="H1277" s="4">
        <f>-SUMIFS('01_異動主檔'!$F:$F,'01_異動主檔'!$B:$B,102,'01_異動主檔'!$D:$D,A1277,'01_異動主檔'!$E:$E,"精簡")</f>
        <v/>
      </c>
      <c r="I1277" s="8">
        <f>C1277+D1277+E1277+F1277+G1277+H1277</f>
        <v/>
      </c>
    </row>
    <row r="1278" ht="18" customHeight="1">
      <c r="A1278" s="5" t="inlineStr">
        <is>
          <t>稽核組</t>
        </is>
      </c>
      <c r="B1278" s="6" t="n">
        <v>103</v>
      </c>
      <c r="C1278" s="8">
        <f>I1277</f>
        <v/>
      </c>
      <c r="D1278" s="4">
        <f>SUMIFS('01_異動主檔'!$F:$F,'01_異動主檔'!$B:$B,103,'01_異動主檔'!$D:$D,A1278,'01_異動主檔'!$E:$E,"移入")</f>
        <v/>
      </c>
      <c r="E1278" s="4">
        <f>-SUMIFS('01_異動主檔'!$F:$F,'01_異動主檔'!$B:$B,103,'01_異動主檔'!$D:$D,A1278,'01_異動主檔'!$E:$E,"移出")</f>
        <v/>
      </c>
      <c r="F1278" s="4">
        <f>SUMIFS('01_異動主檔'!$F:$F,'01_異動主檔'!$B:$B,103,'01_異動主檔'!$D:$D,A1278,'01_異動主檔'!$E:$E,"新增")</f>
        <v/>
      </c>
      <c r="G1278" s="4">
        <f>-SUMIFS('01_異動主檔'!$F:$F,'01_異動主檔'!$B:$B,103,'01_異動主檔'!$D:$D,A1278,'01_異動主檔'!$E:$E,"減列")</f>
        <v/>
      </c>
      <c r="H1278" s="4">
        <f>-SUMIFS('01_異動主檔'!$F:$F,'01_異動主檔'!$B:$B,103,'01_異動主檔'!$D:$D,A1278,'01_異動主檔'!$E:$E,"精簡")</f>
        <v/>
      </c>
      <c r="I1278" s="8">
        <f>C1278+D1278+E1278+F1278+G1278+H1278</f>
        <v/>
      </c>
    </row>
    <row r="1279" ht="18" customHeight="1">
      <c r="A1279" s="3" t="inlineStr">
        <is>
          <t>稽核組</t>
        </is>
      </c>
      <c r="B1279" s="4" t="n">
        <v>104</v>
      </c>
      <c r="C1279" s="8">
        <f>I1278</f>
        <v/>
      </c>
      <c r="D1279" s="4">
        <f>SUMIFS('01_異動主檔'!$F:$F,'01_異動主檔'!$B:$B,104,'01_異動主檔'!$D:$D,A1279,'01_異動主檔'!$E:$E,"移入")</f>
        <v/>
      </c>
      <c r="E1279" s="4">
        <f>-SUMIFS('01_異動主檔'!$F:$F,'01_異動主檔'!$B:$B,104,'01_異動主檔'!$D:$D,A1279,'01_異動主檔'!$E:$E,"移出")</f>
        <v/>
      </c>
      <c r="F1279" s="4">
        <f>SUMIFS('01_異動主檔'!$F:$F,'01_異動主檔'!$B:$B,104,'01_異動主檔'!$D:$D,A1279,'01_異動主檔'!$E:$E,"新增")</f>
        <v/>
      </c>
      <c r="G1279" s="4">
        <f>-SUMIFS('01_異動主檔'!$F:$F,'01_異動主檔'!$B:$B,104,'01_異動主檔'!$D:$D,A1279,'01_異動主檔'!$E:$E,"減列")</f>
        <v/>
      </c>
      <c r="H1279" s="4">
        <f>-SUMIFS('01_異動主檔'!$F:$F,'01_異動主檔'!$B:$B,104,'01_異動主檔'!$D:$D,A1279,'01_異動主檔'!$E:$E,"精簡")</f>
        <v/>
      </c>
      <c r="I1279" s="8">
        <f>C1279+D1279+E1279+F1279+G1279+H1279</f>
        <v/>
      </c>
    </row>
    <row r="1280" ht="18" customHeight="1">
      <c r="A1280" s="5" t="inlineStr">
        <is>
          <t>稽核組</t>
        </is>
      </c>
      <c r="B1280" s="6" t="n">
        <v>105</v>
      </c>
      <c r="C1280" s="8">
        <f>I1279</f>
        <v/>
      </c>
      <c r="D1280" s="4">
        <f>SUMIFS('01_異動主檔'!$F:$F,'01_異動主檔'!$B:$B,105,'01_異動主檔'!$D:$D,A1280,'01_異動主檔'!$E:$E,"移入")</f>
        <v/>
      </c>
      <c r="E1280" s="4">
        <f>-SUMIFS('01_異動主檔'!$F:$F,'01_異動主檔'!$B:$B,105,'01_異動主檔'!$D:$D,A1280,'01_異動主檔'!$E:$E,"移出")</f>
        <v/>
      </c>
      <c r="F1280" s="4">
        <f>SUMIFS('01_異動主檔'!$F:$F,'01_異動主檔'!$B:$B,105,'01_異動主檔'!$D:$D,A1280,'01_異動主檔'!$E:$E,"新增")</f>
        <v/>
      </c>
      <c r="G1280" s="4">
        <f>-SUMIFS('01_異動主檔'!$F:$F,'01_異動主檔'!$B:$B,105,'01_異動主檔'!$D:$D,A1280,'01_異動主檔'!$E:$E,"減列")</f>
        <v/>
      </c>
      <c r="H1280" s="4">
        <f>-SUMIFS('01_異動主檔'!$F:$F,'01_異動主檔'!$B:$B,105,'01_異動主檔'!$D:$D,A1280,'01_異動主檔'!$E:$E,"精簡")</f>
        <v/>
      </c>
      <c r="I1280" s="8">
        <f>C1280+D1280+E1280+F1280+G1280+H1280</f>
        <v/>
      </c>
    </row>
    <row r="1281" ht="18" customHeight="1">
      <c r="A1281" s="3" t="inlineStr">
        <is>
          <t>稽核組</t>
        </is>
      </c>
      <c r="B1281" s="4" t="n">
        <v>106</v>
      </c>
      <c r="C1281" s="8">
        <f>I1280</f>
        <v/>
      </c>
      <c r="D1281" s="4">
        <f>SUMIFS('01_異動主檔'!$F:$F,'01_異動主檔'!$B:$B,106,'01_異動主檔'!$D:$D,A1281,'01_異動主檔'!$E:$E,"移入")</f>
        <v/>
      </c>
      <c r="E1281" s="4">
        <f>-SUMIFS('01_異動主檔'!$F:$F,'01_異動主檔'!$B:$B,106,'01_異動主檔'!$D:$D,A1281,'01_異動主檔'!$E:$E,"移出")</f>
        <v/>
      </c>
      <c r="F1281" s="4">
        <f>SUMIFS('01_異動主檔'!$F:$F,'01_異動主檔'!$B:$B,106,'01_異動主檔'!$D:$D,A1281,'01_異動主檔'!$E:$E,"新增")</f>
        <v/>
      </c>
      <c r="G1281" s="4">
        <f>-SUMIFS('01_異動主檔'!$F:$F,'01_異動主檔'!$B:$B,106,'01_異動主檔'!$D:$D,A1281,'01_異動主檔'!$E:$E,"減列")</f>
        <v/>
      </c>
      <c r="H1281" s="4">
        <f>-SUMIFS('01_異動主檔'!$F:$F,'01_異動主檔'!$B:$B,106,'01_異動主檔'!$D:$D,A1281,'01_異動主檔'!$E:$E,"精簡")</f>
        <v/>
      </c>
      <c r="I1281" s="8">
        <f>C1281+D1281+E1281+F1281+G1281+H1281</f>
        <v/>
      </c>
    </row>
    <row r="1282" ht="18" customHeight="1">
      <c r="A1282" s="5" t="inlineStr">
        <is>
          <t>稽核組</t>
        </is>
      </c>
      <c r="B1282" s="6" t="n">
        <v>107</v>
      </c>
      <c r="C1282" s="8">
        <f>I1281</f>
        <v/>
      </c>
      <c r="D1282" s="4">
        <f>SUMIFS('01_異動主檔'!$F:$F,'01_異動主檔'!$B:$B,107,'01_異動主檔'!$D:$D,A1282,'01_異動主檔'!$E:$E,"移入")</f>
        <v/>
      </c>
      <c r="E1282" s="4">
        <f>-SUMIFS('01_異動主檔'!$F:$F,'01_異動主檔'!$B:$B,107,'01_異動主檔'!$D:$D,A1282,'01_異動主檔'!$E:$E,"移出")</f>
        <v/>
      </c>
      <c r="F1282" s="4">
        <f>SUMIFS('01_異動主檔'!$F:$F,'01_異動主檔'!$B:$B,107,'01_異動主檔'!$D:$D,A1282,'01_異動主檔'!$E:$E,"新增")</f>
        <v/>
      </c>
      <c r="G1282" s="4">
        <f>-SUMIFS('01_異動主檔'!$F:$F,'01_異動主檔'!$B:$B,107,'01_異動主檔'!$D:$D,A1282,'01_異動主檔'!$E:$E,"減列")</f>
        <v/>
      </c>
      <c r="H1282" s="4">
        <f>-SUMIFS('01_異動主檔'!$F:$F,'01_異動主檔'!$B:$B,107,'01_異動主檔'!$D:$D,A1282,'01_異動主檔'!$E:$E,"精簡")</f>
        <v/>
      </c>
      <c r="I1282" s="8">
        <f>C1282+D1282+E1282+F1282+G1282+H1282</f>
        <v/>
      </c>
    </row>
    <row r="1283" ht="18" customHeight="1">
      <c r="A1283" s="3" t="inlineStr">
        <is>
          <t>稽核組</t>
        </is>
      </c>
      <c r="B1283" s="4" t="n">
        <v>108</v>
      </c>
      <c r="C1283" s="8">
        <f>I1282</f>
        <v/>
      </c>
      <c r="D1283" s="4">
        <f>SUMIFS('01_異動主檔'!$F:$F,'01_異動主檔'!$B:$B,108,'01_異動主檔'!$D:$D,A1283,'01_異動主檔'!$E:$E,"移入")</f>
        <v/>
      </c>
      <c r="E1283" s="4">
        <f>-SUMIFS('01_異動主檔'!$F:$F,'01_異動主檔'!$B:$B,108,'01_異動主檔'!$D:$D,A1283,'01_異動主檔'!$E:$E,"移出")</f>
        <v/>
      </c>
      <c r="F1283" s="4">
        <f>SUMIFS('01_異動主檔'!$F:$F,'01_異動主檔'!$B:$B,108,'01_異動主檔'!$D:$D,A1283,'01_異動主檔'!$E:$E,"新增")</f>
        <v/>
      </c>
      <c r="G1283" s="4">
        <f>-SUMIFS('01_異動主檔'!$F:$F,'01_異動主檔'!$B:$B,108,'01_異動主檔'!$D:$D,A1283,'01_異動主檔'!$E:$E,"減列")</f>
        <v/>
      </c>
      <c r="H1283" s="4">
        <f>-SUMIFS('01_異動主檔'!$F:$F,'01_異動主檔'!$B:$B,108,'01_異動主檔'!$D:$D,A1283,'01_異動主檔'!$E:$E,"精簡")</f>
        <v/>
      </c>
      <c r="I1283" s="8">
        <f>C1283+D1283+E1283+F1283+G1283+H1283</f>
        <v/>
      </c>
    </row>
    <row r="1284" ht="18" customHeight="1">
      <c r="A1284" s="5" t="inlineStr">
        <is>
          <t>稽核組</t>
        </is>
      </c>
      <c r="B1284" s="6" t="n">
        <v>109</v>
      </c>
      <c r="C1284" s="8">
        <f>I1283</f>
        <v/>
      </c>
      <c r="D1284" s="4">
        <f>SUMIFS('01_異動主檔'!$F:$F,'01_異動主檔'!$B:$B,109,'01_異動主檔'!$D:$D,A1284,'01_異動主檔'!$E:$E,"移入")</f>
        <v/>
      </c>
      <c r="E1284" s="4">
        <f>-SUMIFS('01_異動主檔'!$F:$F,'01_異動主檔'!$B:$B,109,'01_異動主檔'!$D:$D,A1284,'01_異動主檔'!$E:$E,"移出")</f>
        <v/>
      </c>
      <c r="F1284" s="4">
        <f>SUMIFS('01_異動主檔'!$F:$F,'01_異動主檔'!$B:$B,109,'01_異動主檔'!$D:$D,A1284,'01_異動主檔'!$E:$E,"新增")</f>
        <v/>
      </c>
      <c r="G1284" s="4">
        <f>-SUMIFS('01_異動主檔'!$F:$F,'01_異動主檔'!$B:$B,109,'01_異動主檔'!$D:$D,A1284,'01_異動主檔'!$E:$E,"減列")</f>
        <v/>
      </c>
      <c r="H1284" s="4">
        <f>-SUMIFS('01_異動主檔'!$F:$F,'01_異動主檔'!$B:$B,109,'01_異動主檔'!$D:$D,A1284,'01_異動主檔'!$E:$E,"精簡")</f>
        <v/>
      </c>
      <c r="I1284" s="8">
        <f>C1284+D1284+E1284+F1284+G1284+H1284</f>
        <v/>
      </c>
    </row>
    <row r="1285" ht="18" customHeight="1">
      <c r="A1285" s="3" t="inlineStr">
        <is>
          <t>稽核組</t>
        </is>
      </c>
      <c r="B1285" s="4" t="n">
        <v>110</v>
      </c>
      <c r="C1285" s="8">
        <f>I1284</f>
        <v/>
      </c>
      <c r="D1285" s="4">
        <f>SUMIFS('01_異動主檔'!$F:$F,'01_異動主檔'!$B:$B,110,'01_異動主檔'!$D:$D,A1285,'01_異動主檔'!$E:$E,"移入")</f>
        <v/>
      </c>
      <c r="E1285" s="4">
        <f>-SUMIFS('01_異動主檔'!$F:$F,'01_異動主檔'!$B:$B,110,'01_異動主檔'!$D:$D,A1285,'01_異動主檔'!$E:$E,"移出")</f>
        <v/>
      </c>
      <c r="F1285" s="4">
        <f>SUMIFS('01_異動主檔'!$F:$F,'01_異動主檔'!$B:$B,110,'01_異動主檔'!$D:$D,A1285,'01_異動主檔'!$E:$E,"新增")</f>
        <v/>
      </c>
      <c r="G1285" s="4">
        <f>-SUMIFS('01_異動主檔'!$F:$F,'01_異動主檔'!$B:$B,110,'01_異動主檔'!$D:$D,A1285,'01_異動主檔'!$E:$E,"減列")</f>
        <v/>
      </c>
      <c r="H1285" s="4">
        <f>-SUMIFS('01_異動主檔'!$F:$F,'01_異動主檔'!$B:$B,110,'01_異動主檔'!$D:$D,A1285,'01_異動主檔'!$E:$E,"精簡")</f>
        <v/>
      </c>
      <c r="I1285" s="8">
        <f>C1285+D1285+E1285+F1285+G1285+H1285</f>
        <v/>
      </c>
    </row>
    <row r="1286" ht="18" customHeight="1">
      <c r="A1286" s="5" t="inlineStr">
        <is>
          <t>稽核組</t>
        </is>
      </c>
      <c r="B1286" s="6" t="n">
        <v>111</v>
      </c>
      <c r="C1286" s="8">
        <f>I1285</f>
        <v/>
      </c>
      <c r="D1286" s="4">
        <f>SUMIFS('01_異動主檔'!$F:$F,'01_異動主檔'!$B:$B,111,'01_異動主檔'!$D:$D,A1286,'01_異動主檔'!$E:$E,"移入")</f>
        <v/>
      </c>
      <c r="E1286" s="4">
        <f>-SUMIFS('01_異動主檔'!$F:$F,'01_異動主檔'!$B:$B,111,'01_異動主檔'!$D:$D,A1286,'01_異動主檔'!$E:$E,"移出")</f>
        <v/>
      </c>
      <c r="F1286" s="4">
        <f>SUMIFS('01_異動主檔'!$F:$F,'01_異動主檔'!$B:$B,111,'01_異動主檔'!$D:$D,A1286,'01_異動主檔'!$E:$E,"新增")</f>
        <v/>
      </c>
      <c r="G1286" s="4">
        <f>-SUMIFS('01_異動主檔'!$F:$F,'01_異動主檔'!$B:$B,111,'01_異動主檔'!$D:$D,A1286,'01_異動主檔'!$E:$E,"減列")</f>
        <v/>
      </c>
      <c r="H1286" s="4">
        <f>-SUMIFS('01_異動主檔'!$F:$F,'01_異動主檔'!$B:$B,111,'01_異動主檔'!$D:$D,A1286,'01_異動主檔'!$E:$E,"精簡")</f>
        <v/>
      </c>
      <c r="I1286" s="8">
        <f>C1286+D1286+E1286+F1286+G1286+H1286</f>
        <v/>
      </c>
    </row>
    <row r="1287" ht="18" customHeight="1">
      <c r="A1287" s="3" t="inlineStr">
        <is>
          <t>稽核組</t>
        </is>
      </c>
      <c r="B1287" s="4" t="n">
        <v>112</v>
      </c>
      <c r="C1287" s="8">
        <f>I1286</f>
        <v/>
      </c>
      <c r="D1287" s="4">
        <f>SUMIFS('01_異動主檔'!$F:$F,'01_異動主檔'!$B:$B,112,'01_異動主檔'!$D:$D,A1287,'01_異動主檔'!$E:$E,"移入")</f>
        <v/>
      </c>
      <c r="E1287" s="4">
        <f>-SUMIFS('01_異動主檔'!$F:$F,'01_異動主檔'!$B:$B,112,'01_異動主檔'!$D:$D,A1287,'01_異動主檔'!$E:$E,"移出")</f>
        <v/>
      </c>
      <c r="F1287" s="4">
        <f>SUMIFS('01_異動主檔'!$F:$F,'01_異動主檔'!$B:$B,112,'01_異動主檔'!$D:$D,A1287,'01_異動主檔'!$E:$E,"新增")</f>
        <v/>
      </c>
      <c r="G1287" s="4">
        <f>-SUMIFS('01_異動主檔'!$F:$F,'01_異動主檔'!$B:$B,112,'01_異動主檔'!$D:$D,A1287,'01_異動主檔'!$E:$E,"減列")</f>
        <v/>
      </c>
      <c r="H1287" s="4">
        <f>-SUMIFS('01_異動主檔'!$F:$F,'01_異動主檔'!$B:$B,112,'01_異動主檔'!$D:$D,A1287,'01_異動主檔'!$E:$E,"精簡")</f>
        <v/>
      </c>
      <c r="I1287" s="8">
        <f>C1287+D1287+E1287+F1287+G1287+H1287</f>
        <v/>
      </c>
    </row>
    <row r="1288" ht="18" customHeight="1">
      <c r="A1288" s="5" t="inlineStr">
        <is>
          <t>稽核組</t>
        </is>
      </c>
      <c r="B1288" s="6" t="n">
        <v>113</v>
      </c>
      <c r="C1288" s="8">
        <f>I1287</f>
        <v/>
      </c>
      <c r="D1288" s="4">
        <f>SUMIFS('01_異動主檔'!$F:$F,'01_異動主檔'!$B:$B,113,'01_異動主檔'!$D:$D,A1288,'01_異動主檔'!$E:$E,"移入")</f>
        <v/>
      </c>
      <c r="E1288" s="4">
        <f>-SUMIFS('01_異動主檔'!$F:$F,'01_異動主檔'!$B:$B,113,'01_異動主檔'!$D:$D,A1288,'01_異動主檔'!$E:$E,"移出")</f>
        <v/>
      </c>
      <c r="F1288" s="4">
        <f>SUMIFS('01_異動主檔'!$F:$F,'01_異動主檔'!$B:$B,113,'01_異動主檔'!$D:$D,A1288,'01_異動主檔'!$E:$E,"新增")</f>
        <v/>
      </c>
      <c r="G1288" s="4">
        <f>-SUMIFS('01_異動主檔'!$F:$F,'01_異動主檔'!$B:$B,113,'01_異動主檔'!$D:$D,A1288,'01_異動主檔'!$E:$E,"減列")</f>
        <v/>
      </c>
      <c r="H1288" s="4">
        <f>-SUMIFS('01_異動主檔'!$F:$F,'01_異動主檔'!$B:$B,113,'01_異動主檔'!$D:$D,A1288,'01_異動主檔'!$E:$E,"精簡")</f>
        <v/>
      </c>
      <c r="I1288" s="8">
        <f>C1288+D1288+E1288+F1288+G1288+H1288</f>
        <v/>
      </c>
    </row>
    <row r="1289" ht="18" customHeight="1">
      <c r="A1289" s="3" t="inlineStr">
        <is>
          <t>稽核組</t>
        </is>
      </c>
      <c r="B1289" s="4" t="n">
        <v>114</v>
      </c>
      <c r="C1289" s="8">
        <f>I1288</f>
        <v/>
      </c>
      <c r="D1289" s="4">
        <f>SUMIFS('01_異動主檔'!$F:$F,'01_異動主檔'!$B:$B,114,'01_異動主檔'!$D:$D,A1289,'01_異動主檔'!$E:$E,"移入")</f>
        <v/>
      </c>
      <c r="E1289" s="4">
        <f>-SUMIFS('01_異動主檔'!$F:$F,'01_異動主檔'!$B:$B,114,'01_異動主檔'!$D:$D,A1289,'01_異動主檔'!$E:$E,"移出")</f>
        <v/>
      </c>
      <c r="F1289" s="4">
        <f>SUMIFS('01_異動主檔'!$F:$F,'01_異動主檔'!$B:$B,114,'01_異動主檔'!$D:$D,A1289,'01_異動主檔'!$E:$E,"新增")</f>
        <v/>
      </c>
      <c r="G1289" s="4">
        <f>-SUMIFS('01_異動主檔'!$F:$F,'01_異動主檔'!$B:$B,114,'01_異動主檔'!$D:$D,A1289,'01_異動主檔'!$E:$E,"減列")</f>
        <v/>
      </c>
      <c r="H1289" s="4">
        <f>-SUMIFS('01_異動主檔'!$F:$F,'01_異動主檔'!$B:$B,114,'01_異動主檔'!$D:$D,A1289,'01_異動主檔'!$E:$E,"精簡")</f>
        <v/>
      </c>
      <c r="I1289" s="8">
        <f>C1289+D1289+E1289+F1289+G1289+H1289</f>
        <v/>
      </c>
    </row>
    <row r="1290" ht="18" customHeight="1">
      <c r="A1290" s="5" t="inlineStr">
        <is>
          <t>稽核組</t>
        </is>
      </c>
      <c r="B1290" s="6" t="n">
        <v>115</v>
      </c>
      <c r="C1290" s="8">
        <f>I1289</f>
        <v/>
      </c>
      <c r="D1290" s="4">
        <f>SUMIFS('01_異動主檔'!$F:$F,'01_異動主檔'!$B:$B,115,'01_異動主檔'!$D:$D,A1290,'01_異動主檔'!$E:$E,"移入")</f>
        <v/>
      </c>
      <c r="E1290" s="4">
        <f>-SUMIFS('01_異動主檔'!$F:$F,'01_異動主檔'!$B:$B,115,'01_異動主檔'!$D:$D,A1290,'01_異動主檔'!$E:$E,"移出")</f>
        <v/>
      </c>
      <c r="F1290" s="4">
        <f>SUMIFS('01_異動主檔'!$F:$F,'01_異動主檔'!$B:$B,115,'01_異動主檔'!$D:$D,A1290,'01_異動主檔'!$E:$E,"新增")</f>
        <v/>
      </c>
      <c r="G1290" s="4">
        <f>-SUMIFS('01_異動主檔'!$F:$F,'01_異動主檔'!$B:$B,115,'01_異動主檔'!$D:$D,A1290,'01_異動主檔'!$E:$E,"減列")</f>
        <v/>
      </c>
      <c r="H1290" s="4">
        <f>-SUMIFS('01_異動主檔'!$F:$F,'01_異動主檔'!$B:$B,115,'01_異動主檔'!$D:$D,A1290,'01_異動主檔'!$E:$E,"精簡")</f>
        <v/>
      </c>
      <c r="I1290" s="8">
        <f>C1290+D1290+E1290+F1290+G1290+H1290</f>
        <v/>
      </c>
    </row>
    <row r="1291" ht="18" customHeight="1">
      <c r="A1291" s="3" t="inlineStr">
        <is>
          <t>稽核組</t>
        </is>
      </c>
      <c r="B1291" s="4" t="n">
        <v>116</v>
      </c>
      <c r="C1291" s="8">
        <f>I1290</f>
        <v/>
      </c>
      <c r="D1291" s="4">
        <f>SUMIFS('01_異動主檔'!$F:$F,'01_異動主檔'!$B:$B,116,'01_異動主檔'!$D:$D,A1291,'01_異動主檔'!$E:$E,"移入")</f>
        <v/>
      </c>
      <c r="E1291" s="4">
        <f>-SUMIFS('01_異動主檔'!$F:$F,'01_異動主檔'!$B:$B,116,'01_異動主檔'!$D:$D,A1291,'01_異動主檔'!$E:$E,"移出")</f>
        <v/>
      </c>
      <c r="F1291" s="4">
        <f>SUMIFS('01_異動主檔'!$F:$F,'01_異動主檔'!$B:$B,116,'01_異動主檔'!$D:$D,A1291,'01_異動主檔'!$E:$E,"新增")</f>
        <v/>
      </c>
      <c r="G1291" s="4">
        <f>-SUMIFS('01_異動主檔'!$F:$F,'01_異動主檔'!$B:$B,116,'01_異動主檔'!$D:$D,A1291,'01_異動主檔'!$E:$E,"減列")</f>
        <v/>
      </c>
      <c r="H1291" s="4">
        <f>-SUMIFS('01_異動主檔'!$F:$F,'01_異動主檔'!$B:$B,116,'01_異動主檔'!$D:$D,A1291,'01_異動主檔'!$E:$E,"精簡")</f>
        <v/>
      </c>
      <c r="I1291" s="8">
        <f>C1291+D1291+E1291+F1291+G1291+H1291</f>
        <v/>
      </c>
    </row>
    <row r="1292" ht="18" customHeight="1">
      <c r="A1292" s="5" t="inlineStr">
        <is>
          <t>稽核組</t>
        </is>
      </c>
      <c r="B1292" s="6" t="n">
        <v>117</v>
      </c>
      <c r="C1292" s="8">
        <f>I1291</f>
        <v/>
      </c>
      <c r="D1292" s="4">
        <f>SUMIFS('01_異動主檔'!$F:$F,'01_異動主檔'!$B:$B,117,'01_異動主檔'!$D:$D,A1292,'01_異動主檔'!$E:$E,"移入")</f>
        <v/>
      </c>
      <c r="E1292" s="4">
        <f>-SUMIFS('01_異動主檔'!$F:$F,'01_異動主檔'!$B:$B,117,'01_異動主檔'!$D:$D,A1292,'01_異動主檔'!$E:$E,"移出")</f>
        <v/>
      </c>
      <c r="F1292" s="4">
        <f>SUMIFS('01_異動主檔'!$F:$F,'01_異動主檔'!$B:$B,117,'01_異動主檔'!$D:$D,A1292,'01_異動主檔'!$E:$E,"新增")</f>
        <v/>
      </c>
      <c r="G1292" s="4">
        <f>-SUMIFS('01_異動主檔'!$F:$F,'01_異動主檔'!$B:$B,117,'01_異動主檔'!$D:$D,A1292,'01_異動主檔'!$E:$E,"減列")</f>
        <v/>
      </c>
      <c r="H1292" s="4">
        <f>-SUMIFS('01_異動主檔'!$F:$F,'01_異動主檔'!$B:$B,117,'01_異動主檔'!$D:$D,A1292,'01_異動主檔'!$E:$E,"精簡")</f>
        <v/>
      </c>
      <c r="I1292" s="8">
        <f>C1292+D1292+E1292+F1292+G1292+H1292</f>
        <v/>
      </c>
    </row>
    <row r="1293" ht="18" customHeight="1">
      <c r="A1293" s="3" t="inlineStr">
        <is>
          <t>稽核組</t>
        </is>
      </c>
      <c r="B1293" s="4" t="n">
        <v>118</v>
      </c>
      <c r="C1293" s="8">
        <f>I1292</f>
        <v/>
      </c>
      <c r="D1293" s="4">
        <f>SUMIFS('01_異動主檔'!$F:$F,'01_異動主檔'!$B:$B,118,'01_異動主檔'!$D:$D,A1293,'01_異動主檔'!$E:$E,"移入")</f>
        <v/>
      </c>
      <c r="E1293" s="4">
        <f>-SUMIFS('01_異動主檔'!$F:$F,'01_異動主檔'!$B:$B,118,'01_異動主檔'!$D:$D,A1293,'01_異動主檔'!$E:$E,"移出")</f>
        <v/>
      </c>
      <c r="F1293" s="4">
        <f>SUMIFS('01_異動主檔'!$F:$F,'01_異動主檔'!$B:$B,118,'01_異動主檔'!$D:$D,A1293,'01_異動主檔'!$E:$E,"新增")</f>
        <v/>
      </c>
      <c r="G1293" s="4">
        <f>-SUMIFS('01_異動主檔'!$F:$F,'01_異動主檔'!$B:$B,118,'01_異動主檔'!$D:$D,A1293,'01_異動主檔'!$E:$E,"減列")</f>
        <v/>
      </c>
      <c r="H1293" s="4">
        <f>-SUMIFS('01_異動主檔'!$F:$F,'01_異動主檔'!$B:$B,118,'01_異動主檔'!$D:$D,A1293,'01_異動主檔'!$E:$E,"精簡")</f>
        <v/>
      </c>
      <c r="I1293" s="8">
        <f>C1293+D1293+E1293+F1293+G1293+H1293</f>
        <v/>
      </c>
    </row>
    <row r="1294" ht="18" customHeight="1">
      <c r="A1294" s="5" t="inlineStr">
        <is>
          <t>稽核組</t>
        </is>
      </c>
      <c r="B1294" s="6" t="n">
        <v>119</v>
      </c>
      <c r="C1294" s="8">
        <f>I1293</f>
        <v/>
      </c>
      <c r="D1294" s="4">
        <f>SUMIFS('01_異動主檔'!$F:$F,'01_異動主檔'!$B:$B,119,'01_異動主檔'!$D:$D,A1294,'01_異動主檔'!$E:$E,"移入")</f>
        <v/>
      </c>
      <c r="E1294" s="4">
        <f>-SUMIFS('01_異動主檔'!$F:$F,'01_異動主檔'!$B:$B,119,'01_異動主檔'!$D:$D,A1294,'01_異動主檔'!$E:$E,"移出")</f>
        <v/>
      </c>
      <c r="F1294" s="4">
        <f>SUMIFS('01_異動主檔'!$F:$F,'01_異動主檔'!$B:$B,119,'01_異動主檔'!$D:$D,A1294,'01_異動主檔'!$E:$E,"新增")</f>
        <v/>
      </c>
      <c r="G1294" s="4">
        <f>-SUMIFS('01_異動主檔'!$F:$F,'01_異動主檔'!$B:$B,119,'01_異動主檔'!$D:$D,A1294,'01_異動主檔'!$E:$E,"減列")</f>
        <v/>
      </c>
      <c r="H1294" s="4">
        <f>-SUMIFS('01_異動主檔'!$F:$F,'01_異動主檔'!$B:$B,119,'01_異動主檔'!$D:$D,A1294,'01_異動主檔'!$E:$E,"精簡")</f>
        <v/>
      </c>
      <c r="I1294" s="8">
        <f>C1294+D1294+E1294+F1294+G1294+H1294</f>
        <v/>
      </c>
    </row>
    <row r="1295" ht="18" customHeight="1">
      <c r="A1295" s="3" t="inlineStr">
        <is>
          <t>稽核組</t>
        </is>
      </c>
      <c r="B1295" s="4" t="n">
        <v>120</v>
      </c>
      <c r="C1295" s="8">
        <f>I1294</f>
        <v/>
      </c>
      <c r="D1295" s="4">
        <f>SUMIFS('01_異動主檔'!$F:$F,'01_異動主檔'!$B:$B,120,'01_異動主檔'!$D:$D,A1295,'01_異動主檔'!$E:$E,"移入")</f>
        <v/>
      </c>
      <c r="E1295" s="4">
        <f>-SUMIFS('01_異動主檔'!$F:$F,'01_異動主檔'!$B:$B,120,'01_異動主檔'!$D:$D,A1295,'01_異動主檔'!$E:$E,"移出")</f>
        <v/>
      </c>
      <c r="F1295" s="4">
        <f>SUMIFS('01_異動主檔'!$F:$F,'01_異動主檔'!$B:$B,120,'01_異動主檔'!$D:$D,A1295,'01_異動主檔'!$E:$E,"新增")</f>
        <v/>
      </c>
      <c r="G1295" s="4">
        <f>-SUMIFS('01_異動主檔'!$F:$F,'01_異動主檔'!$B:$B,120,'01_異動主檔'!$D:$D,A1295,'01_異動主檔'!$E:$E,"減列")</f>
        <v/>
      </c>
      <c r="H1295" s="4">
        <f>-SUMIFS('01_異動主檔'!$F:$F,'01_異動主檔'!$B:$B,120,'01_異動主檔'!$D:$D,A1295,'01_異動主檔'!$E:$E,"精簡")</f>
        <v/>
      </c>
      <c r="I1295" s="8">
        <f>C1295+D1295+E1295+F1295+G1295+H1295</f>
        <v/>
      </c>
    </row>
    <row r="1296" ht="18" customHeight="1">
      <c r="A1296" s="5" t="inlineStr">
        <is>
          <t>稽核組</t>
        </is>
      </c>
      <c r="B1296" s="6" t="n">
        <v>121</v>
      </c>
      <c r="C1296" s="8">
        <f>I1295</f>
        <v/>
      </c>
      <c r="D1296" s="4">
        <f>SUMIFS('01_異動主檔'!$F:$F,'01_異動主檔'!$B:$B,121,'01_異動主檔'!$D:$D,A1296,'01_異動主檔'!$E:$E,"移入")</f>
        <v/>
      </c>
      <c r="E1296" s="4">
        <f>-SUMIFS('01_異動主檔'!$F:$F,'01_異動主檔'!$B:$B,121,'01_異動主檔'!$D:$D,A1296,'01_異動主檔'!$E:$E,"移出")</f>
        <v/>
      </c>
      <c r="F1296" s="4">
        <f>SUMIFS('01_異動主檔'!$F:$F,'01_異動主檔'!$B:$B,121,'01_異動主檔'!$D:$D,A1296,'01_異動主檔'!$E:$E,"新增")</f>
        <v/>
      </c>
      <c r="G1296" s="4">
        <f>-SUMIFS('01_異動主檔'!$F:$F,'01_異動主檔'!$B:$B,121,'01_異動主檔'!$D:$D,A1296,'01_異動主檔'!$E:$E,"減列")</f>
        <v/>
      </c>
      <c r="H1296" s="4">
        <f>-SUMIFS('01_異動主檔'!$F:$F,'01_異動主檔'!$B:$B,121,'01_異動主檔'!$D:$D,A1296,'01_異動主檔'!$E:$E,"精簡")</f>
        <v/>
      </c>
      <c r="I1296" s="8">
        <f>C1296+D1296+E1296+F1296+G1296+H1296</f>
        <v/>
      </c>
    </row>
    <row r="1297" ht="18" customHeight="1">
      <c r="A1297" s="3" t="inlineStr">
        <is>
          <t>稽核組</t>
        </is>
      </c>
      <c r="B1297" s="4" t="n">
        <v>122</v>
      </c>
      <c r="C1297" s="8">
        <f>I1296</f>
        <v/>
      </c>
      <c r="D1297" s="4">
        <f>SUMIFS('01_異動主檔'!$F:$F,'01_異動主檔'!$B:$B,122,'01_異動主檔'!$D:$D,A1297,'01_異動主檔'!$E:$E,"移入")</f>
        <v/>
      </c>
      <c r="E1297" s="4">
        <f>-SUMIFS('01_異動主檔'!$F:$F,'01_異動主檔'!$B:$B,122,'01_異動主檔'!$D:$D,A1297,'01_異動主檔'!$E:$E,"移出")</f>
        <v/>
      </c>
      <c r="F1297" s="4">
        <f>SUMIFS('01_異動主檔'!$F:$F,'01_異動主檔'!$B:$B,122,'01_異動主檔'!$D:$D,A1297,'01_異動主檔'!$E:$E,"新增")</f>
        <v/>
      </c>
      <c r="G1297" s="4">
        <f>-SUMIFS('01_異動主檔'!$F:$F,'01_異動主檔'!$B:$B,122,'01_異動主檔'!$D:$D,A1297,'01_異動主檔'!$E:$E,"減列")</f>
        <v/>
      </c>
      <c r="H1297" s="4">
        <f>-SUMIFS('01_異動主檔'!$F:$F,'01_異動主檔'!$B:$B,122,'01_異動主檔'!$D:$D,A1297,'01_異動主檔'!$E:$E,"精簡")</f>
        <v/>
      </c>
      <c r="I1297" s="8">
        <f>C1297+D1297+E1297+F1297+G1297+H1297</f>
        <v/>
      </c>
    </row>
    <row r="1298" ht="18" customHeight="1">
      <c r="A1298" s="5" t="inlineStr">
        <is>
          <t>稽核組</t>
        </is>
      </c>
      <c r="B1298" s="6" t="n">
        <v>123</v>
      </c>
      <c r="C1298" s="8">
        <f>I1297</f>
        <v/>
      </c>
      <c r="D1298" s="4">
        <f>SUMIFS('01_異動主檔'!$F:$F,'01_異動主檔'!$B:$B,123,'01_異動主檔'!$D:$D,A1298,'01_異動主檔'!$E:$E,"移入")</f>
        <v/>
      </c>
      <c r="E1298" s="4">
        <f>-SUMIFS('01_異動主檔'!$F:$F,'01_異動主檔'!$B:$B,123,'01_異動主檔'!$D:$D,A1298,'01_異動主檔'!$E:$E,"移出")</f>
        <v/>
      </c>
      <c r="F1298" s="4">
        <f>SUMIFS('01_異動主檔'!$F:$F,'01_異動主檔'!$B:$B,123,'01_異動主檔'!$D:$D,A1298,'01_異動主檔'!$E:$E,"新增")</f>
        <v/>
      </c>
      <c r="G1298" s="4">
        <f>-SUMIFS('01_異動主檔'!$F:$F,'01_異動主檔'!$B:$B,123,'01_異動主檔'!$D:$D,A1298,'01_異動主檔'!$E:$E,"減列")</f>
        <v/>
      </c>
      <c r="H1298" s="4">
        <f>-SUMIFS('01_異動主檔'!$F:$F,'01_異動主檔'!$B:$B,123,'01_異動主檔'!$D:$D,A1298,'01_異動主檔'!$E:$E,"精簡")</f>
        <v/>
      </c>
      <c r="I1298" s="8">
        <f>C1298+D1298+E1298+F1298+G1298+H1298</f>
        <v/>
      </c>
    </row>
    <row r="1299" ht="18" customHeight="1">
      <c r="A1299" s="3" t="inlineStr">
        <is>
          <t>稽核組</t>
        </is>
      </c>
      <c r="B1299" s="4" t="n">
        <v>124</v>
      </c>
      <c r="C1299" s="8">
        <f>I1298</f>
        <v/>
      </c>
      <c r="D1299" s="4">
        <f>SUMIFS('01_異動主檔'!$F:$F,'01_異動主檔'!$B:$B,124,'01_異動主檔'!$D:$D,A1299,'01_異動主檔'!$E:$E,"移入")</f>
        <v/>
      </c>
      <c r="E1299" s="4">
        <f>-SUMIFS('01_異動主檔'!$F:$F,'01_異動主檔'!$B:$B,124,'01_異動主檔'!$D:$D,A1299,'01_異動主檔'!$E:$E,"移出")</f>
        <v/>
      </c>
      <c r="F1299" s="4">
        <f>SUMIFS('01_異動主檔'!$F:$F,'01_異動主檔'!$B:$B,124,'01_異動主檔'!$D:$D,A1299,'01_異動主檔'!$E:$E,"新增")</f>
        <v/>
      </c>
      <c r="G1299" s="4">
        <f>-SUMIFS('01_異動主檔'!$F:$F,'01_異動主檔'!$B:$B,124,'01_異動主檔'!$D:$D,A1299,'01_異動主檔'!$E:$E,"減列")</f>
        <v/>
      </c>
      <c r="H1299" s="4">
        <f>-SUMIFS('01_異動主檔'!$F:$F,'01_異動主檔'!$B:$B,124,'01_異動主檔'!$D:$D,A1299,'01_異動主檔'!$E:$E,"精簡")</f>
        <v/>
      </c>
      <c r="I1299" s="8">
        <f>C1299+D1299+E1299+F1299+G1299+H1299</f>
        <v/>
      </c>
    </row>
    <row r="1300" ht="18" customHeight="1">
      <c r="A1300" s="5" t="inlineStr">
        <is>
          <t>稽核組</t>
        </is>
      </c>
      <c r="B1300" s="6" t="n">
        <v>125</v>
      </c>
      <c r="C1300" s="8">
        <f>I1299</f>
        <v/>
      </c>
      <c r="D1300" s="4">
        <f>SUMIFS('01_異動主檔'!$F:$F,'01_異動主檔'!$B:$B,125,'01_異動主檔'!$D:$D,A1300,'01_異動主檔'!$E:$E,"移入")</f>
        <v/>
      </c>
      <c r="E1300" s="4">
        <f>-SUMIFS('01_異動主檔'!$F:$F,'01_異動主檔'!$B:$B,125,'01_異動主檔'!$D:$D,A1300,'01_異動主檔'!$E:$E,"移出")</f>
        <v/>
      </c>
      <c r="F1300" s="4">
        <f>SUMIFS('01_異動主檔'!$F:$F,'01_異動主檔'!$B:$B,125,'01_異動主檔'!$D:$D,A1300,'01_異動主檔'!$E:$E,"新增")</f>
        <v/>
      </c>
      <c r="G1300" s="4">
        <f>-SUMIFS('01_異動主檔'!$F:$F,'01_異動主檔'!$B:$B,125,'01_異動主檔'!$D:$D,A1300,'01_異動主檔'!$E:$E,"減列")</f>
        <v/>
      </c>
      <c r="H1300" s="4">
        <f>-SUMIFS('01_異動主檔'!$F:$F,'01_異動主檔'!$B:$B,125,'01_異動主檔'!$D:$D,A1300,'01_異動主檔'!$E:$E,"精簡")</f>
        <v/>
      </c>
      <c r="I1300" s="8">
        <f>C1300+D1300+E1300+F1300+G1300+H1300</f>
        <v/>
      </c>
    </row>
    <row r="1301" ht="18" customHeight="1">
      <c r="A1301" s="3" t="inlineStr">
        <is>
          <t>中部辦公室</t>
        </is>
      </c>
      <c r="B1301" s="4" t="n">
        <v>99</v>
      </c>
      <c r="C1301" s="8">
        <f>'02_年初員額設定'!B53</f>
        <v/>
      </c>
      <c r="D1301" s="4">
        <f>SUMIFS('01_異動主檔'!$F:$F,'01_異動主檔'!$B:$B,99,'01_異動主檔'!$D:$D,A1301,'01_異動主檔'!$E:$E,"移入")</f>
        <v/>
      </c>
      <c r="E1301" s="4">
        <f>-SUMIFS('01_異動主檔'!$F:$F,'01_異動主檔'!$B:$B,99,'01_異動主檔'!$D:$D,A1301,'01_異動主檔'!$E:$E,"移出")</f>
        <v/>
      </c>
      <c r="F1301" s="4">
        <f>SUMIFS('01_異動主檔'!$F:$F,'01_異動主檔'!$B:$B,99,'01_異動主檔'!$D:$D,A1301,'01_異動主檔'!$E:$E,"新增")</f>
        <v/>
      </c>
      <c r="G1301" s="4">
        <f>-SUMIFS('01_異動主檔'!$F:$F,'01_異動主檔'!$B:$B,99,'01_異動主檔'!$D:$D,A1301,'01_異動主檔'!$E:$E,"減列")</f>
        <v/>
      </c>
      <c r="H1301" s="4">
        <f>-SUMIFS('01_異動主檔'!$F:$F,'01_異動主檔'!$B:$B,99,'01_異動主檔'!$D:$D,A1301,'01_異動主檔'!$E:$E,"精簡")</f>
        <v/>
      </c>
      <c r="I1301" s="8">
        <f>C1301+D1301+E1301+F1301+G1301+H1301</f>
        <v/>
      </c>
    </row>
    <row r="1302" ht="18" customHeight="1">
      <c r="A1302" s="5" t="inlineStr">
        <is>
          <t>中部辦公室</t>
        </is>
      </c>
      <c r="B1302" s="6" t="n">
        <v>100</v>
      </c>
      <c r="C1302" s="8">
        <f>I1301</f>
        <v/>
      </c>
      <c r="D1302" s="4">
        <f>SUMIFS('01_異動主檔'!$F:$F,'01_異動主檔'!$B:$B,100,'01_異動主檔'!$D:$D,A1302,'01_異動主檔'!$E:$E,"移入")</f>
        <v/>
      </c>
      <c r="E1302" s="4">
        <f>-SUMIFS('01_異動主檔'!$F:$F,'01_異動主檔'!$B:$B,100,'01_異動主檔'!$D:$D,A1302,'01_異動主檔'!$E:$E,"移出")</f>
        <v/>
      </c>
      <c r="F1302" s="4">
        <f>SUMIFS('01_異動主檔'!$F:$F,'01_異動主檔'!$B:$B,100,'01_異動主檔'!$D:$D,A1302,'01_異動主檔'!$E:$E,"新增")</f>
        <v/>
      </c>
      <c r="G1302" s="4">
        <f>-SUMIFS('01_異動主檔'!$F:$F,'01_異動主檔'!$B:$B,100,'01_異動主檔'!$D:$D,A1302,'01_異動主檔'!$E:$E,"減列")</f>
        <v/>
      </c>
      <c r="H1302" s="4">
        <f>-SUMIFS('01_異動主檔'!$F:$F,'01_異動主檔'!$B:$B,100,'01_異動主檔'!$D:$D,A1302,'01_異動主檔'!$E:$E,"精簡")</f>
        <v/>
      </c>
      <c r="I1302" s="8">
        <f>C1302+D1302+E1302+F1302+G1302+H1302</f>
        <v/>
      </c>
    </row>
    <row r="1303" ht="18" customHeight="1">
      <c r="A1303" s="3" t="inlineStr">
        <is>
          <t>中部辦公室</t>
        </is>
      </c>
      <c r="B1303" s="4" t="n">
        <v>101</v>
      </c>
      <c r="C1303" s="8">
        <f>I1302</f>
        <v/>
      </c>
      <c r="D1303" s="4">
        <f>SUMIFS('01_異動主檔'!$F:$F,'01_異動主檔'!$B:$B,101,'01_異動主檔'!$D:$D,A1303,'01_異動主檔'!$E:$E,"移入")</f>
        <v/>
      </c>
      <c r="E1303" s="4">
        <f>-SUMIFS('01_異動主檔'!$F:$F,'01_異動主檔'!$B:$B,101,'01_異動主檔'!$D:$D,A1303,'01_異動主檔'!$E:$E,"移出")</f>
        <v/>
      </c>
      <c r="F1303" s="4">
        <f>SUMIFS('01_異動主檔'!$F:$F,'01_異動主檔'!$B:$B,101,'01_異動主檔'!$D:$D,A1303,'01_異動主檔'!$E:$E,"新增")</f>
        <v/>
      </c>
      <c r="G1303" s="4">
        <f>-SUMIFS('01_異動主檔'!$F:$F,'01_異動主檔'!$B:$B,101,'01_異動主檔'!$D:$D,A1303,'01_異動主檔'!$E:$E,"減列")</f>
        <v/>
      </c>
      <c r="H1303" s="4">
        <f>-SUMIFS('01_異動主檔'!$F:$F,'01_異動主檔'!$B:$B,101,'01_異動主檔'!$D:$D,A1303,'01_異動主檔'!$E:$E,"精簡")</f>
        <v/>
      </c>
      <c r="I1303" s="8">
        <f>C1303+D1303+E1303+F1303+G1303+H1303</f>
        <v/>
      </c>
    </row>
    <row r="1304" ht="18" customHeight="1">
      <c r="A1304" s="5" t="inlineStr">
        <is>
          <t>中部辦公室</t>
        </is>
      </c>
      <c r="B1304" s="6" t="n">
        <v>102</v>
      </c>
      <c r="C1304" s="8">
        <f>I1303</f>
        <v/>
      </c>
      <c r="D1304" s="4">
        <f>SUMIFS('01_異動主檔'!$F:$F,'01_異動主檔'!$B:$B,102,'01_異動主檔'!$D:$D,A1304,'01_異動主檔'!$E:$E,"移入")</f>
        <v/>
      </c>
      <c r="E1304" s="4">
        <f>-SUMIFS('01_異動主檔'!$F:$F,'01_異動主檔'!$B:$B,102,'01_異動主檔'!$D:$D,A1304,'01_異動主檔'!$E:$E,"移出")</f>
        <v/>
      </c>
      <c r="F1304" s="4">
        <f>SUMIFS('01_異動主檔'!$F:$F,'01_異動主檔'!$B:$B,102,'01_異動主檔'!$D:$D,A1304,'01_異動主檔'!$E:$E,"新增")</f>
        <v/>
      </c>
      <c r="G1304" s="4">
        <f>-SUMIFS('01_異動主檔'!$F:$F,'01_異動主檔'!$B:$B,102,'01_異動主檔'!$D:$D,A1304,'01_異動主檔'!$E:$E,"減列")</f>
        <v/>
      </c>
      <c r="H1304" s="4">
        <f>-SUMIFS('01_異動主檔'!$F:$F,'01_異動主檔'!$B:$B,102,'01_異動主檔'!$D:$D,A1304,'01_異動主檔'!$E:$E,"精簡")</f>
        <v/>
      </c>
      <c r="I1304" s="8">
        <f>C1304+D1304+E1304+F1304+G1304+H1304</f>
        <v/>
      </c>
    </row>
    <row r="1305" ht="18" customHeight="1">
      <c r="A1305" s="3" t="inlineStr">
        <is>
          <t>中部辦公室</t>
        </is>
      </c>
      <c r="B1305" s="4" t="n">
        <v>103</v>
      </c>
      <c r="C1305" s="8">
        <f>I1304</f>
        <v/>
      </c>
      <c r="D1305" s="4">
        <f>SUMIFS('01_異動主檔'!$F:$F,'01_異動主檔'!$B:$B,103,'01_異動主檔'!$D:$D,A1305,'01_異動主檔'!$E:$E,"移入")</f>
        <v/>
      </c>
      <c r="E1305" s="4">
        <f>-SUMIFS('01_異動主檔'!$F:$F,'01_異動主檔'!$B:$B,103,'01_異動主檔'!$D:$D,A1305,'01_異動主檔'!$E:$E,"移出")</f>
        <v/>
      </c>
      <c r="F1305" s="4">
        <f>SUMIFS('01_異動主檔'!$F:$F,'01_異動主檔'!$B:$B,103,'01_異動主檔'!$D:$D,A1305,'01_異動主檔'!$E:$E,"新增")</f>
        <v/>
      </c>
      <c r="G1305" s="4">
        <f>-SUMIFS('01_異動主檔'!$F:$F,'01_異動主檔'!$B:$B,103,'01_異動主檔'!$D:$D,A1305,'01_異動主檔'!$E:$E,"減列")</f>
        <v/>
      </c>
      <c r="H1305" s="4">
        <f>-SUMIFS('01_異動主檔'!$F:$F,'01_異動主檔'!$B:$B,103,'01_異動主檔'!$D:$D,A1305,'01_異動主檔'!$E:$E,"精簡")</f>
        <v/>
      </c>
      <c r="I1305" s="8">
        <f>C1305+D1305+E1305+F1305+G1305+H1305</f>
        <v/>
      </c>
    </row>
    <row r="1306" ht="18" customHeight="1">
      <c r="A1306" s="5" t="inlineStr">
        <is>
          <t>中部辦公室</t>
        </is>
      </c>
      <c r="B1306" s="6" t="n">
        <v>104</v>
      </c>
      <c r="C1306" s="8">
        <f>I1305</f>
        <v/>
      </c>
      <c r="D1306" s="4">
        <f>SUMIFS('01_異動主檔'!$F:$F,'01_異動主檔'!$B:$B,104,'01_異動主檔'!$D:$D,A1306,'01_異動主檔'!$E:$E,"移入")</f>
        <v/>
      </c>
      <c r="E1306" s="4">
        <f>-SUMIFS('01_異動主檔'!$F:$F,'01_異動主檔'!$B:$B,104,'01_異動主檔'!$D:$D,A1306,'01_異動主檔'!$E:$E,"移出")</f>
        <v/>
      </c>
      <c r="F1306" s="4">
        <f>SUMIFS('01_異動主檔'!$F:$F,'01_異動主檔'!$B:$B,104,'01_異動主檔'!$D:$D,A1306,'01_異動主檔'!$E:$E,"新增")</f>
        <v/>
      </c>
      <c r="G1306" s="4">
        <f>-SUMIFS('01_異動主檔'!$F:$F,'01_異動主檔'!$B:$B,104,'01_異動主檔'!$D:$D,A1306,'01_異動主檔'!$E:$E,"減列")</f>
        <v/>
      </c>
      <c r="H1306" s="4">
        <f>-SUMIFS('01_異動主檔'!$F:$F,'01_異動主檔'!$B:$B,104,'01_異動主檔'!$D:$D,A1306,'01_異動主檔'!$E:$E,"精簡")</f>
        <v/>
      </c>
      <c r="I1306" s="8">
        <f>C1306+D1306+E1306+F1306+G1306+H1306</f>
        <v/>
      </c>
    </row>
    <row r="1307" ht="18" customHeight="1">
      <c r="A1307" s="3" t="inlineStr">
        <is>
          <t>中部辦公室</t>
        </is>
      </c>
      <c r="B1307" s="4" t="n">
        <v>105</v>
      </c>
      <c r="C1307" s="8">
        <f>I1306</f>
        <v/>
      </c>
      <c r="D1307" s="4">
        <f>SUMIFS('01_異動主檔'!$F:$F,'01_異動主檔'!$B:$B,105,'01_異動主檔'!$D:$D,A1307,'01_異動主檔'!$E:$E,"移入")</f>
        <v/>
      </c>
      <c r="E1307" s="4">
        <f>-SUMIFS('01_異動主檔'!$F:$F,'01_異動主檔'!$B:$B,105,'01_異動主檔'!$D:$D,A1307,'01_異動主檔'!$E:$E,"移出")</f>
        <v/>
      </c>
      <c r="F1307" s="4">
        <f>SUMIFS('01_異動主檔'!$F:$F,'01_異動主檔'!$B:$B,105,'01_異動主檔'!$D:$D,A1307,'01_異動主檔'!$E:$E,"新增")</f>
        <v/>
      </c>
      <c r="G1307" s="4">
        <f>-SUMIFS('01_異動主檔'!$F:$F,'01_異動主檔'!$B:$B,105,'01_異動主檔'!$D:$D,A1307,'01_異動主檔'!$E:$E,"減列")</f>
        <v/>
      </c>
      <c r="H1307" s="4">
        <f>-SUMIFS('01_異動主檔'!$F:$F,'01_異動主檔'!$B:$B,105,'01_異動主檔'!$D:$D,A1307,'01_異動主檔'!$E:$E,"精簡")</f>
        <v/>
      </c>
      <c r="I1307" s="8">
        <f>C1307+D1307+E1307+F1307+G1307+H1307</f>
        <v/>
      </c>
    </row>
    <row r="1308" ht="18" customHeight="1">
      <c r="A1308" s="5" t="inlineStr">
        <is>
          <t>中部辦公室</t>
        </is>
      </c>
      <c r="B1308" s="6" t="n">
        <v>106</v>
      </c>
      <c r="C1308" s="8">
        <f>I1307</f>
        <v/>
      </c>
      <c r="D1308" s="4">
        <f>SUMIFS('01_異動主檔'!$F:$F,'01_異動主檔'!$B:$B,106,'01_異動主檔'!$D:$D,A1308,'01_異動主檔'!$E:$E,"移入")</f>
        <v/>
      </c>
      <c r="E1308" s="4">
        <f>-SUMIFS('01_異動主檔'!$F:$F,'01_異動主檔'!$B:$B,106,'01_異動主檔'!$D:$D,A1308,'01_異動主檔'!$E:$E,"移出")</f>
        <v/>
      </c>
      <c r="F1308" s="4">
        <f>SUMIFS('01_異動主檔'!$F:$F,'01_異動主檔'!$B:$B,106,'01_異動主檔'!$D:$D,A1308,'01_異動主檔'!$E:$E,"新增")</f>
        <v/>
      </c>
      <c r="G1308" s="4">
        <f>-SUMIFS('01_異動主檔'!$F:$F,'01_異動主檔'!$B:$B,106,'01_異動主檔'!$D:$D,A1308,'01_異動主檔'!$E:$E,"減列")</f>
        <v/>
      </c>
      <c r="H1308" s="4">
        <f>-SUMIFS('01_異動主檔'!$F:$F,'01_異動主檔'!$B:$B,106,'01_異動主檔'!$D:$D,A1308,'01_異動主檔'!$E:$E,"精簡")</f>
        <v/>
      </c>
      <c r="I1308" s="8">
        <f>C1308+D1308+E1308+F1308+G1308+H1308</f>
        <v/>
      </c>
    </row>
    <row r="1309" ht="18" customHeight="1">
      <c r="A1309" s="3" t="inlineStr">
        <is>
          <t>中部辦公室</t>
        </is>
      </c>
      <c r="B1309" s="4" t="n">
        <v>107</v>
      </c>
      <c r="C1309" s="8">
        <f>I1308</f>
        <v/>
      </c>
      <c r="D1309" s="4">
        <f>SUMIFS('01_異動主檔'!$F:$F,'01_異動主檔'!$B:$B,107,'01_異動主檔'!$D:$D,A1309,'01_異動主檔'!$E:$E,"移入")</f>
        <v/>
      </c>
      <c r="E1309" s="4">
        <f>-SUMIFS('01_異動主檔'!$F:$F,'01_異動主檔'!$B:$B,107,'01_異動主檔'!$D:$D,A1309,'01_異動主檔'!$E:$E,"移出")</f>
        <v/>
      </c>
      <c r="F1309" s="4">
        <f>SUMIFS('01_異動主檔'!$F:$F,'01_異動主檔'!$B:$B,107,'01_異動主檔'!$D:$D,A1309,'01_異動主檔'!$E:$E,"新增")</f>
        <v/>
      </c>
      <c r="G1309" s="4">
        <f>-SUMIFS('01_異動主檔'!$F:$F,'01_異動主檔'!$B:$B,107,'01_異動主檔'!$D:$D,A1309,'01_異動主檔'!$E:$E,"減列")</f>
        <v/>
      </c>
      <c r="H1309" s="4">
        <f>-SUMIFS('01_異動主檔'!$F:$F,'01_異動主檔'!$B:$B,107,'01_異動主檔'!$D:$D,A1309,'01_異動主檔'!$E:$E,"精簡")</f>
        <v/>
      </c>
      <c r="I1309" s="8">
        <f>C1309+D1309+E1309+F1309+G1309+H1309</f>
        <v/>
      </c>
    </row>
    <row r="1310" ht="18" customHeight="1">
      <c r="A1310" s="5" t="inlineStr">
        <is>
          <t>中部辦公室</t>
        </is>
      </c>
      <c r="B1310" s="6" t="n">
        <v>108</v>
      </c>
      <c r="C1310" s="8">
        <f>I1309</f>
        <v/>
      </c>
      <c r="D1310" s="4">
        <f>SUMIFS('01_異動主檔'!$F:$F,'01_異動主檔'!$B:$B,108,'01_異動主檔'!$D:$D,A1310,'01_異動主檔'!$E:$E,"移入")</f>
        <v/>
      </c>
      <c r="E1310" s="4">
        <f>-SUMIFS('01_異動主檔'!$F:$F,'01_異動主檔'!$B:$B,108,'01_異動主檔'!$D:$D,A1310,'01_異動主檔'!$E:$E,"移出")</f>
        <v/>
      </c>
      <c r="F1310" s="4">
        <f>SUMIFS('01_異動主檔'!$F:$F,'01_異動主檔'!$B:$B,108,'01_異動主檔'!$D:$D,A1310,'01_異動主檔'!$E:$E,"新增")</f>
        <v/>
      </c>
      <c r="G1310" s="4">
        <f>-SUMIFS('01_異動主檔'!$F:$F,'01_異動主檔'!$B:$B,108,'01_異動主檔'!$D:$D,A1310,'01_異動主檔'!$E:$E,"減列")</f>
        <v/>
      </c>
      <c r="H1310" s="4">
        <f>-SUMIFS('01_異動主檔'!$F:$F,'01_異動主檔'!$B:$B,108,'01_異動主檔'!$D:$D,A1310,'01_異動主檔'!$E:$E,"精簡")</f>
        <v/>
      </c>
      <c r="I1310" s="8">
        <f>C1310+D1310+E1310+F1310+G1310+H1310</f>
        <v/>
      </c>
    </row>
    <row r="1311" ht="18" customHeight="1">
      <c r="A1311" s="3" t="inlineStr">
        <is>
          <t>中部辦公室</t>
        </is>
      </c>
      <c r="B1311" s="4" t="n">
        <v>109</v>
      </c>
      <c r="C1311" s="8">
        <f>I1310</f>
        <v/>
      </c>
      <c r="D1311" s="4">
        <f>SUMIFS('01_異動主檔'!$F:$F,'01_異動主檔'!$B:$B,109,'01_異動主檔'!$D:$D,A1311,'01_異動主檔'!$E:$E,"移入")</f>
        <v/>
      </c>
      <c r="E1311" s="4">
        <f>-SUMIFS('01_異動主檔'!$F:$F,'01_異動主檔'!$B:$B,109,'01_異動主檔'!$D:$D,A1311,'01_異動主檔'!$E:$E,"移出")</f>
        <v/>
      </c>
      <c r="F1311" s="4">
        <f>SUMIFS('01_異動主檔'!$F:$F,'01_異動主檔'!$B:$B,109,'01_異動主檔'!$D:$D,A1311,'01_異動主檔'!$E:$E,"新增")</f>
        <v/>
      </c>
      <c r="G1311" s="4">
        <f>-SUMIFS('01_異動主檔'!$F:$F,'01_異動主檔'!$B:$B,109,'01_異動主檔'!$D:$D,A1311,'01_異動主檔'!$E:$E,"減列")</f>
        <v/>
      </c>
      <c r="H1311" s="4">
        <f>-SUMIFS('01_異動主檔'!$F:$F,'01_異動主檔'!$B:$B,109,'01_異動主檔'!$D:$D,A1311,'01_異動主檔'!$E:$E,"精簡")</f>
        <v/>
      </c>
      <c r="I1311" s="8">
        <f>C1311+D1311+E1311+F1311+G1311+H1311</f>
        <v/>
      </c>
    </row>
    <row r="1312" ht="18" customHeight="1">
      <c r="A1312" s="5" t="inlineStr">
        <is>
          <t>中部辦公室</t>
        </is>
      </c>
      <c r="B1312" s="6" t="n">
        <v>110</v>
      </c>
      <c r="C1312" s="8">
        <f>I1311</f>
        <v/>
      </c>
      <c r="D1312" s="4">
        <f>SUMIFS('01_異動主檔'!$F:$F,'01_異動主檔'!$B:$B,110,'01_異動主檔'!$D:$D,A1312,'01_異動主檔'!$E:$E,"移入")</f>
        <v/>
      </c>
      <c r="E1312" s="4">
        <f>-SUMIFS('01_異動主檔'!$F:$F,'01_異動主檔'!$B:$B,110,'01_異動主檔'!$D:$D,A1312,'01_異動主檔'!$E:$E,"移出")</f>
        <v/>
      </c>
      <c r="F1312" s="4">
        <f>SUMIFS('01_異動主檔'!$F:$F,'01_異動主檔'!$B:$B,110,'01_異動主檔'!$D:$D,A1312,'01_異動主檔'!$E:$E,"新增")</f>
        <v/>
      </c>
      <c r="G1312" s="4">
        <f>-SUMIFS('01_異動主檔'!$F:$F,'01_異動主檔'!$B:$B,110,'01_異動主檔'!$D:$D,A1312,'01_異動主檔'!$E:$E,"減列")</f>
        <v/>
      </c>
      <c r="H1312" s="4">
        <f>-SUMIFS('01_異動主檔'!$F:$F,'01_異動主檔'!$B:$B,110,'01_異動主檔'!$D:$D,A1312,'01_異動主檔'!$E:$E,"精簡")</f>
        <v/>
      </c>
      <c r="I1312" s="8">
        <f>C1312+D1312+E1312+F1312+G1312+H1312</f>
        <v/>
      </c>
    </row>
    <row r="1313" ht="18" customHeight="1">
      <c r="A1313" s="3" t="inlineStr">
        <is>
          <t>中部辦公室</t>
        </is>
      </c>
      <c r="B1313" s="4" t="n">
        <v>111</v>
      </c>
      <c r="C1313" s="8">
        <f>I1312</f>
        <v/>
      </c>
      <c r="D1313" s="4">
        <f>SUMIFS('01_異動主檔'!$F:$F,'01_異動主檔'!$B:$B,111,'01_異動主檔'!$D:$D,A1313,'01_異動主檔'!$E:$E,"移入")</f>
        <v/>
      </c>
      <c r="E1313" s="4">
        <f>-SUMIFS('01_異動主檔'!$F:$F,'01_異動主檔'!$B:$B,111,'01_異動主檔'!$D:$D,A1313,'01_異動主檔'!$E:$E,"移出")</f>
        <v/>
      </c>
      <c r="F1313" s="4">
        <f>SUMIFS('01_異動主檔'!$F:$F,'01_異動主檔'!$B:$B,111,'01_異動主檔'!$D:$D,A1313,'01_異動主檔'!$E:$E,"新增")</f>
        <v/>
      </c>
      <c r="G1313" s="4">
        <f>-SUMIFS('01_異動主檔'!$F:$F,'01_異動主檔'!$B:$B,111,'01_異動主檔'!$D:$D,A1313,'01_異動主檔'!$E:$E,"減列")</f>
        <v/>
      </c>
      <c r="H1313" s="4">
        <f>-SUMIFS('01_異動主檔'!$F:$F,'01_異動主檔'!$B:$B,111,'01_異動主檔'!$D:$D,A1313,'01_異動主檔'!$E:$E,"精簡")</f>
        <v/>
      </c>
      <c r="I1313" s="8">
        <f>C1313+D1313+E1313+F1313+G1313+H1313</f>
        <v/>
      </c>
    </row>
    <row r="1314" ht="18" customHeight="1">
      <c r="A1314" s="5" t="inlineStr">
        <is>
          <t>中部辦公室</t>
        </is>
      </c>
      <c r="B1314" s="6" t="n">
        <v>112</v>
      </c>
      <c r="C1314" s="8">
        <f>I1313</f>
        <v/>
      </c>
      <c r="D1314" s="4">
        <f>SUMIFS('01_異動主檔'!$F:$F,'01_異動主檔'!$B:$B,112,'01_異動主檔'!$D:$D,A1314,'01_異動主檔'!$E:$E,"移入")</f>
        <v/>
      </c>
      <c r="E1314" s="4">
        <f>-SUMIFS('01_異動主檔'!$F:$F,'01_異動主檔'!$B:$B,112,'01_異動主檔'!$D:$D,A1314,'01_異動主檔'!$E:$E,"移出")</f>
        <v/>
      </c>
      <c r="F1314" s="4">
        <f>SUMIFS('01_異動主檔'!$F:$F,'01_異動主檔'!$B:$B,112,'01_異動主檔'!$D:$D,A1314,'01_異動主檔'!$E:$E,"新增")</f>
        <v/>
      </c>
      <c r="G1314" s="4">
        <f>-SUMIFS('01_異動主檔'!$F:$F,'01_異動主檔'!$B:$B,112,'01_異動主檔'!$D:$D,A1314,'01_異動主檔'!$E:$E,"減列")</f>
        <v/>
      </c>
      <c r="H1314" s="4">
        <f>-SUMIFS('01_異動主檔'!$F:$F,'01_異動主檔'!$B:$B,112,'01_異動主檔'!$D:$D,A1314,'01_異動主檔'!$E:$E,"精簡")</f>
        <v/>
      </c>
      <c r="I1314" s="8">
        <f>C1314+D1314+E1314+F1314+G1314+H1314</f>
        <v/>
      </c>
    </row>
    <row r="1315" ht="18" customHeight="1">
      <c r="A1315" s="3" t="inlineStr">
        <is>
          <t>中部辦公室</t>
        </is>
      </c>
      <c r="B1315" s="4" t="n">
        <v>113</v>
      </c>
      <c r="C1315" s="8">
        <f>I1314</f>
        <v/>
      </c>
      <c r="D1315" s="4">
        <f>SUMIFS('01_異動主檔'!$F:$F,'01_異動主檔'!$B:$B,113,'01_異動主檔'!$D:$D,A1315,'01_異動主檔'!$E:$E,"移入")</f>
        <v/>
      </c>
      <c r="E1315" s="4">
        <f>-SUMIFS('01_異動主檔'!$F:$F,'01_異動主檔'!$B:$B,113,'01_異動主檔'!$D:$D,A1315,'01_異動主檔'!$E:$E,"移出")</f>
        <v/>
      </c>
      <c r="F1315" s="4">
        <f>SUMIFS('01_異動主檔'!$F:$F,'01_異動主檔'!$B:$B,113,'01_異動主檔'!$D:$D,A1315,'01_異動主檔'!$E:$E,"新增")</f>
        <v/>
      </c>
      <c r="G1315" s="4">
        <f>-SUMIFS('01_異動主檔'!$F:$F,'01_異動主檔'!$B:$B,113,'01_異動主檔'!$D:$D,A1315,'01_異動主檔'!$E:$E,"減列")</f>
        <v/>
      </c>
      <c r="H1315" s="4">
        <f>-SUMIFS('01_異動主檔'!$F:$F,'01_異動主檔'!$B:$B,113,'01_異動主檔'!$D:$D,A1315,'01_異動主檔'!$E:$E,"精簡")</f>
        <v/>
      </c>
      <c r="I1315" s="8">
        <f>C1315+D1315+E1315+F1315+G1315+H1315</f>
        <v/>
      </c>
    </row>
    <row r="1316" ht="18" customHeight="1">
      <c r="A1316" s="5" t="inlineStr">
        <is>
          <t>中部辦公室</t>
        </is>
      </c>
      <c r="B1316" s="6" t="n">
        <v>114</v>
      </c>
      <c r="C1316" s="8">
        <f>I1315</f>
        <v/>
      </c>
      <c r="D1316" s="4">
        <f>SUMIFS('01_異動主檔'!$F:$F,'01_異動主檔'!$B:$B,114,'01_異動主檔'!$D:$D,A1316,'01_異動主檔'!$E:$E,"移入")</f>
        <v/>
      </c>
      <c r="E1316" s="4">
        <f>-SUMIFS('01_異動主檔'!$F:$F,'01_異動主檔'!$B:$B,114,'01_異動主檔'!$D:$D,A1316,'01_異動主檔'!$E:$E,"移出")</f>
        <v/>
      </c>
      <c r="F1316" s="4">
        <f>SUMIFS('01_異動主檔'!$F:$F,'01_異動主檔'!$B:$B,114,'01_異動主檔'!$D:$D,A1316,'01_異動主檔'!$E:$E,"新增")</f>
        <v/>
      </c>
      <c r="G1316" s="4">
        <f>-SUMIFS('01_異動主檔'!$F:$F,'01_異動主檔'!$B:$B,114,'01_異動主檔'!$D:$D,A1316,'01_異動主檔'!$E:$E,"減列")</f>
        <v/>
      </c>
      <c r="H1316" s="4">
        <f>-SUMIFS('01_異動主檔'!$F:$F,'01_異動主檔'!$B:$B,114,'01_異動主檔'!$D:$D,A1316,'01_異動主檔'!$E:$E,"精簡")</f>
        <v/>
      </c>
      <c r="I1316" s="8">
        <f>C1316+D1316+E1316+F1316+G1316+H1316</f>
        <v/>
      </c>
    </row>
    <row r="1317" ht="18" customHeight="1">
      <c r="A1317" s="3" t="inlineStr">
        <is>
          <t>中部辦公室</t>
        </is>
      </c>
      <c r="B1317" s="4" t="n">
        <v>115</v>
      </c>
      <c r="C1317" s="8">
        <f>I1316</f>
        <v/>
      </c>
      <c r="D1317" s="4">
        <f>SUMIFS('01_異動主檔'!$F:$F,'01_異動主檔'!$B:$B,115,'01_異動主檔'!$D:$D,A1317,'01_異動主檔'!$E:$E,"移入")</f>
        <v/>
      </c>
      <c r="E1317" s="4">
        <f>-SUMIFS('01_異動主檔'!$F:$F,'01_異動主檔'!$B:$B,115,'01_異動主檔'!$D:$D,A1317,'01_異動主檔'!$E:$E,"移出")</f>
        <v/>
      </c>
      <c r="F1317" s="4">
        <f>SUMIFS('01_異動主檔'!$F:$F,'01_異動主檔'!$B:$B,115,'01_異動主檔'!$D:$D,A1317,'01_異動主檔'!$E:$E,"新增")</f>
        <v/>
      </c>
      <c r="G1317" s="4">
        <f>-SUMIFS('01_異動主檔'!$F:$F,'01_異動主檔'!$B:$B,115,'01_異動主檔'!$D:$D,A1317,'01_異動主檔'!$E:$E,"減列")</f>
        <v/>
      </c>
      <c r="H1317" s="4">
        <f>-SUMIFS('01_異動主檔'!$F:$F,'01_異動主檔'!$B:$B,115,'01_異動主檔'!$D:$D,A1317,'01_異動主檔'!$E:$E,"精簡")</f>
        <v/>
      </c>
      <c r="I1317" s="8">
        <f>C1317+D1317+E1317+F1317+G1317+H1317</f>
        <v/>
      </c>
    </row>
    <row r="1318" ht="18" customHeight="1">
      <c r="A1318" s="5" t="inlineStr">
        <is>
          <t>中部辦公室</t>
        </is>
      </c>
      <c r="B1318" s="6" t="n">
        <v>116</v>
      </c>
      <c r="C1318" s="8">
        <f>I1317</f>
        <v/>
      </c>
      <c r="D1318" s="4">
        <f>SUMIFS('01_異動主檔'!$F:$F,'01_異動主檔'!$B:$B,116,'01_異動主檔'!$D:$D,A1318,'01_異動主檔'!$E:$E,"移入")</f>
        <v/>
      </c>
      <c r="E1318" s="4">
        <f>-SUMIFS('01_異動主檔'!$F:$F,'01_異動主檔'!$B:$B,116,'01_異動主檔'!$D:$D,A1318,'01_異動主檔'!$E:$E,"移出")</f>
        <v/>
      </c>
      <c r="F1318" s="4">
        <f>SUMIFS('01_異動主檔'!$F:$F,'01_異動主檔'!$B:$B,116,'01_異動主檔'!$D:$D,A1318,'01_異動主檔'!$E:$E,"新增")</f>
        <v/>
      </c>
      <c r="G1318" s="4">
        <f>-SUMIFS('01_異動主檔'!$F:$F,'01_異動主檔'!$B:$B,116,'01_異動主檔'!$D:$D,A1318,'01_異動主檔'!$E:$E,"減列")</f>
        <v/>
      </c>
      <c r="H1318" s="4">
        <f>-SUMIFS('01_異動主檔'!$F:$F,'01_異動主檔'!$B:$B,116,'01_異動主檔'!$D:$D,A1318,'01_異動主檔'!$E:$E,"精簡")</f>
        <v/>
      </c>
      <c r="I1318" s="8">
        <f>C1318+D1318+E1318+F1318+G1318+H1318</f>
        <v/>
      </c>
    </row>
    <row r="1319" ht="18" customHeight="1">
      <c r="A1319" s="3" t="inlineStr">
        <is>
          <t>中部辦公室</t>
        </is>
      </c>
      <c r="B1319" s="4" t="n">
        <v>117</v>
      </c>
      <c r="C1319" s="8">
        <f>I1318</f>
        <v/>
      </c>
      <c r="D1319" s="4">
        <f>SUMIFS('01_異動主檔'!$F:$F,'01_異動主檔'!$B:$B,117,'01_異動主檔'!$D:$D,A1319,'01_異動主檔'!$E:$E,"移入")</f>
        <v/>
      </c>
      <c r="E1319" s="4">
        <f>-SUMIFS('01_異動主檔'!$F:$F,'01_異動主檔'!$B:$B,117,'01_異動主檔'!$D:$D,A1319,'01_異動主檔'!$E:$E,"移出")</f>
        <v/>
      </c>
      <c r="F1319" s="4">
        <f>SUMIFS('01_異動主檔'!$F:$F,'01_異動主檔'!$B:$B,117,'01_異動主檔'!$D:$D,A1319,'01_異動主檔'!$E:$E,"新增")</f>
        <v/>
      </c>
      <c r="G1319" s="4">
        <f>-SUMIFS('01_異動主檔'!$F:$F,'01_異動主檔'!$B:$B,117,'01_異動主檔'!$D:$D,A1319,'01_異動主檔'!$E:$E,"減列")</f>
        <v/>
      </c>
      <c r="H1319" s="4">
        <f>-SUMIFS('01_異動主檔'!$F:$F,'01_異動主檔'!$B:$B,117,'01_異動主檔'!$D:$D,A1319,'01_異動主檔'!$E:$E,"精簡")</f>
        <v/>
      </c>
      <c r="I1319" s="8">
        <f>C1319+D1319+E1319+F1319+G1319+H1319</f>
        <v/>
      </c>
    </row>
    <row r="1320" ht="18" customHeight="1">
      <c r="A1320" s="5" t="inlineStr">
        <is>
          <t>中部辦公室</t>
        </is>
      </c>
      <c r="B1320" s="6" t="n">
        <v>118</v>
      </c>
      <c r="C1320" s="8">
        <f>I1319</f>
        <v/>
      </c>
      <c r="D1320" s="4">
        <f>SUMIFS('01_異動主檔'!$F:$F,'01_異動主檔'!$B:$B,118,'01_異動主檔'!$D:$D,A1320,'01_異動主檔'!$E:$E,"移入")</f>
        <v/>
      </c>
      <c r="E1320" s="4">
        <f>-SUMIFS('01_異動主檔'!$F:$F,'01_異動主檔'!$B:$B,118,'01_異動主檔'!$D:$D,A1320,'01_異動主檔'!$E:$E,"移出")</f>
        <v/>
      </c>
      <c r="F1320" s="4">
        <f>SUMIFS('01_異動主檔'!$F:$F,'01_異動主檔'!$B:$B,118,'01_異動主檔'!$D:$D,A1320,'01_異動主檔'!$E:$E,"新增")</f>
        <v/>
      </c>
      <c r="G1320" s="4">
        <f>-SUMIFS('01_異動主檔'!$F:$F,'01_異動主檔'!$B:$B,118,'01_異動主檔'!$D:$D,A1320,'01_異動主檔'!$E:$E,"減列")</f>
        <v/>
      </c>
      <c r="H1320" s="4">
        <f>-SUMIFS('01_異動主檔'!$F:$F,'01_異動主檔'!$B:$B,118,'01_異動主檔'!$D:$D,A1320,'01_異動主檔'!$E:$E,"精簡")</f>
        <v/>
      </c>
      <c r="I1320" s="8">
        <f>C1320+D1320+E1320+F1320+G1320+H1320</f>
        <v/>
      </c>
    </row>
    <row r="1321" ht="18" customHeight="1">
      <c r="A1321" s="3" t="inlineStr">
        <is>
          <t>中部辦公室</t>
        </is>
      </c>
      <c r="B1321" s="4" t="n">
        <v>119</v>
      </c>
      <c r="C1321" s="8">
        <f>I1320</f>
        <v/>
      </c>
      <c r="D1321" s="4">
        <f>SUMIFS('01_異動主檔'!$F:$F,'01_異動主檔'!$B:$B,119,'01_異動主檔'!$D:$D,A1321,'01_異動主檔'!$E:$E,"移入")</f>
        <v/>
      </c>
      <c r="E1321" s="4">
        <f>-SUMIFS('01_異動主檔'!$F:$F,'01_異動主檔'!$B:$B,119,'01_異動主檔'!$D:$D,A1321,'01_異動主檔'!$E:$E,"移出")</f>
        <v/>
      </c>
      <c r="F1321" s="4">
        <f>SUMIFS('01_異動主檔'!$F:$F,'01_異動主檔'!$B:$B,119,'01_異動主檔'!$D:$D,A1321,'01_異動主檔'!$E:$E,"新增")</f>
        <v/>
      </c>
      <c r="G1321" s="4">
        <f>-SUMIFS('01_異動主檔'!$F:$F,'01_異動主檔'!$B:$B,119,'01_異動主檔'!$D:$D,A1321,'01_異動主檔'!$E:$E,"減列")</f>
        <v/>
      </c>
      <c r="H1321" s="4">
        <f>-SUMIFS('01_異動主檔'!$F:$F,'01_異動主檔'!$B:$B,119,'01_異動主檔'!$D:$D,A1321,'01_異動主檔'!$E:$E,"精簡")</f>
        <v/>
      </c>
      <c r="I1321" s="8">
        <f>C1321+D1321+E1321+F1321+G1321+H1321</f>
        <v/>
      </c>
    </row>
    <row r="1322" ht="18" customHeight="1">
      <c r="A1322" s="5" t="inlineStr">
        <is>
          <t>中部辦公室</t>
        </is>
      </c>
      <c r="B1322" s="6" t="n">
        <v>120</v>
      </c>
      <c r="C1322" s="8">
        <f>I1321</f>
        <v/>
      </c>
      <c r="D1322" s="4">
        <f>SUMIFS('01_異動主檔'!$F:$F,'01_異動主檔'!$B:$B,120,'01_異動主檔'!$D:$D,A1322,'01_異動主檔'!$E:$E,"移入")</f>
        <v/>
      </c>
      <c r="E1322" s="4">
        <f>-SUMIFS('01_異動主檔'!$F:$F,'01_異動主檔'!$B:$B,120,'01_異動主檔'!$D:$D,A1322,'01_異動主檔'!$E:$E,"移出")</f>
        <v/>
      </c>
      <c r="F1322" s="4">
        <f>SUMIFS('01_異動主檔'!$F:$F,'01_異動主檔'!$B:$B,120,'01_異動主檔'!$D:$D,A1322,'01_異動主檔'!$E:$E,"新增")</f>
        <v/>
      </c>
      <c r="G1322" s="4">
        <f>-SUMIFS('01_異動主檔'!$F:$F,'01_異動主檔'!$B:$B,120,'01_異動主檔'!$D:$D,A1322,'01_異動主檔'!$E:$E,"減列")</f>
        <v/>
      </c>
      <c r="H1322" s="4">
        <f>-SUMIFS('01_異動主檔'!$F:$F,'01_異動主檔'!$B:$B,120,'01_異動主檔'!$D:$D,A1322,'01_異動主檔'!$E:$E,"精簡")</f>
        <v/>
      </c>
      <c r="I1322" s="8">
        <f>C1322+D1322+E1322+F1322+G1322+H1322</f>
        <v/>
      </c>
    </row>
    <row r="1323" ht="18" customHeight="1">
      <c r="A1323" s="3" t="inlineStr">
        <is>
          <t>中部辦公室</t>
        </is>
      </c>
      <c r="B1323" s="4" t="n">
        <v>121</v>
      </c>
      <c r="C1323" s="8">
        <f>I1322</f>
        <v/>
      </c>
      <c r="D1323" s="4">
        <f>SUMIFS('01_異動主檔'!$F:$F,'01_異動主檔'!$B:$B,121,'01_異動主檔'!$D:$D,A1323,'01_異動主檔'!$E:$E,"移入")</f>
        <v/>
      </c>
      <c r="E1323" s="4">
        <f>-SUMIFS('01_異動主檔'!$F:$F,'01_異動主檔'!$B:$B,121,'01_異動主檔'!$D:$D,A1323,'01_異動主檔'!$E:$E,"移出")</f>
        <v/>
      </c>
      <c r="F1323" s="4">
        <f>SUMIFS('01_異動主檔'!$F:$F,'01_異動主檔'!$B:$B,121,'01_異動主檔'!$D:$D,A1323,'01_異動主檔'!$E:$E,"新增")</f>
        <v/>
      </c>
      <c r="G1323" s="4">
        <f>-SUMIFS('01_異動主檔'!$F:$F,'01_異動主檔'!$B:$B,121,'01_異動主檔'!$D:$D,A1323,'01_異動主檔'!$E:$E,"減列")</f>
        <v/>
      </c>
      <c r="H1323" s="4">
        <f>-SUMIFS('01_異動主檔'!$F:$F,'01_異動主檔'!$B:$B,121,'01_異動主檔'!$D:$D,A1323,'01_異動主檔'!$E:$E,"精簡")</f>
        <v/>
      </c>
      <c r="I1323" s="8">
        <f>C1323+D1323+E1323+F1323+G1323+H1323</f>
        <v/>
      </c>
    </row>
    <row r="1324" ht="18" customHeight="1">
      <c r="A1324" s="5" t="inlineStr">
        <is>
          <t>中部辦公室</t>
        </is>
      </c>
      <c r="B1324" s="6" t="n">
        <v>122</v>
      </c>
      <c r="C1324" s="8">
        <f>I1323</f>
        <v/>
      </c>
      <c r="D1324" s="4">
        <f>SUMIFS('01_異動主檔'!$F:$F,'01_異動主檔'!$B:$B,122,'01_異動主檔'!$D:$D,A1324,'01_異動主檔'!$E:$E,"移入")</f>
        <v/>
      </c>
      <c r="E1324" s="4">
        <f>-SUMIFS('01_異動主檔'!$F:$F,'01_異動主檔'!$B:$B,122,'01_異動主檔'!$D:$D,A1324,'01_異動主檔'!$E:$E,"移出")</f>
        <v/>
      </c>
      <c r="F1324" s="4">
        <f>SUMIFS('01_異動主檔'!$F:$F,'01_異動主檔'!$B:$B,122,'01_異動主檔'!$D:$D,A1324,'01_異動主檔'!$E:$E,"新增")</f>
        <v/>
      </c>
      <c r="G1324" s="4">
        <f>-SUMIFS('01_異動主檔'!$F:$F,'01_異動主檔'!$B:$B,122,'01_異動主檔'!$D:$D,A1324,'01_異動主檔'!$E:$E,"減列")</f>
        <v/>
      </c>
      <c r="H1324" s="4">
        <f>-SUMIFS('01_異動主檔'!$F:$F,'01_異動主檔'!$B:$B,122,'01_異動主檔'!$D:$D,A1324,'01_異動主檔'!$E:$E,"精簡")</f>
        <v/>
      </c>
      <c r="I1324" s="8">
        <f>C1324+D1324+E1324+F1324+G1324+H1324</f>
        <v/>
      </c>
    </row>
    <row r="1325" ht="18" customHeight="1">
      <c r="A1325" s="3" t="inlineStr">
        <is>
          <t>中部辦公室</t>
        </is>
      </c>
      <c r="B1325" s="4" t="n">
        <v>123</v>
      </c>
      <c r="C1325" s="8">
        <f>I1324</f>
        <v/>
      </c>
      <c r="D1325" s="4">
        <f>SUMIFS('01_異動主檔'!$F:$F,'01_異動主檔'!$B:$B,123,'01_異動主檔'!$D:$D,A1325,'01_異動主檔'!$E:$E,"移入")</f>
        <v/>
      </c>
      <c r="E1325" s="4">
        <f>-SUMIFS('01_異動主檔'!$F:$F,'01_異動主檔'!$B:$B,123,'01_異動主檔'!$D:$D,A1325,'01_異動主檔'!$E:$E,"移出")</f>
        <v/>
      </c>
      <c r="F1325" s="4">
        <f>SUMIFS('01_異動主檔'!$F:$F,'01_異動主檔'!$B:$B,123,'01_異動主檔'!$D:$D,A1325,'01_異動主檔'!$E:$E,"新增")</f>
        <v/>
      </c>
      <c r="G1325" s="4">
        <f>-SUMIFS('01_異動主檔'!$F:$F,'01_異動主檔'!$B:$B,123,'01_異動主檔'!$D:$D,A1325,'01_異動主檔'!$E:$E,"減列")</f>
        <v/>
      </c>
      <c r="H1325" s="4">
        <f>-SUMIFS('01_異動主檔'!$F:$F,'01_異動主檔'!$B:$B,123,'01_異動主檔'!$D:$D,A1325,'01_異動主檔'!$E:$E,"精簡")</f>
        <v/>
      </c>
      <c r="I1325" s="8">
        <f>C1325+D1325+E1325+F1325+G1325+H1325</f>
        <v/>
      </c>
    </row>
    <row r="1326" ht="18" customHeight="1">
      <c r="A1326" s="5" t="inlineStr">
        <is>
          <t>中部辦公室</t>
        </is>
      </c>
      <c r="B1326" s="6" t="n">
        <v>124</v>
      </c>
      <c r="C1326" s="8">
        <f>I1325</f>
        <v/>
      </c>
      <c r="D1326" s="4">
        <f>SUMIFS('01_異動主檔'!$F:$F,'01_異動主檔'!$B:$B,124,'01_異動主檔'!$D:$D,A1326,'01_異動主檔'!$E:$E,"移入")</f>
        <v/>
      </c>
      <c r="E1326" s="4">
        <f>-SUMIFS('01_異動主檔'!$F:$F,'01_異動主檔'!$B:$B,124,'01_異動主檔'!$D:$D,A1326,'01_異動主檔'!$E:$E,"移出")</f>
        <v/>
      </c>
      <c r="F1326" s="4">
        <f>SUMIFS('01_異動主檔'!$F:$F,'01_異動主檔'!$B:$B,124,'01_異動主檔'!$D:$D,A1326,'01_異動主檔'!$E:$E,"新增")</f>
        <v/>
      </c>
      <c r="G1326" s="4">
        <f>-SUMIFS('01_異動主檔'!$F:$F,'01_異動主檔'!$B:$B,124,'01_異動主檔'!$D:$D,A1326,'01_異動主檔'!$E:$E,"減列")</f>
        <v/>
      </c>
      <c r="H1326" s="4">
        <f>-SUMIFS('01_異動主檔'!$F:$F,'01_異動主檔'!$B:$B,124,'01_異動主檔'!$D:$D,A1326,'01_異動主檔'!$E:$E,"精簡")</f>
        <v/>
      </c>
      <c r="I1326" s="8">
        <f>C1326+D1326+E1326+F1326+G1326+H1326</f>
        <v/>
      </c>
    </row>
    <row r="1327" ht="18" customHeight="1">
      <c r="A1327" s="3" t="inlineStr">
        <is>
          <t>中部辦公室</t>
        </is>
      </c>
      <c r="B1327" s="4" t="n">
        <v>125</v>
      </c>
      <c r="C1327" s="8">
        <f>I1326</f>
        <v/>
      </c>
      <c r="D1327" s="4">
        <f>SUMIFS('01_異動主檔'!$F:$F,'01_異動主檔'!$B:$B,125,'01_異動主檔'!$D:$D,A1327,'01_異動主檔'!$E:$E,"移入")</f>
        <v/>
      </c>
      <c r="E1327" s="4">
        <f>-SUMIFS('01_異動主檔'!$F:$F,'01_異動主檔'!$B:$B,125,'01_異動主檔'!$D:$D,A1327,'01_異動主檔'!$E:$E,"移出")</f>
        <v/>
      </c>
      <c r="F1327" s="4">
        <f>SUMIFS('01_異動主檔'!$F:$F,'01_異動主檔'!$B:$B,125,'01_異動主檔'!$D:$D,A1327,'01_異動主檔'!$E:$E,"新增")</f>
        <v/>
      </c>
      <c r="G1327" s="4">
        <f>-SUMIFS('01_異動主檔'!$F:$F,'01_異動主檔'!$B:$B,125,'01_異動主檔'!$D:$D,A1327,'01_異動主檔'!$E:$E,"減列")</f>
        <v/>
      </c>
      <c r="H1327" s="4">
        <f>-SUMIFS('01_異動主檔'!$F:$F,'01_異動主檔'!$B:$B,125,'01_異動主檔'!$D:$D,A1327,'01_異動主檔'!$E:$E,"精簡")</f>
        <v/>
      </c>
      <c r="I1327" s="8">
        <f>C1327+D1327+E1327+F1327+G1327+H1327</f>
        <v/>
      </c>
    </row>
    <row r="1328" ht="18" customHeight="1">
      <c r="A1328" s="5" t="inlineStr">
        <is>
          <t>南部辦公室</t>
        </is>
      </c>
      <c r="B1328" s="6" t="n">
        <v>99</v>
      </c>
      <c r="C1328" s="8">
        <f>'02_年初員額設定'!B54</f>
        <v/>
      </c>
      <c r="D1328" s="4">
        <f>SUMIFS('01_異動主檔'!$F:$F,'01_異動主檔'!$B:$B,99,'01_異動主檔'!$D:$D,A1328,'01_異動主檔'!$E:$E,"移入")</f>
        <v/>
      </c>
      <c r="E1328" s="4">
        <f>-SUMIFS('01_異動主檔'!$F:$F,'01_異動主檔'!$B:$B,99,'01_異動主檔'!$D:$D,A1328,'01_異動主檔'!$E:$E,"移出")</f>
        <v/>
      </c>
      <c r="F1328" s="4">
        <f>SUMIFS('01_異動主檔'!$F:$F,'01_異動主檔'!$B:$B,99,'01_異動主檔'!$D:$D,A1328,'01_異動主檔'!$E:$E,"新增")</f>
        <v/>
      </c>
      <c r="G1328" s="4">
        <f>-SUMIFS('01_異動主檔'!$F:$F,'01_異動主檔'!$B:$B,99,'01_異動主檔'!$D:$D,A1328,'01_異動主檔'!$E:$E,"減列")</f>
        <v/>
      </c>
      <c r="H1328" s="4">
        <f>-SUMIFS('01_異動主檔'!$F:$F,'01_異動主檔'!$B:$B,99,'01_異動主檔'!$D:$D,A1328,'01_異動主檔'!$E:$E,"精簡")</f>
        <v/>
      </c>
      <c r="I1328" s="8">
        <f>C1328+D1328+E1328+F1328+G1328+H1328</f>
        <v/>
      </c>
    </row>
    <row r="1329" ht="18" customHeight="1">
      <c r="A1329" s="3" t="inlineStr">
        <is>
          <t>南部辦公室</t>
        </is>
      </c>
      <c r="B1329" s="4" t="n">
        <v>100</v>
      </c>
      <c r="C1329" s="8">
        <f>I1328</f>
        <v/>
      </c>
      <c r="D1329" s="4">
        <f>SUMIFS('01_異動主檔'!$F:$F,'01_異動主檔'!$B:$B,100,'01_異動主檔'!$D:$D,A1329,'01_異動主檔'!$E:$E,"移入")</f>
        <v/>
      </c>
      <c r="E1329" s="4">
        <f>-SUMIFS('01_異動主檔'!$F:$F,'01_異動主檔'!$B:$B,100,'01_異動主檔'!$D:$D,A1329,'01_異動主檔'!$E:$E,"移出")</f>
        <v/>
      </c>
      <c r="F1329" s="4">
        <f>SUMIFS('01_異動主檔'!$F:$F,'01_異動主檔'!$B:$B,100,'01_異動主檔'!$D:$D,A1329,'01_異動主檔'!$E:$E,"新增")</f>
        <v/>
      </c>
      <c r="G1329" s="4">
        <f>-SUMIFS('01_異動主檔'!$F:$F,'01_異動主檔'!$B:$B,100,'01_異動主檔'!$D:$D,A1329,'01_異動主檔'!$E:$E,"減列")</f>
        <v/>
      </c>
      <c r="H1329" s="4">
        <f>-SUMIFS('01_異動主檔'!$F:$F,'01_異動主檔'!$B:$B,100,'01_異動主檔'!$D:$D,A1329,'01_異動主檔'!$E:$E,"精簡")</f>
        <v/>
      </c>
      <c r="I1329" s="8">
        <f>C1329+D1329+E1329+F1329+G1329+H1329</f>
        <v/>
      </c>
    </row>
    <row r="1330" ht="18" customHeight="1">
      <c r="A1330" s="5" t="inlineStr">
        <is>
          <t>南部辦公室</t>
        </is>
      </c>
      <c r="B1330" s="6" t="n">
        <v>101</v>
      </c>
      <c r="C1330" s="8">
        <f>I1329</f>
        <v/>
      </c>
      <c r="D1330" s="4">
        <f>SUMIFS('01_異動主檔'!$F:$F,'01_異動主檔'!$B:$B,101,'01_異動主檔'!$D:$D,A1330,'01_異動主檔'!$E:$E,"移入")</f>
        <v/>
      </c>
      <c r="E1330" s="4">
        <f>-SUMIFS('01_異動主檔'!$F:$F,'01_異動主檔'!$B:$B,101,'01_異動主檔'!$D:$D,A1330,'01_異動主檔'!$E:$E,"移出")</f>
        <v/>
      </c>
      <c r="F1330" s="4">
        <f>SUMIFS('01_異動主檔'!$F:$F,'01_異動主檔'!$B:$B,101,'01_異動主檔'!$D:$D,A1330,'01_異動主檔'!$E:$E,"新增")</f>
        <v/>
      </c>
      <c r="G1330" s="4">
        <f>-SUMIFS('01_異動主檔'!$F:$F,'01_異動主檔'!$B:$B,101,'01_異動主檔'!$D:$D,A1330,'01_異動主檔'!$E:$E,"減列")</f>
        <v/>
      </c>
      <c r="H1330" s="4">
        <f>-SUMIFS('01_異動主檔'!$F:$F,'01_異動主檔'!$B:$B,101,'01_異動主檔'!$D:$D,A1330,'01_異動主檔'!$E:$E,"精簡")</f>
        <v/>
      </c>
      <c r="I1330" s="8">
        <f>C1330+D1330+E1330+F1330+G1330+H1330</f>
        <v/>
      </c>
    </row>
    <row r="1331" ht="18" customHeight="1">
      <c r="A1331" s="3" t="inlineStr">
        <is>
          <t>南部辦公室</t>
        </is>
      </c>
      <c r="B1331" s="4" t="n">
        <v>102</v>
      </c>
      <c r="C1331" s="8">
        <f>I1330</f>
        <v/>
      </c>
      <c r="D1331" s="4">
        <f>SUMIFS('01_異動主檔'!$F:$F,'01_異動主檔'!$B:$B,102,'01_異動主檔'!$D:$D,A1331,'01_異動主檔'!$E:$E,"移入")</f>
        <v/>
      </c>
      <c r="E1331" s="4">
        <f>-SUMIFS('01_異動主檔'!$F:$F,'01_異動主檔'!$B:$B,102,'01_異動主檔'!$D:$D,A1331,'01_異動主檔'!$E:$E,"移出")</f>
        <v/>
      </c>
      <c r="F1331" s="4">
        <f>SUMIFS('01_異動主檔'!$F:$F,'01_異動主檔'!$B:$B,102,'01_異動主檔'!$D:$D,A1331,'01_異動主檔'!$E:$E,"新增")</f>
        <v/>
      </c>
      <c r="G1331" s="4">
        <f>-SUMIFS('01_異動主檔'!$F:$F,'01_異動主檔'!$B:$B,102,'01_異動主檔'!$D:$D,A1331,'01_異動主檔'!$E:$E,"減列")</f>
        <v/>
      </c>
      <c r="H1331" s="4">
        <f>-SUMIFS('01_異動主檔'!$F:$F,'01_異動主檔'!$B:$B,102,'01_異動主檔'!$D:$D,A1331,'01_異動主檔'!$E:$E,"精簡")</f>
        <v/>
      </c>
      <c r="I1331" s="8">
        <f>C1331+D1331+E1331+F1331+G1331+H1331</f>
        <v/>
      </c>
    </row>
    <row r="1332" ht="18" customHeight="1">
      <c r="A1332" s="5" t="inlineStr">
        <is>
          <t>南部辦公室</t>
        </is>
      </c>
      <c r="B1332" s="6" t="n">
        <v>103</v>
      </c>
      <c r="C1332" s="8">
        <f>I1331</f>
        <v/>
      </c>
      <c r="D1332" s="4">
        <f>SUMIFS('01_異動主檔'!$F:$F,'01_異動主檔'!$B:$B,103,'01_異動主檔'!$D:$D,A1332,'01_異動主檔'!$E:$E,"移入")</f>
        <v/>
      </c>
      <c r="E1332" s="4">
        <f>-SUMIFS('01_異動主檔'!$F:$F,'01_異動主檔'!$B:$B,103,'01_異動主檔'!$D:$D,A1332,'01_異動主檔'!$E:$E,"移出")</f>
        <v/>
      </c>
      <c r="F1332" s="4">
        <f>SUMIFS('01_異動主檔'!$F:$F,'01_異動主檔'!$B:$B,103,'01_異動主檔'!$D:$D,A1332,'01_異動主檔'!$E:$E,"新增")</f>
        <v/>
      </c>
      <c r="G1332" s="4">
        <f>-SUMIFS('01_異動主檔'!$F:$F,'01_異動主檔'!$B:$B,103,'01_異動主檔'!$D:$D,A1332,'01_異動主檔'!$E:$E,"減列")</f>
        <v/>
      </c>
      <c r="H1332" s="4">
        <f>-SUMIFS('01_異動主檔'!$F:$F,'01_異動主檔'!$B:$B,103,'01_異動主檔'!$D:$D,A1332,'01_異動主檔'!$E:$E,"精簡")</f>
        <v/>
      </c>
      <c r="I1332" s="8">
        <f>C1332+D1332+E1332+F1332+G1332+H1332</f>
        <v/>
      </c>
    </row>
    <row r="1333" ht="18" customHeight="1">
      <c r="A1333" s="3" t="inlineStr">
        <is>
          <t>南部辦公室</t>
        </is>
      </c>
      <c r="B1333" s="4" t="n">
        <v>104</v>
      </c>
      <c r="C1333" s="8">
        <f>I1332</f>
        <v/>
      </c>
      <c r="D1333" s="4">
        <f>SUMIFS('01_異動主檔'!$F:$F,'01_異動主檔'!$B:$B,104,'01_異動主檔'!$D:$D,A1333,'01_異動主檔'!$E:$E,"移入")</f>
        <v/>
      </c>
      <c r="E1333" s="4">
        <f>-SUMIFS('01_異動主檔'!$F:$F,'01_異動主檔'!$B:$B,104,'01_異動主檔'!$D:$D,A1333,'01_異動主檔'!$E:$E,"移出")</f>
        <v/>
      </c>
      <c r="F1333" s="4">
        <f>SUMIFS('01_異動主檔'!$F:$F,'01_異動主檔'!$B:$B,104,'01_異動主檔'!$D:$D,A1333,'01_異動主檔'!$E:$E,"新增")</f>
        <v/>
      </c>
      <c r="G1333" s="4">
        <f>-SUMIFS('01_異動主檔'!$F:$F,'01_異動主檔'!$B:$B,104,'01_異動主檔'!$D:$D,A1333,'01_異動主檔'!$E:$E,"減列")</f>
        <v/>
      </c>
      <c r="H1333" s="4">
        <f>-SUMIFS('01_異動主檔'!$F:$F,'01_異動主檔'!$B:$B,104,'01_異動主檔'!$D:$D,A1333,'01_異動主檔'!$E:$E,"精簡")</f>
        <v/>
      </c>
      <c r="I1333" s="8">
        <f>C1333+D1333+E1333+F1333+G1333+H1333</f>
        <v/>
      </c>
    </row>
    <row r="1334" ht="18" customHeight="1">
      <c r="A1334" s="5" t="inlineStr">
        <is>
          <t>南部辦公室</t>
        </is>
      </c>
      <c r="B1334" s="6" t="n">
        <v>105</v>
      </c>
      <c r="C1334" s="8">
        <f>I1333</f>
        <v/>
      </c>
      <c r="D1334" s="4">
        <f>SUMIFS('01_異動主檔'!$F:$F,'01_異動主檔'!$B:$B,105,'01_異動主檔'!$D:$D,A1334,'01_異動主檔'!$E:$E,"移入")</f>
        <v/>
      </c>
      <c r="E1334" s="4">
        <f>-SUMIFS('01_異動主檔'!$F:$F,'01_異動主檔'!$B:$B,105,'01_異動主檔'!$D:$D,A1334,'01_異動主檔'!$E:$E,"移出")</f>
        <v/>
      </c>
      <c r="F1334" s="4">
        <f>SUMIFS('01_異動主檔'!$F:$F,'01_異動主檔'!$B:$B,105,'01_異動主檔'!$D:$D,A1334,'01_異動主檔'!$E:$E,"新增")</f>
        <v/>
      </c>
      <c r="G1334" s="4">
        <f>-SUMIFS('01_異動主檔'!$F:$F,'01_異動主檔'!$B:$B,105,'01_異動主檔'!$D:$D,A1334,'01_異動主檔'!$E:$E,"減列")</f>
        <v/>
      </c>
      <c r="H1334" s="4">
        <f>-SUMIFS('01_異動主檔'!$F:$F,'01_異動主檔'!$B:$B,105,'01_異動主檔'!$D:$D,A1334,'01_異動主檔'!$E:$E,"精簡")</f>
        <v/>
      </c>
      <c r="I1334" s="8">
        <f>C1334+D1334+E1334+F1334+G1334+H1334</f>
        <v/>
      </c>
    </row>
    <row r="1335" ht="18" customHeight="1">
      <c r="A1335" s="3" t="inlineStr">
        <is>
          <t>南部辦公室</t>
        </is>
      </c>
      <c r="B1335" s="4" t="n">
        <v>106</v>
      </c>
      <c r="C1335" s="8">
        <f>I1334</f>
        <v/>
      </c>
      <c r="D1335" s="4">
        <f>SUMIFS('01_異動主檔'!$F:$F,'01_異動主檔'!$B:$B,106,'01_異動主檔'!$D:$D,A1335,'01_異動主檔'!$E:$E,"移入")</f>
        <v/>
      </c>
      <c r="E1335" s="4">
        <f>-SUMIFS('01_異動主檔'!$F:$F,'01_異動主檔'!$B:$B,106,'01_異動主檔'!$D:$D,A1335,'01_異動主檔'!$E:$E,"移出")</f>
        <v/>
      </c>
      <c r="F1335" s="4">
        <f>SUMIFS('01_異動主檔'!$F:$F,'01_異動主檔'!$B:$B,106,'01_異動主檔'!$D:$D,A1335,'01_異動主檔'!$E:$E,"新增")</f>
        <v/>
      </c>
      <c r="G1335" s="4">
        <f>-SUMIFS('01_異動主檔'!$F:$F,'01_異動主檔'!$B:$B,106,'01_異動主檔'!$D:$D,A1335,'01_異動主檔'!$E:$E,"減列")</f>
        <v/>
      </c>
      <c r="H1335" s="4">
        <f>-SUMIFS('01_異動主檔'!$F:$F,'01_異動主檔'!$B:$B,106,'01_異動主檔'!$D:$D,A1335,'01_異動主檔'!$E:$E,"精簡")</f>
        <v/>
      </c>
      <c r="I1335" s="8">
        <f>C1335+D1335+E1335+F1335+G1335+H1335</f>
        <v/>
      </c>
    </row>
    <row r="1336" ht="18" customHeight="1">
      <c r="A1336" s="5" t="inlineStr">
        <is>
          <t>南部辦公室</t>
        </is>
      </c>
      <c r="B1336" s="6" t="n">
        <v>107</v>
      </c>
      <c r="C1336" s="8">
        <f>I1335</f>
        <v/>
      </c>
      <c r="D1336" s="4">
        <f>SUMIFS('01_異動主檔'!$F:$F,'01_異動主檔'!$B:$B,107,'01_異動主檔'!$D:$D,A1336,'01_異動主檔'!$E:$E,"移入")</f>
        <v/>
      </c>
      <c r="E1336" s="4">
        <f>-SUMIFS('01_異動主檔'!$F:$F,'01_異動主檔'!$B:$B,107,'01_異動主檔'!$D:$D,A1336,'01_異動主檔'!$E:$E,"移出")</f>
        <v/>
      </c>
      <c r="F1336" s="4">
        <f>SUMIFS('01_異動主檔'!$F:$F,'01_異動主檔'!$B:$B,107,'01_異動主檔'!$D:$D,A1336,'01_異動主檔'!$E:$E,"新增")</f>
        <v/>
      </c>
      <c r="G1336" s="4">
        <f>-SUMIFS('01_異動主檔'!$F:$F,'01_異動主檔'!$B:$B,107,'01_異動主檔'!$D:$D,A1336,'01_異動主檔'!$E:$E,"減列")</f>
        <v/>
      </c>
      <c r="H1336" s="4">
        <f>-SUMIFS('01_異動主檔'!$F:$F,'01_異動主檔'!$B:$B,107,'01_異動主檔'!$D:$D,A1336,'01_異動主檔'!$E:$E,"精簡")</f>
        <v/>
      </c>
      <c r="I1336" s="8">
        <f>C1336+D1336+E1336+F1336+G1336+H1336</f>
        <v/>
      </c>
    </row>
    <row r="1337" ht="18" customHeight="1">
      <c r="A1337" s="3" t="inlineStr">
        <is>
          <t>南部辦公室</t>
        </is>
      </c>
      <c r="B1337" s="4" t="n">
        <v>108</v>
      </c>
      <c r="C1337" s="8">
        <f>I1336</f>
        <v/>
      </c>
      <c r="D1337" s="4">
        <f>SUMIFS('01_異動主檔'!$F:$F,'01_異動主檔'!$B:$B,108,'01_異動主檔'!$D:$D,A1337,'01_異動主檔'!$E:$E,"移入")</f>
        <v/>
      </c>
      <c r="E1337" s="4">
        <f>-SUMIFS('01_異動主檔'!$F:$F,'01_異動主檔'!$B:$B,108,'01_異動主檔'!$D:$D,A1337,'01_異動主檔'!$E:$E,"移出")</f>
        <v/>
      </c>
      <c r="F1337" s="4">
        <f>SUMIFS('01_異動主檔'!$F:$F,'01_異動主檔'!$B:$B,108,'01_異動主檔'!$D:$D,A1337,'01_異動主檔'!$E:$E,"新增")</f>
        <v/>
      </c>
      <c r="G1337" s="4">
        <f>-SUMIFS('01_異動主檔'!$F:$F,'01_異動主檔'!$B:$B,108,'01_異動主檔'!$D:$D,A1337,'01_異動主檔'!$E:$E,"減列")</f>
        <v/>
      </c>
      <c r="H1337" s="4">
        <f>-SUMIFS('01_異動主檔'!$F:$F,'01_異動主檔'!$B:$B,108,'01_異動主檔'!$D:$D,A1337,'01_異動主檔'!$E:$E,"精簡")</f>
        <v/>
      </c>
      <c r="I1337" s="8">
        <f>C1337+D1337+E1337+F1337+G1337+H1337</f>
        <v/>
      </c>
    </row>
    <row r="1338" ht="18" customHeight="1">
      <c r="A1338" s="5" t="inlineStr">
        <is>
          <t>南部辦公室</t>
        </is>
      </c>
      <c r="B1338" s="6" t="n">
        <v>109</v>
      </c>
      <c r="C1338" s="8">
        <f>I1337</f>
        <v/>
      </c>
      <c r="D1338" s="4">
        <f>SUMIFS('01_異動主檔'!$F:$F,'01_異動主檔'!$B:$B,109,'01_異動主檔'!$D:$D,A1338,'01_異動主檔'!$E:$E,"移入")</f>
        <v/>
      </c>
      <c r="E1338" s="4">
        <f>-SUMIFS('01_異動主檔'!$F:$F,'01_異動主檔'!$B:$B,109,'01_異動主檔'!$D:$D,A1338,'01_異動主檔'!$E:$E,"移出")</f>
        <v/>
      </c>
      <c r="F1338" s="4">
        <f>SUMIFS('01_異動主檔'!$F:$F,'01_異動主檔'!$B:$B,109,'01_異動主檔'!$D:$D,A1338,'01_異動主檔'!$E:$E,"新增")</f>
        <v/>
      </c>
      <c r="G1338" s="4">
        <f>-SUMIFS('01_異動主檔'!$F:$F,'01_異動主檔'!$B:$B,109,'01_異動主檔'!$D:$D,A1338,'01_異動主檔'!$E:$E,"減列")</f>
        <v/>
      </c>
      <c r="H1338" s="4">
        <f>-SUMIFS('01_異動主檔'!$F:$F,'01_異動主檔'!$B:$B,109,'01_異動主檔'!$D:$D,A1338,'01_異動主檔'!$E:$E,"精簡")</f>
        <v/>
      </c>
      <c r="I1338" s="8">
        <f>C1338+D1338+E1338+F1338+G1338+H1338</f>
        <v/>
      </c>
    </row>
    <row r="1339" ht="18" customHeight="1">
      <c r="A1339" s="3" t="inlineStr">
        <is>
          <t>南部辦公室</t>
        </is>
      </c>
      <c r="B1339" s="4" t="n">
        <v>110</v>
      </c>
      <c r="C1339" s="8">
        <f>I1338</f>
        <v/>
      </c>
      <c r="D1339" s="4">
        <f>SUMIFS('01_異動主檔'!$F:$F,'01_異動主檔'!$B:$B,110,'01_異動主檔'!$D:$D,A1339,'01_異動主檔'!$E:$E,"移入")</f>
        <v/>
      </c>
      <c r="E1339" s="4">
        <f>-SUMIFS('01_異動主檔'!$F:$F,'01_異動主檔'!$B:$B,110,'01_異動主檔'!$D:$D,A1339,'01_異動主檔'!$E:$E,"移出")</f>
        <v/>
      </c>
      <c r="F1339" s="4">
        <f>SUMIFS('01_異動主檔'!$F:$F,'01_異動主檔'!$B:$B,110,'01_異動主檔'!$D:$D,A1339,'01_異動主檔'!$E:$E,"新增")</f>
        <v/>
      </c>
      <c r="G1339" s="4">
        <f>-SUMIFS('01_異動主檔'!$F:$F,'01_異動主檔'!$B:$B,110,'01_異動主檔'!$D:$D,A1339,'01_異動主檔'!$E:$E,"減列")</f>
        <v/>
      </c>
      <c r="H1339" s="4">
        <f>-SUMIFS('01_異動主檔'!$F:$F,'01_異動主檔'!$B:$B,110,'01_異動主檔'!$D:$D,A1339,'01_異動主檔'!$E:$E,"精簡")</f>
        <v/>
      </c>
      <c r="I1339" s="8">
        <f>C1339+D1339+E1339+F1339+G1339+H1339</f>
        <v/>
      </c>
    </row>
    <row r="1340" ht="18" customHeight="1">
      <c r="A1340" s="5" t="inlineStr">
        <is>
          <t>南部辦公室</t>
        </is>
      </c>
      <c r="B1340" s="6" t="n">
        <v>111</v>
      </c>
      <c r="C1340" s="8">
        <f>I1339</f>
        <v/>
      </c>
      <c r="D1340" s="4">
        <f>SUMIFS('01_異動主檔'!$F:$F,'01_異動主檔'!$B:$B,111,'01_異動主檔'!$D:$D,A1340,'01_異動主檔'!$E:$E,"移入")</f>
        <v/>
      </c>
      <c r="E1340" s="4">
        <f>-SUMIFS('01_異動主檔'!$F:$F,'01_異動主檔'!$B:$B,111,'01_異動主檔'!$D:$D,A1340,'01_異動主檔'!$E:$E,"移出")</f>
        <v/>
      </c>
      <c r="F1340" s="4">
        <f>SUMIFS('01_異動主檔'!$F:$F,'01_異動主檔'!$B:$B,111,'01_異動主檔'!$D:$D,A1340,'01_異動主檔'!$E:$E,"新增")</f>
        <v/>
      </c>
      <c r="G1340" s="4">
        <f>-SUMIFS('01_異動主檔'!$F:$F,'01_異動主檔'!$B:$B,111,'01_異動主檔'!$D:$D,A1340,'01_異動主檔'!$E:$E,"減列")</f>
        <v/>
      </c>
      <c r="H1340" s="4">
        <f>-SUMIFS('01_異動主檔'!$F:$F,'01_異動主檔'!$B:$B,111,'01_異動主檔'!$D:$D,A1340,'01_異動主檔'!$E:$E,"精簡")</f>
        <v/>
      </c>
      <c r="I1340" s="8">
        <f>C1340+D1340+E1340+F1340+G1340+H1340</f>
        <v/>
      </c>
    </row>
    <row r="1341" ht="18" customHeight="1">
      <c r="A1341" s="3" t="inlineStr">
        <is>
          <t>南部辦公室</t>
        </is>
      </c>
      <c r="B1341" s="4" t="n">
        <v>112</v>
      </c>
      <c r="C1341" s="8">
        <f>I1340</f>
        <v/>
      </c>
      <c r="D1341" s="4">
        <f>SUMIFS('01_異動主檔'!$F:$F,'01_異動主檔'!$B:$B,112,'01_異動主檔'!$D:$D,A1341,'01_異動主檔'!$E:$E,"移入")</f>
        <v/>
      </c>
      <c r="E1341" s="4">
        <f>-SUMIFS('01_異動主檔'!$F:$F,'01_異動主檔'!$B:$B,112,'01_異動主檔'!$D:$D,A1341,'01_異動主檔'!$E:$E,"移出")</f>
        <v/>
      </c>
      <c r="F1341" s="4">
        <f>SUMIFS('01_異動主檔'!$F:$F,'01_異動主檔'!$B:$B,112,'01_異動主檔'!$D:$D,A1341,'01_異動主檔'!$E:$E,"新增")</f>
        <v/>
      </c>
      <c r="G1341" s="4">
        <f>-SUMIFS('01_異動主檔'!$F:$F,'01_異動主檔'!$B:$B,112,'01_異動主檔'!$D:$D,A1341,'01_異動主檔'!$E:$E,"減列")</f>
        <v/>
      </c>
      <c r="H1341" s="4">
        <f>-SUMIFS('01_異動主檔'!$F:$F,'01_異動主檔'!$B:$B,112,'01_異動主檔'!$D:$D,A1341,'01_異動主檔'!$E:$E,"精簡")</f>
        <v/>
      </c>
      <c r="I1341" s="8">
        <f>C1341+D1341+E1341+F1341+G1341+H1341</f>
        <v/>
      </c>
    </row>
    <row r="1342" ht="18" customHeight="1">
      <c r="A1342" s="5" t="inlineStr">
        <is>
          <t>南部辦公室</t>
        </is>
      </c>
      <c r="B1342" s="6" t="n">
        <v>113</v>
      </c>
      <c r="C1342" s="8">
        <f>I1341</f>
        <v/>
      </c>
      <c r="D1342" s="4">
        <f>SUMIFS('01_異動主檔'!$F:$F,'01_異動主檔'!$B:$B,113,'01_異動主檔'!$D:$D,A1342,'01_異動主檔'!$E:$E,"移入")</f>
        <v/>
      </c>
      <c r="E1342" s="4">
        <f>-SUMIFS('01_異動主檔'!$F:$F,'01_異動主檔'!$B:$B,113,'01_異動主檔'!$D:$D,A1342,'01_異動主檔'!$E:$E,"移出")</f>
        <v/>
      </c>
      <c r="F1342" s="4">
        <f>SUMIFS('01_異動主檔'!$F:$F,'01_異動主檔'!$B:$B,113,'01_異動主檔'!$D:$D,A1342,'01_異動主檔'!$E:$E,"新增")</f>
        <v/>
      </c>
      <c r="G1342" s="4">
        <f>-SUMIFS('01_異動主檔'!$F:$F,'01_異動主檔'!$B:$B,113,'01_異動主檔'!$D:$D,A1342,'01_異動主檔'!$E:$E,"減列")</f>
        <v/>
      </c>
      <c r="H1342" s="4">
        <f>-SUMIFS('01_異動主檔'!$F:$F,'01_異動主檔'!$B:$B,113,'01_異動主檔'!$D:$D,A1342,'01_異動主檔'!$E:$E,"精簡")</f>
        <v/>
      </c>
      <c r="I1342" s="8">
        <f>C1342+D1342+E1342+F1342+G1342+H1342</f>
        <v/>
      </c>
    </row>
    <row r="1343" ht="18" customHeight="1">
      <c r="A1343" s="3" t="inlineStr">
        <is>
          <t>南部辦公室</t>
        </is>
      </c>
      <c r="B1343" s="4" t="n">
        <v>114</v>
      </c>
      <c r="C1343" s="8">
        <f>I1342</f>
        <v/>
      </c>
      <c r="D1343" s="4">
        <f>SUMIFS('01_異動主檔'!$F:$F,'01_異動主檔'!$B:$B,114,'01_異動主檔'!$D:$D,A1343,'01_異動主檔'!$E:$E,"移入")</f>
        <v/>
      </c>
      <c r="E1343" s="4">
        <f>-SUMIFS('01_異動主檔'!$F:$F,'01_異動主檔'!$B:$B,114,'01_異動主檔'!$D:$D,A1343,'01_異動主檔'!$E:$E,"移出")</f>
        <v/>
      </c>
      <c r="F1343" s="4">
        <f>SUMIFS('01_異動主檔'!$F:$F,'01_異動主檔'!$B:$B,114,'01_異動主檔'!$D:$D,A1343,'01_異動主檔'!$E:$E,"新增")</f>
        <v/>
      </c>
      <c r="G1343" s="4">
        <f>-SUMIFS('01_異動主檔'!$F:$F,'01_異動主檔'!$B:$B,114,'01_異動主檔'!$D:$D,A1343,'01_異動主檔'!$E:$E,"減列")</f>
        <v/>
      </c>
      <c r="H1343" s="4">
        <f>-SUMIFS('01_異動主檔'!$F:$F,'01_異動主檔'!$B:$B,114,'01_異動主檔'!$D:$D,A1343,'01_異動主檔'!$E:$E,"精簡")</f>
        <v/>
      </c>
      <c r="I1343" s="8">
        <f>C1343+D1343+E1343+F1343+G1343+H1343</f>
        <v/>
      </c>
    </row>
    <row r="1344" ht="18" customHeight="1">
      <c r="A1344" s="5" t="inlineStr">
        <is>
          <t>南部辦公室</t>
        </is>
      </c>
      <c r="B1344" s="6" t="n">
        <v>115</v>
      </c>
      <c r="C1344" s="8">
        <f>I1343</f>
        <v/>
      </c>
      <c r="D1344" s="4">
        <f>SUMIFS('01_異動主檔'!$F:$F,'01_異動主檔'!$B:$B,115,'01_異動主檔'!$D:$D,A1344,'01_異動主檔'!$E:$E,"移入")</f>
        <v/>
      </c>
      <c r="E1344" s="4">
        <f>-SUMIFS('01_異動主檔'!$F:$F,'01_異動主檔'!$B:$B,115,'01_異動主檔'!$D:$D,A1344,'01_異動主檔'!$E:$E,"移出")</f>
        <v/>
      </c>
      <c r="F1344" s="4">
        <f>SUMIFS('01_異動主檔'!$F:$F,'01_異動主檔'!$B:$B,115,'01_異動主檔'!$D:$D,A1344,'01_異動主檔'!$E:$E,"新增")</f>
        <v/>
      </c>
      <c r="G1344" s="4">
        <f>-SUMIFS('01_異動主檔'!$F:$F,'01_異動主檔'!$B:$B,115,'01_異動主檔'!$D:$D,A1344,'01_異動主檔'!$E:$E,"減列")</f>
        <v/>
      </c>
      <c r="H1344" s="4">
        <f>-SUMIFS('01_異動主檔'!$F:$F,'01_異動主檔'!$B:$B,115,'01_異動主檔'!$D:$D,A1344,'01_異動主檔'!$E:$E,"精簡")</f>
        <v/>
      </c>
      <c r="I1344" s="8">
        <f>C1344+D1344+E1344+F1344+G1344+H1344</f>
        <v/>
      </c>
    </row>
    <row r="1345" ht="18" customHeight="1">
      <c r="A1345" s="3" t="inlineStr">
        <is>
          <t>南部辦公室</t>
        </is>
      </c>
      <c r="B1345" s="4" t="n">
        <v>116</v>
      </c>
      <c r="C1345" s="8">
        <f>I1344</f>
        <v/>
      </c>
      <c r="D1345" s="4">
        <f>SUMIFS('01_異動主檔'!$F:$F,'01_異動主檔'!$B:$B,116,'01_異動主檔'!$D:$D,A1345,'01_異動主檔'!$E:$E,"移入")</f>
        <v/>
      </c>
      <c r="E1345" s="4">
        <f>-SUMIFS('01_異動主檔'!$F:$F,'01_異動主檔'!$B:$B,116,'01_異動主檔'!$D:$D,A1345,'01_異動主檔'!$E:$E,"移出")</f>
        <v/>
      </c>
      <c r="F1345" s="4">
        <f>SUMIFS('01_異動主檔'!$F:$F,'01_異動主檔'!$B:$B,116,'01_異動主檔'!$D:$D,A1345,'01_異動主檔'!$E:$E,"新增")</f>
        <v/>
      </c>
      <c r="G1345" s="4">
        <f>-SUMIFS('01_異動主檔'!$F:$F,'01_異動主檔'!$B:$B,116,'01_異動主檔'!$D:$D,A1345,'01_異動主檔'!$E:$E,"減列")</f>
        <v/>
      </c>
      <c r="H1345" s="4">
        <f>-SUMIFS('01_異動主檔'!$F:$F,'01_異動主檔'!$B:$B,116,'01_異動主檔'!$D:$D,A1345,'01_異動主檔'!$E:$E,"精簡")</f>
        <v/>
      </c>
      <c r="I1345" s="8">
        <f>C1345+D1345+E1345+F1345+G1345+H1345</f>
        <v/>
      </c>
    </row>
    <row r="1346" ht="18" customHeight="1">
      <c r="A1346" s="5" t="inlineStr">
        <is>
          <t>南部辦公室</t>
        </is>
      </c>
      <c r="B1346" s="6" t="n">
        <v>117</v>
      </c>
      <c r="C1346" s="8">
        <f>I1345</f>
        <v/>
      </c>
      <c r="D1346" s="4">
        <f>SUMIFS('01_異動主檔'!$F:$F,'01_異動主檔'!$B:$B,117,'01_異動主檔'!$D:$D,A1346,'01_異動主檔'!$E:$E,"移入")</f>
        <v/>
      </c>
      <c r="E1346" s="4">
        <f>-SUMIFS('01_異動主檔'!$F:$F,'01_異動主檔'!$B:$B,117,'01_異動主檔'!$D:$D,A1346,'01_異動主檔'!$E:$E,"移出")</f>
        <v/>
      </c>
      <c r="F1346" s="4">
        <f>SUMIFS('01_異動主檔'!$F:$F,'01_異動主檔'!$B:$B,117,'01_異動主檔'!$D:$D,A1346,'01_異動主檔'!$E:$E,"新增")</f>
        <v/>
      </c>
      <c r="G1346" s="4">
        <f>-SUMIFS('01_異動主檔'!$F:$F,'01_異動主檔'!$B:$B,117,'01_異動主檔'!$D:$D,A1346,'01_異動主檔'!$E:$E,"減列")</f>
        <v/>
      </c>
      <c r="H1346" s="4">
        <f>-SUMIFS('01_異動主檔'!$F:$F,'01_異動主檔'!$B:$B,117,'01_異動主檔'!$D:$D,A1346,'01_異動主檔'!$E:$E,"精簡")</f>
        <v/>
      </c>
      <c r="I1346" s="8">
        <f>C1346+D1346+E1346+F1346+G1346+H1346</f>
        <v/>
      </c>
    </row>
    <row r="1347" ht="18" customHeight="1">
      <c r="A1347" s="3" t="inlineStr">
        <is>
          <t>南部辦公室</t>
        </is>
      </c>
      <c r="B1347" s="4" t="n">
        <v>118</v>
      </c>
      <c r="C1347" s="8">
        <f>I1346</f>
        <v/>
      </c>
      <c r="D1347" s="4">
        <f>SUMIFS('01_異動主檔'!$F:$F,'01_異動主檔'!$B:$B,118,'01_異動主檔'!$D:$D,A1347,'01_異動主檔'!$E:$E,"移入")</f>
        <v/>
      </c>
      <c r="E1347" s="4">
        <f>-SUMIFS('01_異動主檔'!$F:$F,'01_異動主檔'!$B:$B,118,'01_異動主檔'!$D:$D,A1347,'01_異動主檔'!$E:$E,"移出")</f>
        <v/>
      </c>
      <c r="F1347" s="4">
        <f>SUMIFS('01_異動主檔'!$F:$F,'01_異動主檔'!$B:$B,118,'01_異動主檔'!$D:$D,A1347,'01_異動主檔'!$E:$E,"新增")</f>
        <v/>
      </c>
      <c r="G1347" s="4">
        <f>-SUMIFS('01_異動主檔'!$F:$F,'01_異動主檔'!$B:$B,118,'01_異動主檔'!$D:$D,A1347,'01_異動主檔'!$E:$E,"減列")</f>
        <v/>
      </c>
      <c r="H1347" s="4">
        <f>-SUMIFS('01_異動主檔'!$F:$F,'01_異動主檔'!$B:$B,118,'01_異動主檔'!$D:$D,A1347,'01_異動主檔'!$E:$E,"精簡")</f>
        <v/>
      </c>
      <c r="I1347" s="8">
        <f>C1347+D1347+E1347+F1347+G1347+H1347</f>
        <v/>
      </c>
    </row>
    <row r="1348" ht="18" customHeight="1">
      <c r="A1348" s="5" t="inlineStr">
        <is>
          <t>南部辦公室</t>
        </is>
      </c>
      <c r="B1348" s="6" t="n">
        <v>119</v>
      </c>
      <c r="C1348" s="8">
        <f>I1347</f>
        <v/>
      </c>
      <c r="D1348" s="4">
        <f>SUMIFS('01_異動主檔'!$F:$F,'01_異動主檔'!$B:$B,119,'01_異動主檔'!$D:$D,A1348,'01_異動主檔'!$E:$E,"移入")</f>
        <v/>
      </c>
      <c r="E1348" s="4">
        <f>-SUMIFS('01_異動主檔'!$F:$F,'01_異動主檔'!$B:$B,119,'01_異動主檔'!$D:$D,A1348,'01_異動主檔'!$E:$E,"移出")</f>
        <v/>
      </c>
      <c r="F1348" s="4">
        <f>SUMIFS('01_異動主檔'!$F:$F,'01_異動主檔'!$B:$B,119,'01_異動主檔'!$D:$D,A1348,'01_異動主檔'!$E:$E,"新增")</f>
        <v/>
      </c>
      <c r="G1348" s="4">
        <f>-SUMIFS('01_異動主檔'!$F:$F,'01_異動主檔'!$B:$B,119,'01_異動主檔'!$D:$D,A1348,'01_異動主檔'!$E:$E,"減列")</f>
        <v/>
      </c>
      <c r="H1348" s="4">
        <f>-SUMIFS('01_異動主檔'!$F:$F,'01_異動主檔'!$B:$B,119,'01_異動主檔'!$D:$D,A1348,'01_異動主檔'!$E:$E,"精簡")</f>
        <v/>
      </c>
      <c r="I1348" s="8">
        <f>C1348+D1348+E1348+F1348+G1348+H1348</f>
        <v/>
      </c>
    </row>
    <row r="1349" ht="18" customHeight="1">
      <c r="A1349" s="3" t="inlineStr">
        <is>
          <t>南部辦公室</t>
        </is>
      </c>
      <c r="B1349" s="4" t="n">
        <v>120</v>
      </c>
      <c r="C1349" s="8">
        <f>I1348</f>
        <v/>
      </c>
      <c r="D1349" s="4">
        <f>SUMIFS('01_異動主檔'!$F:$F,'01_異動主檔'!$B:$B,120,'01_異動主檔'!$D:$D,A1349,'01_異動主檔'!$E:$E,"移入")</f>
        <v/>
      </c>
      <c r="E1349" s="4">
        <f>-SUMIFS('01_異動主檔'!$F:$F,'01_異動主檔'!$B:$B,120,'01_異動主檔'!$D:$D,A1349,'01_異動主檔'!$E:$E,"移出")</f>
        <v/>
      </c>
      <c r="F1349" s="4">
        <f>SUMIFS('01_異動主檔'!$F:$F,'01_異動主檔'!$B:$B,120,'01_異動主檔'!$D:$D,A1349,'01_異動主檔'!$E:$E,"新增")</f>
        <v/>
      </c>
      <c r="G1349" s="4">
        <f>-SUMIFS('01_異動主檔'!$F:$F,'01_異動主檔'!$B:$B,120,'01_異動主檔'!$D:$D,A1349,'01_異動主檔'!$E:$E,"減列")</f>
        <v/>
      </c>
      <c r="H1349" s="4">
        <f>-SUMIFS('01_異動主檔'!$F:$F,'01_異動主檔'!$B:$B,120,'01_異動主檔'!$D:$D,A1349,'01_異動主檔'!$E:$E,"精簡")</f>
        <v/>
      </c>
      <c r="I1349" s="8">
        <f>C1349+D1349+E1349+F1349+G1349+H1349</f>
        <v/>
      </c>
    </row>
    <row r="1350" ht="18" customHeight="1">
      <c r="A1350" s="5" t="inlineStr">
        <is>
          <t>南部辦公室</t>
        </is>
      </c>
      <c r="B1350" s="6" t="n">
        <v>121</v>
      </c>
      <c r="C1350" s="8">
        <f>I1349</f>
        <v/>
      </c>
      <c r="D1350" s="4">
        <f>SUMIFS('01_異動主檔'!$F:$F,'01_異動主檔'!$B:$B,121,'01_異動主檔'!$D:$D,A1350,'01_異動主檔'!$E:$E,"移入")</f>
        <v/>
      </c>
      <c r="E1350" s="4">
        <f>-SUMIFS('01_異動主檔'!$F:$F,'01_異動主檔'!$B:$B,121,'01_異動主檔'!$D:$D,A1350,'01_異動主檔'!$E:$E,"移出")</f>
        <v/>
      </c>
      <c r="F1350" s="4">
        <f>SUMIFS('01_異動主檔'!$F:$F,'01_異動主檔'!$B:$B,121,'01_異動主檔'!$D:$D,A1350,'01_異動主檔'!$E:$E,"新增")</f>
        <v/>
      </c>
      <c r="G1350" s="4">
        <f>-SUMIFS('01_異動主檔'!$F:$F,'01_異動主檔'!$B:$B,121,'01_異動主檔'!$D:$D,A1350,'01_異動主檔'!$E:$E,"減列")</f>
        <v/>
      </c>
      <c r="H1350" s="4">
        <f>-SUMIFS('01_異動主檔'!$F:$F,'01_異動主檔'!$B:$B,121,'01_異動主檔'!$D:$D,A1350,'01_異動主檔'!$E:$E,"精簡")</f>
        <v/>
      </c>
      <c r="I1350" s="8">
        <f>C1350+D1350+E1350+F1350+G1350+H1350</f>
        <v/>
      </c>
    </row>
    <row r="1351" ht="18" customHeight="1">
      <c r="A1351" s="3" t="inlineStr">
        <is>
          <t>南部辦公室</t>
        </is>
      </c>
      <c r="B1351" s="4" t="n">
        <v>122</v>
      </c>
      <c r="C1351" s="8">
        <f>I1350</f>
        <v/>
      </c>
      <c r="D1351" s="4">
        <f>SUMIFS('01_異動主檔'!$F:$F,'01_異動主檔'!$B:$B,122,'01_異動主檔'!$D:$D,A1351,'01_異動主檔'!$E:$E,"移入")</f>
        <v/>
      </c>
      <c r="E1351" s="4">
        <f>-SUMIFS('01_異動主檔'!$F:$F,'01_異動主檔'!$B:$B,122,'01_異動主檔'!$D:$D,A1351,'01_異動主檔'!$E:$E,"移出")</f>
        <v/>
      </c>
      <c r="F1351" s="4">
        <f>SUMIFS('01_異動主檔'!$F:$F,'01_異動主檔'!$B:$B,122,'01_異動主檔'!$D:$D,A1351,'01_異動主檔'!$E:$E,"新增")</f>
        <v/>
      </c>
      <c r="G1351" s="4">
        <f>-SUMIFS('01_異動主檔'!$F:$F,'01_異動主檔'!$B:$B,122,'01_異動主檔'!$D:$D,A1351,'01_異動主檔'!$E:$E,"減列")</f>
        <v/>
      </c>
      <c r="H1351" s="4">
        <f>-SUMIFS('01_異動主檔'!$F:$F,'01_異動主檔'!$B:$B,122,'01_異動主檔'!$D:$D,A1351,'01_異動主檔'!$E:$E,"精簡")</f>
        <v/>
      </c>
      <c r="I1351" s="8">
        <f>C1351+D1351+E1351+F1351+G1351+H1351</f>
        <v/>
      </c>
    </row>
    <row r="1352" ht="18" customHeight="1">
      <c r="A1352" s="5" t="inlineStr">
        <is>
          <t>南部辦公室</t>
        </is>
      </c>
      <c r="B1352" s="6" t="n">
        <v>123</v>
      </c>
      <c r="C1352" s="8">
        <f>I1351</f>
        <v/>
      </c>
      <c r="D1352" s="4">
        <f>SUMIFS('01_異動主檔'!$F:$F,'01_異動主檔'!$B:$B,123,'01_異動主檔'!$D:$D,A1352,'01_異動主檔'!$E:$E,"移入")</f>
        <v/>
      </c>
      <c r="E1352" s="4">
        <f>-SUMIFS('01_異動主檔'!$F:$F,'01_異動主檔'!$B:$B,123,'01_異動主檔'!$D:$D,A1352,'01_異動主檔'!$E:$E,"移出")</f>
        <v/>
      </c>
      <c r="F1352" s="4">
        <f>SUMIFS('01_異動主檔'!$F:$F,'01_異動主檔'!$B:$B,123,'01_異動主檔'!$D:$D,A1352,'01_異動主檔'!$E:$E,"新增")</f>
        <v/>
      </c>
      <c r="G1352" s="4">
        <f>-SUMIFS('01_異動主檔'!$F:$F,'01_異動主檔'!$B:$B,123,'01_異動主檔'!$D:$D,A1352,'01_異動主檔'!$E:$E,"減列")</f>
        <v/>
      </c>
      <c r="H1352" s="4">
        <f>-SUMIFS('01_異動主檔'!$F:$F,'01_異動主檔'!$B:$B,123,'01_異動主檔'!$D:$D,A1352,'01_異動主檔'!$E:$E,"精簡")</f>
        <v/>
      </c>
      <c r="I1352" s="8">
        <f>C1352+D1352+E1352+F1352+G1352+H1352</f>
        <v/>
      </c>
    </row>
    <row r="1353" ht="18" customHeight="1">
      <c r="A1353" s="3" t="inlineStr">
        <is>
          <t>南部辦公室</t>
        </is>
      </c>
      <c r="B1353" s="4" t="n">
        <v>124</v>
      </c>
      <c r="C1353" s="8">
        <f>I1352</f>
        <v/>
      </c>
      <c r="D1353" s="4">
        <f>SUMIFS('01_異動主檔'!$F:$F,'01_異動主檔'!$B:$B,124,'01_異動主檔'!$D:$D,A1353,'01_異動主檔'!$E:$E,"移入")</f>
        <v/>
      </c>
      <c r="E1353" s="4">
        <f>-SUMIFS('01_異動主檔'!$F:$F,'01_異動主檔'!$B:$B,124,'01_異動主檔'!$D:$D,A1353,'01_異動主檔'!$E:$E,"移出")</f>
        <v/>
      </c>
      <c r="F1353" s="4">
        <f>SUMIFS('01_異動主檔'!$F:$F,'01_異動主檔'!$B:$B,124,'01_異動主檔'!$D:$D,A1353,'01_異動主檔'!$E:$E,"新增")</f>
        <v/>
      </c>
      <c r="G1353" s="4">
        <f>-SUMIFS('01_異動主檔'!$F:$F,'01_異動主檔'!$B:$B,124,'01_異動主檔'!$D:$D,A1353,'01_異動主檔'!$E:$E,"減列")</f>
        <v/>
      </c>
      <c r="H1353" s="4">
        <f>-SUMIFS('01_異動主檔'!$F:$F,'01_異動主檔'!$B:$B,124,'01_異動主檔'!$D:$D,A1353,'01_異動主檔'!$E:$E,"精簡")</f>
        <v/>
      </c>
      <c r="I1353" s="8">
        <f>C1353+D1353+E1353+F1353+G1353+H1353</f>
        <v/>
      </c>
    </row>
    <row r="1354" ht="18" customHeight="1">
      <c r="A1354" s="5" t="inlineStr">
        <is>
          <t>南部辦公室</t>
        </is>
      </c>
      <c r="B1354" s="6" t="n">
        <v>125</v>
      </c>
      <c r="C1354" s="8">
        <f>I1353</f>
        <v/>
      </c>
      <c r="D1354" s="4">
        <f>SUMIFS('01_異動主檔'!$F:$F,'01_異動主檔'!$B:$B,125,'01_異動主檔'!$D:$D,A1354,'01_異動主檔'!$E:$E,"移入")</f>
        <v/>
      </c>
      <c r="E1354" s="4">
        <f>-SUMIFS('01_異動主檔'!$F:$F,'01_異動主檔'!$B:$B,125,'01_異動主檔'!$D:$D,A1354,'01_異動主檔'!$E:$E,"移出")</f>
        <v/>
      </c>
      <c r="F1354" s="4">
        <f>SUMIFS('01_異動主檔'!$F:$F,'01_異動主檔'!$B:$B,125,'01_異動主檔'!$D:$D,A1354,'01_異動主檔'!$E:$E,"新增")</f>
        <v/>
      </c>
      <c r="G1354" s="4">
        <f>-SUMIFS('01_異動主檔'!$F:$F,'01_異動主檔'!$B:$B,125,'01_異動主檔'!$D:$D,A1354,'01_異動主檔'!$E:$E,"減列")</f>
        <v/>
      </c>
      <c r="H1354" s="4">
        <f>-SUMIFS('01_異動主檔'!$F:$F,'01_異動主檔'!$B:$B,125,'01_異動主檔'!$D:$D,A1354,'01_異動主檔'!$E:$E,"精簡")</f>
        <v/>
      </c>
      <c r="I1354" s="8">
        <f>C1354+D1354+E1354+F1354+G1354+H1354</f>
        <v/>
      </c>
    </row>
    <row r="1355" ht="18" customHeight="1">
      <c r="A1355" s="3" t="inlineStr">
        <is>
          <t>東部辦公室</t>
        </is>
      </c>
      <c r="B1355" s="4" t="n">
        <v>99</v>
      </c>
      <c r="C1355" s="8">
        <f>'02_年初員額設定'!B55</f>
        <v/>
      </c>
      <c r="D1355" s="4">
        <f>SUMIFS('01_異動主檔'!$F:$F,'01_異動主檔'!$B:$B,99,'01_異動主檔'!$D:$D,A1355,'01_異動主檔'!$E:$E,"移入")</f>
        <v/>
      </c>
      <c r="E1355" s="4">
        <f>-SUMIFS('01_異動主檔'!$F:$F,'01_異動主檔'!$B:$B,99,'01_異動主檔'!$D:$D,A1355,'01_異動主檔'!$E:$E,"移出")</f>
        <v/>
      </c>
      <c r="F1355" s="4">
        <f>SUMIFS('01_異動主檔'!$F:$F,'01_異動主檔'!$B:$B,99,'01_異動主檔'!$D:$D,A1355,'01_異動主檔'!$E:$E,"新增")</f>
        <v/>
      </c>
      <c r="G1355" s="4">
        <f>-SUMIFS('01_異動主檔'!$F:$F,'01_異動主檔'!$B:$B,99,'01_異動主檔'!$D:$D,A1355,'01_異動主檔'!$E:$E,"減列")</f>
        <v/>
      </c>
      <c r="H1355" s="4">
        <f>-SUMIFS('01_異動主檔'!$F:$F,'01_異動主檔'!$B:$B,99,'01_異動主檔'!$D:$D,A1355,'01_異動主檔'!$E:$E,"精簡")</f>
        <v/>
      </c>
      <c r="I1355" s="8">
        <f>C1355+D1355+E1355+F1355+G1355+H1355</f>
        <v/>
      </c>
    </row>
    <row r="1356" ht="18" customHeight="1">
      <c r="A1356" s="5" t="inlineStr">
        <is>
          <t>東部辦公室</t>
        </is>
      </c>
      <c r="B1356" s="6" t="n">
        <v>100</v>
      </c>
      <c r="C1356" s="8">
        <f>I1355</f>
        <v/>
      </c>
      <c r="D1356" s="4">
        <f>SUMIFS('01_異動主檔'!$F:$F,'01_異動主檔'!$B:$B,100,'01_異動主檔'!$D:$D,A1356,'01_異動主檔'!$E:$E,"移入")</f>
        <v/>
      </c>
      <c r="E1356" s="4">
        <f>-SUMIFS('01_異動主檔'!$F:$F,'01_異動主檔'!$B:$B,100,'01_異動主檔'!$D:$D,A1356,'01_異動主檔'!$E:$E,"移出")</f>
        <v/>
      </c>
      <c r="F1356" s="4">
        <f>SUMIFS('01_異動主檔'!$F:$F,'01_異動主檔'!$B:$B,100,'01_異動主檔'!$D:$D,A1356,'01_異動主檔'!$E:$E,"新增")</f>
        <v/>
      </c>
      <c r="G1356" s="4">
        <f>-SUMIFS('01_異動主檔'!$F:$F,'01_異動主檔'!$B:$B,100,'01_異動主檔'!$D:$D,A1356,'01_異動主檔'!$E:$E,"減列")</f>
        <v/>
      </c>
      <c r="H1356" s="4">
        <f>-SUMIFS('01_異動主檔'!$F:$F,'01_異動主檔'!$B:$B,100,'01_異動主檔'!$D:$D,A1356,'01_異動主檔'!$E:$E,"精簡")</f>
        <v/>
      </c>
      <c r="I1356" s="8">
        <f>C1356+D1356+E1356+F1356+G1356+H1356</f>
        <v/>
      </c>
    </row>
    <row r="1357" ht="18" customHeight="1">
      <c r="A1357" s="3" t="inlineStr">
        <is>
          <t>東部辦公室</t>
        </is>
      </c>
      <c r="B1357" s="4" t="n">
        <v>101</v>
      </c>
      <c r="C1357" s="8">
        <f>I1356</f>
        <v/>
      </c>
      <c r="D1357" s="4">
        <f>SUMIFS('01_異動主檔'!$F:$F,'01_異動主檔'!$B:$B,101,'01_異動主檔'!$D:$D,A1357,'01_異動主檔'!$E:$E,"移入")</f>
        <v/>
      </c>
      <c r="E1357" s="4">
        <f>-SUMIFS('01_異動主檔'!$F:$F,'01_異動主檔'!$B:$B,101,'01_異動主檔'!$D:$D,A1357,'01_異動主檔'!$E:$E,"移出")</f>
        <v/>
      </c>
      <c r="F1357" s="4">
        <f>SUMIFS('01_異動主檔'!$F:$F,'01_異動主檔'!$B:$B,101,'01_異動主檔'!$D:$D,A1357,'01_異動主檔'!$E:$E,"新增")</f>
        <v/>
      </c>
      <c r="G1357" s="4">
        <f>-SUMIFS('01_異動主檔'!$F:$F,'01_異動主檔'!$B:$B,101,'01_異動主檔'!$D:$D,A1357,'01_異動主檔'!$E:$E,"減列")</f>
        <v/>
      </c>
      <c r="H1357" s="4">
        <f>-SUMIFS('01_異動主檔'!$F:$F,'01_異動主檔'!$B:$B,101,'01_異動主檔'!$D:$D,A1357,'01_異動主檔'!$E:$E,"精簡")</f>
        <v/>
      </c>
      <c r="I1357" s="8">
        <f>C1357+D1357+E1357+F1357+G1357+H1357</f>
        <v/>
      </c>
    </row>
    <row r="1358" ht="18" customHeight="1">
      <c r="A1358" s="5" t="inlineStr">
        <is>
          <t>東部辦公室</t>
        </is>
      </c>
      <c r="B1358" s="6" t="n">
        <v>102</v>
      </c>
      <c r="C1358" s="8">
        <f>I1357</f>
        <v/>
      </c>
      <c r="D1358" s="4">
        <f>SUMIFS('01_異動主檔'!$F:$F,'01_異動主檔'!$B:$B,102,'01_異動主檔'!$D:$D,A1358,'01_異動主檔'!$E:$E,"移入")</f>
        <v/>
      </c>
      <c r="E1358" s="4">
        <f>-SUMIFS('01_異動主檔'!$F:$F,'01_異動主檔'!$B:$B,102,'01_異動主檔'!$D:$D,A1358,'01_異動主檔'!$E:$E,"移出")</f>
        <v/>
      </c>
      <c r="F1358" s="4">
        <f>SUMIFS('01_異動主檔'!$F:$F,'01_異動主檔'!$B:$B,102,'01_異動主檔'!$D:$D,A1358,'01_異動主檔'!$E:$E,"新增")</f>
        <v/>
      </c>
      <c r="G1358" s="4">
        <f>-SUMIFS('01_異動主檔'!$F:$F,'01_異動主檔'!$B:$B,102,'01_異動主檔'!$D:$D,A1358,'01_異動主檔'!$E:$E,"減列")</f>
        <v/>
      </c>
      <c r="H1358" s="4">
        <f>-SUMIFS('01_異動主檔'!$F:$F,'01_異動主檔'!$B:$B,102,'01_異動主檔'!$D:$D,A1358,'01_異動主檔'!$E:$E,"精簡")</f>
        <v/>
      </c>
      <c r="I1358" s="8">
        <f>C1358+D1358+E1358+F1358+G1358+H1358</f>
        <v/>
      </c>
    </row>
    <row r="1359" ht="18" customHeight="1">
      <c r="A1359" s="3" t="inlineStr">
        <is>
          <t>東部辦公室</t>
        </is>
      </c>
      <c r="B1359" s="4" t="n">
        <v>103</v>
      </c>
      <c r="C1359" s="8">
        <f>I1358</f>
        <v/>
      </c>
      <c r="D1359" s="4">
        <f>SUMIFS('01_異動主檔'!$F:$F,'01_異動主檔'!$B:$B,103,'01_異動主檔'!$D:$D,A1359,'01_異動主檔'!$E:$E,"移入")</f>
        <v/>
      </c>
      <c r="E1359" s="4">
        <f>-SUMIFS('01_異動主檔'!$F:$F,'01_異動主檔'!$B:$B,103,'01_異動主檔'!$D:$D,A1359,'01_異動主檔'!$E:$E,"移出")</f>
        <v/>
      </c>
      <c r="F1359" s="4">
        <f>SUMIFS('01_異動主檔'!$F:$F,'01_異動主檔'!$B:$B,103,'01_異動主檔'!$D:$D,A1359,'01_異動主檔'!$E:$E,"新增")</f>
        <v/>
      </c>
      <c r="G1359" s="4">
        <f>-SUMIFS('01_異動主檔'!$F:$F,'01_異動主檔'!$B:$B,103,'01_異動主檔'!$D:$D,A1359,'01_異動主檔'!$E:$E,"減列")</f>
        <v/>
      </c>
      <c r="H1359" s="4">
        <f>-SUMIFS('01_異動主檔'!$F:$F,'01_異動主檔'!$B:$B,103,'01_異動主檔'!$D:$D,A1359,'01_異動主檔'!$E:$E,"精簡")</f>
        <v/>
      </c>
      <c r="I1359" s="8">
        <f>C1359+D1359+E1359+F1359+G1359+H1359</f>
        <v/>
      </c>
    </row>
    <row r="1360" ht="18" customHeight="1">
      <c r="A1360" s="5" t="inlineStr">
        <is>
          <t>東部辦公室</t>
        </is>
      </c>
      <c r="B1360" s="6" t="n">
        <v>104</v>
      </c>
      <c r="C1360" s="8">
        <f>I1359</f>
        <v/>
      </c>
      <c r="D1360" s="4">
        <f>SUMIFS('01_異動主檔'!$F:$F,'01_異動主檔'!$B:$B,104,'01_異動主檔'!$D:$D,A1360,'01_異動主檔'!$E:$E,"移入")</f>
        <v/>
      </c>
      <c r="E1360" s="4">
        <f>-SUMIFS('01_異動主檔'!$F:$F,'01_異動主檔'!$B:$B,104,'01_異動主檔'!$D:$D,A1360,'01_異動主檔'!$E:$E,"移出")</f>
        <v/>
      </c>
      <c r="F1360" s="4">
        <f>SUMIFS('01_異動主檔'!$F:$F,'01_異動主檔'!$B:$B,104,'01_異動主檔'!$D:$D,A1360,'01_異動主檔'!$E:$E,"新增")</f>
        <v/>
      </c>
      <c r="G1360" s="4">
        <f>-SUMIFS('01_異動主檔'!$F:$F,'01_異動主檔'!$B:$B,104,'01_異動主檔'!$D:$D,A1360,'01_異動主檔'!$E:$E,"減列")</f>
        <v/>
      </c>
      <c r="H1360" s="4">
        <f>-SUMIFS('01_異動主檔'!$F:$F,'01_異動主檔'!$B:$B,104,'01_異動主檔'!$D:$D,A1360,'01_異動主檔'!$E:$E,"精簡")</f>
        <v/>
      </c>
      <c r="I1360" s="8">
        <f>C1360+D1360+E1360+F1360+G1360+H1360</f>
        <v/>
      </c>
    </row>
    <row r="1361" ht="18" customHeight="1">
      <c r="A1361" s="3" t="inlineStr">
        <is>
          <t>東部辦公室</t>
        </is>
      </c>
      <c r="B1361" s="4" t="n">
        <v>105</v>
      </c>
      <c r="C1361" s="8">
        <f>I1360</f>
        <v/>
      </c>
      <c r="D1361" s="4">
        <f>SUMIFS('01_異動主檔'!$F:$F,'01_異動主檔'!$B:$B,105,'01_異動主檔'!$D:$D,A1361,'01_異動主檔'!$E:$E,"移入")</f>
        <v/>
      </c>
      <c r="E1361" s="4">
        <f>-SUMIFS('01_異動主檔'!$F:$F,'01_異動主檔'!$B:$B,105,'01_異動主檔'!$D:$D,A1361,'01_異動主檔'!$E:$E,"移出")</f>
        <v/>
      </c>
      <c r="F1361" s="4">
        <f>SUMIFS('01_異動主檔'!$F:$F,'01_異動主檔'!$B:$B,105,'01_異動主檔'!$D:$D,A1361,'01_異動主檔'!$E:$E,"新增")</f>
        <v/>
      </c>
      <c r="G1361" s="4">
        <f>-SUMIFS('01_異動主檔'!$F:$F,'01_異動主檔'!$B:$B,105,'01_異動主檔'!$D:$D,A1361,'01_異動主檔'!$E:$E,"減列")</f>
        <v/>
      </c>
      <c r="H1361" s="4">
        <f>-SUMIFS('01_異動主檔'!$F:$F,'01_異動主檔'!$B:$B,105,'01_異動主檔'!$D:$D,A1361,'01_異動主檔'!$E:$E,"精簡")</f>
        <v/>
      </c>
      <c r="I1361" s="8">
        <f>C1361+D1361+E1361+F1361+G1361+H1361</f>
        <v/>
      </c>
    </row>
    <row r="1362" ht="18" customHeight="1">
      <c r="A1362" s="5" t="inlineStr">
        <is>
          <t>東部辦公室</t>
        </is>
      </c>
      <c r="B1362" s="6" t="n">
        <v>106</v>
      </c>
      <c r="C1362" s="8">
        <f>I1361</f>
        <v/>
      </c>
      <c r="D1362" s="4">
        <f>SUMIFS('01_異動主檔'!$F:$F,'01_異動主檔'!$B:$B,106,'01_異動主檔'!$D:$D,A1362,'01_異動主檔'!$E:$E,"移入")</f>
        <v/>
      </c>
      <c r="E1362" s="4">
        <f>-SUMIFS('01_異動主檔'!$F:$F,'01_異動主檔'!$B:$B,106,'01_異動主檔'!$D:$D,A1362,'01_異動主檔'!$E:$E,"移出")</f>
        <v/>
      </c>
      <c r="F1362" s="4">
        <f>SUMIFS('01_異動主檔'!$F:$F,'01_異動主檔'!$B:$B,106,'01_異動主檔'!$D:$D,A1362,'01_異動主檔'!$E:$E,"新增")</f>
        <v/>
      </c>
      <c r="G1362" s="4">
        <f>-SUMIFS('01_異動主檔'!$F:$F,'01_異動主檔'!$B:$B,106,'01_異動主檔'!$D:$D,A1362,'01_異動主檔'!$E:$E,"減列")</f>
        <v/>
      </c>
      <c r="H1362" s="4">
        <f>-SUMIFS('01_異動主檔'!$F:$F,'01_異動主檔'!$B:$B,106,'01_異動主檔'!$D:$D,A1362,'01_異動主檔'!$E:$E,"精簡")</f>
        <v/>
      </c>
      <c r="I1362" s="8">
        <f>C1362+D1362+E1362+F1362+G1362+H1362</f>
        <v/>
      </c>
    </row>
    <row r="1363" ht="18" customHeight="1">
      <c r="A1363" s="3" t="inlineStr">
        <is>
          <t>東部辦公室</t>
        </is>
      </c>
      <c r="B1363" s="4" t="n">
        <v>107</v>
      </c>
      <c r="C1363" s="8">
        <f>I1362</f>
        <v/>
      </c>
      <c r="D1363" s="4">
        <f>SUMIFS('01_異動主檔'!$F:$F,'01_異動主檔'!$B:$B,107,'01_異動主檔'!$D:$D,A1363,'01_異動主檔'!$E:$E,"移入")</f>
        <v/>
      </c>
      <c r="E1363" s="4">
        <f>-SUMIFS('01_異動主檔'!$F:$F,'01_異動主檔'!$B:$B,107,'01_異動主檔'!$D:$D,A1363,'01_異動主檔'!$E:$E,"移出")</f>
        <v/>
      </c>
      <c r="F1363" s="4">
        <f>SUMIFS('01_異動主檔'!$F:$F,'01_異動主檔'!$B:$B,107,'01_異動主檔'!$D:$D,A1363,'01_異動主檔'!$E:$E,"新增")</f>
        <v/>
      </c>
      <c r="G1363" s="4">
        <f>-SUMIFS('01_異動主檔'!$F:$F,'01_異動主檔'!$B:$B,107,'01_異動主檔'!$D:$D,A1363,'01_異動主檔'!$E:$E,"減列")</f>
        <v/>
      </c>
      <c r="H1363" s="4">
        <f>-SUMIFS('01_異動主檔'!$F:$F,'01_異動主檔'!$B:$B,107,'01_異動主檔'!$D:$D,A1363,'01_異動主檔'!$E:$E,"精簡")</f>
        <v/>
      </c>
      <c r="I1363" s="8">
        <f>C1363+D1363+E1363+F1363+G1363+H1363</f>
        <v/>
      </c>
    </row>
    <row r="1364" ht="18" customHeight="1">
      <c r="A1364" s="5" t="inlineStr">
        <is>
          <t>東部辦公室</t>
        </is>
      </c>
      <c r="B1364" s="6" t="n">
        <v>108</v>
      </c>
      <c r="C1364" s="8">
        <f>I1363</f>
        <v/>
      </c>
      <c r="D1364" s="4">
        <f>SUMIFS('01_異動主檔'!$F:$F,'01_異動主檔'!$B:$B,108,'01_異動主檔'!$D:$D,A1364,'01_異動主檔'!$E:$E,"移入")</f>
        <v/>
      </c>
      <c r="E1364" s="4">
        <f>-SUMIFS('01_異動主檔'!$F:$F,'01_異動主檔'!$B:$B,108,'01_異動主檔'!$D:$D,A1364,'01_異動主檔'!$E:$E,"移出")</f>
        <v/>
      </c>
      <c r="F1364" s="4">
        <f>SUMIFS('01_異動主檔'!$F:$F,'01_異動主檔'!$B:$B,108,'01_異動主檔'!$D:$D,A1364,'01_異動主檔'!$E:$E,"新增")</f>
        <v/>
      </c>
      <c r="G1364" s="4">
        <f>-SUMIFS('01_異動主檔'!$F:$F,'01_異動主檔'!$B:$B,108,'01_異動主檔'!$D:$D,A1364,'01_異動主檔'!$E:$E,"減列")</f>
        <v/>
      </c>
      <c r="H1364" s="4">
        <f>-SUMIFS('01_異動主檔'!$F:$F,'01_異動主檔'!$B:$B,108,'01_異動主檔'!$D:$D,A1364,'01_異動主檔'!$E:$E,"精簡")</f>
        <v/>
      </c>
      <c r="I1364" s="8">
        <f>C1364+D1364+E1364+F1364+G1364+H1364</f>
        <v/>
      </c>
    </row>
    <row r="1365" ht="18" customHeight="1">
      <c r="A1365" s="3" t="inlineStr">
        <is>
          <t>東部辦公室</t>
        </is>
      </c>
      <c r="B1365" s="4" t="n">
        <v>109</v>
      </c>
      <c r="C1365" s="8">
        <f>I1364</f>
        <v/>
      </c>
      <c r="D1365" s="4">
        <f>SUMIFS('01_異動主檔'!$F:$F,'01_異動主檔'!$B:$B,109,'01_異動主檔'!$D:$D,A1365,'01_異動主檔'!$E:$E,"移入")</f>
        <v/>
      </c>
      <c r="E1365" s="4">
        <f>-SUMIFS('01_異動主檔'!$F:$F,'01_異動主檔'!$B:$B,109,'01_異動主檔'!$D:$D,A1365,'01_異動主檔'!$E:$E,"移出")</f>
        <v/>
      </c>
      <c r="F1365" s="4">
        <f>SUMIFS('01_異動主檔'!$F:$F,'01_異動主檔'!$B:$B,109,'01_異動主檔'!$D:$D,A1365,'01_異動主檔'!$E:$E,"新增")</f>
        <v/>
      </c>
      <c r="G1365" s="4">
        <f>-SUMIFS('01_異動主檔'!$F:$F,'01_異動主檔'!$B:$B,109,'01_異動主檔'!$D:$D,A1365,'01_異動主檔'!$E:$E,"減列")</f>
        <v/>
      </c>
      <c r="H1365" s="4">
        <f>-SUMIFS('01_異動主檔'!$F:$F,'01_異動主檔'!$B:$B,109,'01_異動主檔'!$D:$D,A1365,'01_異動主檔'!$E:$E,"精簡")</f>
        <v/>
      </c>
      <c r="I1365" s="8">
        <f>C1365+D1365+E1365+F1365+G1365+H1365</f>
        <v/>
      </c>
    </row>
    <row r="1366" ht="18" customHeight="1">
      <c r="A1366" s="5" t="inlineStr">
        <is>
          <t>東部辦公室</t>
        </is>
      </c>
      <c r="B1366" s="6" t="n">
        <v>110</v>
      </c>
      <c r="C1366" s="8">
        <f>I1365</f>
        <v/>
      </c>
      <c r="D1366" s="4">
        <f>SUMIFS('01_異動主檔'!$F:$F,'01_異動主檔'!$B:$B,110,'01_異動主檔'!$D:$D,A1366,'01_異動主檔'!$E:$E,"移入")</f>
        <v/>
      </c>
      <c r="E1366" s="4">
        <f>-SUMIFS('01_異動主檔'!$F:$F,'01_異動主檔'!$B:$B,110,'01_異動主檔'!$D:$D,A1366,'01_異動主檔'!$E:$E,"移出")</f>
        <v/>
      </c>
      <c r="F1366" s="4">
        <f>SUMIFS('01_異動主檔'!$F:$F,'01_異動主檔'!$B:$B,110,'01_異動主檔'!$D:$D,A1366,'01_異動主檔'!$E:$E,"新增")</f>
        <v/>
      </c>
      <c r="G1366" s="4">
        <f>-SUMIFS('01_異動主檔'!$F:$F,'01_異動主檔'!$B:$B,110,'01_異動主檔'!$D:$D,A1366,'01_異動主檔'!$E:$E,"減列")</f>
        <v/>
      </c>
      <c r="H1366" s="4">
        <f>-SUMIFS('01_異動主檔'!$F:$F,'01_異動主檔'!$B:$B,110,'01_異動主檔'!$D:$D,A1366,'01_異動主檔'!$E:$E,"精簡")</f>
        <v/>
      </c>
      <c r="I1366" s="8">
        <f>C1366+D1366+E1366+F1366+G1366+H1366</f>
        <v/>
      </c>
    </row>
    <row r="1367" ht="18" customHeight="1">
      <c r="A1367" s="3" t="inlineStr">
        <is>
          <t>東部辦公室</t>
        </is>
      </c>
      <c r="B1367" s="4" t="n">
        <v>111</v>
      </c>
      <c r="C1367" s="8">
        <f>I1366</f>
        <v/>
      </c>
      <c r="D1367" s="4">
        <f>SUMIFS('01_異動主檔'!$F:$F,'01_異動主檔'!$B:$B,111,'01_異動主檔'!$D:$D,A1367,'01_異動主檔'!$E:$E,"移入")</f>
        <v/>
      </c>
      <c r="E1367" s="4">
        <f>-SUMIFS('01_異動主檔'!$F:$F,'01_異動主檔'!$B:$B,111,'01_異動主檔'!$D:$D,A1367,'01_異動主檔'!$E:$E,"移出")</f>
        <v/>
      </c>
      <c r="F1367" s="4">
        <f>SUMIFS('01_異動主檔'!$F:$F,'01_異動主檔'!$B:$B,111,'01_異動主檔'!$D:$D,A1367,'01_異動主檔'!$E:$E,"新增")</f>
        <v/>
      </c>
      <c r="G1367" s="4">
        <f>-SUMIFS('01_異動主檔'!$F:$F,'01_異動主檔'!$B:$B,111,'01_異動主檔'!$D:$D,A1367,'01_異動主檔'!$E:$E,"減列")</f>
        <v/>
      </c>
      <c r="H1367" s="4">
        <f>-SUMIFS('01_異動主檔'!$F:$F,'01_異動主檔'!$B:$B,111,'01_異動主檔'!$D:$D,A1367,'01_異動主檔'!$E:$E,"精簡")</f>
        <v/>
      </c>
      <c r="I1367" s="8">
        <f>C1367+D1367+E1367+F1367+G1367+H1367</f>
        <v/>
      </c>
    </row>
    <row r="1368" ht="18" customHeight="1">
      <c r="A1368" s="5" t="inlineStr">
        <is>
          <t>東部辦公室</t>
        </is>
      </c>
      <c r="B1368" s="6" t="n">
        <v>112</v>
      </c>
      <c r="C1368" s="8">
        <f>I1367</f>
        <v/>
      </c>
      <c r="D1368" s="4">
        <f>SUMIFS('01_異動主檔'!$F:$F,'01_異動主檔'!$B:$B,112,'01_異動主檔'!$D:$D,A1368,'01_異動主檔'!$E:$E,"移入")</f>
        <v/>
      </c>
      <c r="E1368" s="4">
        <f>-SUMIFS('01_異動主檔'!$F:$F,'01_異動主檔'!$B:$B,112,'01_異動主檔'!$D:$D,A1368,'01_異動主檔'!$E:$E,"移出")</f>
        <v/>
      </c>
      <c r="F1368" s="4">
        <f>SUMIFS('01_異動主檔'!$F:$F,'01_異動主檔'!$B:$B,112,'01_異動主檔'!$D:$D,A1368,'01_異動主檔'!$E:$E,"新增")</f>
        <v/>
      </c>
      <c r="G1368" s="4">
        <f>-SUMIFS('01_異動主檔'!$F:$F,'01_異動主檔'!$B:$B,112,'01_異動主檔'!$D:$D,A1368,'01_異動主檔'!$E:$E,"減列")</f>
        <v/>
      </c>
      <c r="H1368" s="4">
        <f>-SUMIFS('01_異動主檔'!$F:$F,'01_異動主檔'!$B:$B,112,'01_異動主檔'!$D:$D,A1368,'01_異動主檔'!$E:$E,"精簡")</f>
        <v/>
      </c>
      <c r="I1368" s="8">
        <f>C1368+D1368+E1368+F1368+G1368+H1368</f>
        <v/>
      </c>
    </row>
    <row r="1369" ht="18" customHeight="1">
      <c r="A1369" s="3" t="inlineStr">
        <is>
          <t>東部辦公室</t>
        </is>
      </c>
      <c r="B1369" s="4" t="n">
        <v>113</v>
      </c>
      <c r="C1369" s="8">
        <f>I1368</f>
        <v/>
      </c>
      <c r="D1369" s="4">
        <f>SUMIFS('01_異動主檔'!$F:$F,'01_異動主檔'!$B:$B,113,'01_異動主檔'!$D:$D,A1369,'01_異動主檔'!$E:$E,"移入")</f>
        <v/>
      </c>
      <c r="E1369" s="4">
        <f>-SUMIFS('01_異動主檔'!$F:$F,'01_異動主檔'!$B:$B,113,'01_異動主檔'!$D:$D,A1369,'01_異動主檔'!$E:$E,"移出")</f>
        <v/>
      </c>
      <c r="F1369" s="4">
        <f>SUMIFS('01_異動主檔'!$F:$F,'01_異動主檔'!$B:$B,113,'01_異動主檔'!$D:$D,A1369,'01_異動主檔'!$E:$E,"新增")</f>
        <v/>
      </c>
      <c r="G1369" s="4">
        <f>-SUMIFS('01_異動主檔'!$F:$F,'01_異動主檔'!$B:$B,113,'01_異動主檔'!$D:$D,A1369,'01_異動主檔'!$E:$E,"減列")</f>
        <v/>
      </c>
      <c r="H1369" s="4">
        <f>-SUMIFS('01_異動主檔'!$F:$F,'01_異動主檔'!$B:$B,113,'01_異動主檔'!$D:$D,A1369,'01_異動主檔'!$E:$E,"精簡")</f>
        <v/>
      </c>
      <c r="I1369" s="8">
        <f>C1369+D1369+E1369+F1369+G1369+H1369</f>
        <v/>
      </c>
    </row>
    <row r="1370" ht="18" customHeight="1">
      <c r="A1370" s="5" t="inlineStr">
        <is>
          <t>東部辦公室</t>
        </is>
      </c>
      <c r="B1370" s="6" t="n">
        <v>114</v>
      </c>
      <c r="C1370" s="8">
        <f>I1369</f>
        <v/>
      </c>
      <c r="D1370" s="4">
        <f>SUMIFS('01_異動主檔'!$F:$F,'01_異動主檔'!$B:$B,114,'01_異動主檔'!$D:$D,A1370,'01_異動主檔'!$E:$E,"移入")</f>
        <v/>
      </c>
      <c r="E1370" s="4">
        <f>-SUMIFS('01_異動主檔'!$F:$F,'01_異動主檔'!$B:$B,114,'01_異動主檔'!$D:$D,A1370,'01_異動主檔'!$E:$E,"移出")</f>
        <v/>
      </c>
      <c r="F1370" s="4">
        <f>SUMIFS('01_異動主檔'!$F:$F,'01_異動主檔'!$B:$B,114,'01_異動主檔'!$D:$D,A1370,'01_異動主檔'!$E:$E,"新增")</f>
        <v/>
      </c>
      <c r="G1370" s="4">
        <f>-SUMIFS('01_異動主檔'!$F:$F,'01_異動主檔'!$B:$B,114,'01_異動主檔'!$D:$D,A1370,'01_異動主檔'!$E:$E,"減列")</f>
        <v/>
      </c>
      <c r="H1370" s="4">
        <f>-SUMIFS('01_異動主檔'!$F:$F,'01_異動主檔'!$B:$B,114,'01_異動主檔'!$D:$D,A1370,'01_異動主檔'!$E:$E,"精簡")</f>
        <v/>
      </c>
      <c r="I1370" s="8">
        <f>C1370+D1370+E1370+F1370+G1370+H1370</f>
        <v/>
      </c>
    </row>
    <row r="1371" ht="18" customHeight="1">
      <c r="A1371" s="3" t="inlineStr">
        <is>
          <t>東部辦公室</t>
        </is>
      </c>
      <c r="B1371" s="4" t="n">
        <v>115</v>
      </c>
      <c r="C1371" s="8">
        <f>I1370</f>
        <v/>
      </c>
      <c r="D1371" s="4">
        <f>SUMIFS('01_異動主檔'!$F:$F,'01_異動主檔'!$B:$B,115,'01_異動主檔'!$D:$D,A1371,'01_異動主檔'!$E:$E,"移入")</f>
        <v/>
      </c>
      <c r="E1371" s="4">
        <f>-SUMIFS('01_異動主檔'!$F:$F,'01_異動主檔'!$B:$B,115,'01_異動主檔'!$D:$D,A1371,'01_異動主檔'!$E:$E,"移出")</f>
        <v/>
      </c>
      <c r="F1371" s="4">
        <f>SUMIFS('01_異動主檔'!$F:$F,'01_異動主檔'!$B:$B,115,'01_異動主檔'!$D:$D,A1371,'01_異動主檔'!$E:$E,"新增")</f>
        <v/>
      </c>
      <c r="G1371" s="4">
        <f>-SUMIFS('01_異動主檔'!$F:$F,'01_異動主檔'!$B:$B,115,'01_異動主檔'!$D:$D,A1371,'01_異動主檔'!$E:$E,"減列")</f>
        <v/>
      </c>
      <c r="H1371" s="4">
        <f>-SUMIFS('01_異動主檔'!$F:$F,'01_異動主檔'!$B:$B,115,'01_異動主檔'!$D:$D,A1371,'01_異動主檔'!$E:$E,"精簡")</f>
        <v/>
      </c>
      <c r="I1371" s="8">
        <f>C1371+D1371+E1371+F1371+G1371+H1371</f>
        <v/>
      </c>
    </row>
    <row r="1372" ht="18" customHeight="1">
      <c r="A1372" s="5" t="inlineStr">
        <is>
          <t>東部辦公室</t>
        </is>
      </c>
      <c r="B1372" s="6" t="n">
        <v>116</v>
      </c>
      <c r="C1372" s="8">
        <f>I1371</f>
        <v/>
      </c>
      <c r="D1372" s="4">
        <f>SUMIFS('01_異動主檔'!$F:$F,'01_異動主檔'!$B:$B,116,'01_異動主檔'!$D:$D,A1372,'01_異動主檔'!$E:$E,"移入")</f>
        <v/>
      </c>
      <c r="E1372" s="4">
        <f>-SUMIFS('01_異動主檔'!$F:$F,'01_異動主檔'!$B:$B,116,'01_異動主檔'!$D:$D,A1372,'01_異動主檔'!$E:$E,"移出")</f>
        <v/>
      </c>
      <c r="F1372" s="4">
        <f>SUMIFS('01_異動主檔'!$F:$F,'01_異動主檔'!$B:$B,116,'01_異動主檔'!$D:$D,A1372,'01_異動主檔'!$E:$E,"新增")</f>
        <v/>
      </c>
      <c r="G1372" s="4">
        <f>-SUMIFS('01_異動主檔'!$F:$F,'01_異動主檔'!$B:$B,116,'01_異動主檔'!$D:$D,A1372,'01_異動主檔'!$E:$E,"減列")</f>
        <v/>
      </c>
      <c r="H1372" s="4">
        <f>-SUMIFS('01_異動主檔'!$F:$F,'01_異動主檔'!$B:$B,116,'01_異動主檔'!$D:$D,A1372,'01_異動主檔'!$E:$E,"精簡")</f>
        <v/>
      </c>
      <c r="I1372" s="8">
        <f>C1372+D1372+E1372+F1372+G1372+H1372</f>
        <v/>
      </c>
    </row>
    <row r="1373" ht="18" customHeight="1">
      <c r="A1373" s="3" t="inlineStr">
        <is>
          <t>東部辦公室</t>
        </is>
      </c>
      <c r="B1373" s="4" t="n">
        <v>117</v>
      </c>
      <c r="C1373" s="8">
        <f>I1372</f>
        <v/>
      </c>
      <c r="D1373" s="4">
        <f>SUMIFS('01_異動主檔'!$F:$F,'01_異動主檔'!$B:$B,117,'01_異動主檔'!$D:$D,A1373,'01_異動主檔'!$E:$E,"移入")</f>
        <v/>
      </c>
      <c r="E1373" s="4">
        <f>-SUMIFS('01_異動主檔'!$F:$F,'01_異動主檔'!$B:$B,117,'01_異動主檔'!$D:$D,A1373,'01_異動主檔'!$E:$E,"移出")</f>
        <v/>
      </c>
      <c r="F1373" s="4">
        <f>SUMIFS('01_異動主檔'!$F:$F,'01_異動主檔'!$B:$B,117,'01_異動主檔'!$D:$D,A1373,'01_異動主檔'!$E:$E,"新增")</f>
        <v/>
      </c>
      <c r="G1373" s="4">
        <f>-SUMIFS('01_異動主檔'!$F:$F,'01_異動主檔'!$B:$B,117,'01_異動主檔'!$D:$D,A1373,'01_異動主檔'!$E:$E,"減列")</f>
        <v/>
      </c>
      <c r="H1373" s="4">
        <f>-SUMIFS('01_異動主檔'!$F:$F,'01_異動主檔'!$B:$B,117,'01_異動主檔'!$D:$D,A1373,'01_異動主檔'!$E:$E,"精簡")</f>
        <v/>
      </c>
      <c r="I1373" s="8">
        <f>C1373+D1373+E1373+F1373+G1373+H1373</f>
        <v/>
      </c>
    </row>
    <row r="1374" ht="18" customHeight="1">
      <c r="A1374" s="5" t="inlineStr">
        <is>
          <t>東部辦公室</t>
        </is>
      </c>
      <c r="B1374" s="6" t="n">
        <v>118</v>
      </c>
      <c r="C1374" s="8">
        <f>I1373</f>
        <v/>
      </c>
      <c r="D1374" s="4">
        <f>SUMIFS('01_異動主檔'!$F:$F,'01_異動主檔'!$B:$B,118,'01_異動主檔'!$D:$D,A1374,'01_異動主檔'!$E:$E,"移入")</f>
        <v/>
      </c>
      <c r="E1374" s="4">
        <f>-SUMIFS('01_異動主檔'!$F:$F,'01_異動主檔'!$B:$B,118,'01_異動主檔'!$D:$D,A1374,'01_異動主檔'!$E:$E,"移出")</f>
        <v/>
      </c>
      <c r="F1374" s="4">
        <f>SUMIFS('01_異動主檔'!$F:$F,'01_異動主檔'!$B:$B,118,'01_異動主檔'!$D:$D,A1374,'01_異動主檔'!$E:$E,"新增")</f>
        <v/>
      </c>
      <c r="G1374" s="4">
        <f>-SUMIFS('01_異動主檔'!$F:$F,'01_異動主檔'!$B:$B,118,'01_異動主檔'!$D:$D,A1374,'01_異動主檔'!$E:$E,"減列")</f>
        <v/>
      </c>
      <c r="H1374" s="4">
        <f>-SUMIFS('01_異動主檔'!$F:$F,'01_異動主檔'!$B:$B,118,'01_異動主檔'!$D:$D,A1374,'01_異動主檔'!$E:$E,"精簡")</f>
        <v/>
      </c>
      <c r="I1374" s="8">
        <f>C1374+D1374+E1374+F1374+G1374+H1374</f>
        <v/>
      </c>
    </row>
    <row r="1375" ht="18" customHeight="1">
      <c r="A1375" s="3" t="inlineStr">
        <is>
          <t>東部辦公室</t>
        </is>
      </c>
      <c r="B1375" s="4" t="n">
        <v>119</v>
      </c>
      <c r="C1375" s="8">
        <f>I1374</f>
        <v/>
      </c>
      <c r="D1375" s="4">
        <f>SUMIFS('01_異動主檔'!$F:$F,'01_異動主檔'!$B:$B,119,'01_異動主檔'!$D:$D,A1375,'01_異動主檔'!$E:$E,"移入")</f>
        <v/>
      </c>
      <c r="E1375" s="4">
        <f>-SUMIFS('01_異動主檔'!$F:$F,'01_異動主檔'!$B:$B,119,'01_異動主檔'!$D:$D,A1375,'01_異動主檔'!$E:$E,"移出")</f>
        <v/>
      </c>
      <c r="F1375" s="4">
        <f>SUMIFS('01_異動主檔'!$F:$F,'01_異動主檔'!$B:$B,119,'01_異動主檔'!$D:$D,A1375,'01_異動主檔'!$E:$E,"新增")</f>
        <v/>
      </c>
      <c r="G1375" s="4">
        <f>-SUMIFS('01_異動主檔'!$F:$F,'01_異動主檔'!$B:$B,119,'01_異動主檔'!$D:$D,A1375,'01_異動主檔'!$E:$E,"減列")</f>
        <v/>
      </c>
      <c r="H1375" s="4">
        <f>-SUMIFS('01_異動主檔'!$F:$F,'01_異動主檔'!$B:$B,119,'01_異動主檔'!$D:$D,A1375,'01_異動主檔'!$E:$E,"精簡")</f>
        <v/>
      </c>
      <c r="I1375" s="8">
        <f>C1375+D1375+E1375+F1375+G1375+H1375</f>
        <v/>
      </c>
    </row>
    <row r="1376" ht="18" customHeight="1">
      <c r="A1376" s="5" t="inlineStr">
        <is>
          <t>東部辦公室</t>
        </is>
      </c>
      <c r="B1376" s="6" t="n">
        <v>120</v>
      </c>
      <c r="C1376" s="8">
        <f>I1375</f>
        <v/>
      </c>
      <c r="D1376" s="4">
        <f>SUMIFS('01_異動主檔'!$F:$F,'01_異動主檔'!$B:$B,120,'01_異動主檔'!$D:$D,A1376,'01_異動主檔'!$E:$E,"移入")</f>
        <v/>
      </c>
      <c r="E1376" s="4">
        <f>-SUMIFS('01_異動主檔'!$F:$F,'01_異動主檔'!$B:$B,120,'01_異動主檔'!$D:$D,A1376,'01_異動主檔'!$E:$E,"移出")</f>
        <v/>
      </c>
      <c r="F1376" s="4">
        <f>SUMIFS('01_異動主檔'!$F:$F,'01_異動主檔'!$B:$B,120,'01_異動主檔'!$D:$D,A1376,'01_異動主檔'!$E:$E,"新增")</f>
        <v/>
      </c>
      <c r="G1376" s="4">
        <f>-SUMIFS('01_異動主檔'!$F:$F,'01_異動主檔'!$B:$B,120,'01_異動主檔'!$D:$D,A1376,'01_異動主檔'!$E:$E,"減列")</f>
        <v/>
      </c>
      <c r="H1376" s="4">
        <f>-SUMIFS('01_異動主檔'!$F:$F,'01_異動主檔'!$B:$B,120,'01_異動主檔'!$D:$D,A1376,'01_異動主檔'!$E:$E,"精簡")</f>
        <v/>
      </c>
      <c r="I1376" s="8">
        <f>C1376+D1376+E1376+F1376+G1376+H1376</f>
        <v/>
      </c>
    </row>
    <row r="1377" ht="18" customHeight="1">
      <c r="A1377" s="3" t="inlineStr">
        <is>
          <t>東部辦公室</t>
        </is>
      </c>
      <c r="B1377" s="4" t="n">
        <v>121</v>
      </c>
      <c r="C1377" s="8">
        <f>I1376</f>
        <v/>
      </c>
      <c r="D1377" s="4">
        <f>SUMIFS('01_異動主檔'!$F:$F,'01_異動主檔'!$B:$B,121,'01_異動主檔'!$D:$D,A1377,'01_異動主檔'!$E:$E,"移入")</f>
        <v/>
      </c>
      <c r="E1377" s="4">
        <f>-SUMIFS('01_異動主檔'!$F:$F,'01_異動主檔'!$B:$B,121,'01_異動主檔'!$D:$D,A1377,'01_異動主檔'!$E:$E,"移出")</f>
        <v/>
      </c>
      <c r="F1377" s="4">
        <f>SUMIFS('01_異動主檔'!$F:$F,'01_異動主檔'!$B:$B,121,'01_異動主檔'!$D:$D,A1377,'01_異動主檔'!$E:$E,"新增")</f>
        <v/>
      </c>
      <c r="G1377" s="4">
        <f>-SUMIFS('01_異動主檔'!$F:$F,'01_異動主檔'!$B:$B,121,'01_異動主檔'!$D:$D,A1377,'01_異動主檔'!$E:$E,"減列")</f>
        <v/>
      </c>
      <c r="H1377" s="4">
        <f>-SUMIFS('01_異動主檔'!$F:$F,'01_異動主檔'!$B:$B,121,'01_異動主檔'!$D:$D,A1377,'01_異動主檔'!$E:$E,"精簡")</f>
        <v/>
      </c>
      <c r="I1377" s="8">
        <f>C1377+D1377+E1377+F1377+G1377+H1377</f>
        <v/>
      </c>
    </row>
    <row r="1378" ht="18" customHeight="1">
      <c r="A1378" s="5" t="inlineStr">
        <is>
          <t>東部辦公室</t>
        </is>
      </c>
      <c r="B1378" s="6" t="n">
        <v>122</v>
      </c>
      <c r="C1378" s="8">
        <f>I1377</f>
        <v/>
      </c>
      <c r="D1378" s="4">
        <f>SUMIFS('01_異動主檔'!$F:$F,'01_異動主檔'!$B:$B,122,'01_異動主檔'!$D:$D,A1378,'01_異動主檔'!$E:$E,"移入")</f>
        <v/>
      </c>
      <c r="E1378" s="4">
        <f>-SUMIFS('01_異動主檔'!$F:$F,'01_異動主檔'!$B:$B,122,'01_異動主檔'!$D:$D,A1378,'01_異動主檔'!$E:$E,"移出")</f>
        <v/>
      </c>
      <c r="F1378" s="4">
        <f>SUMIFS('01_異動主檔'!$F:$F,'01_異動主檔'!$B:$B,122,'01_異動主檔'!$D:$D,A1378,'01_異動主檔'!$E:$E,"新增")</f>
        <v/>
      </c>
      <c r="G1378" s="4">
        <f>-SUMIFS('01_異動主檔'!$F:$F,'01_異動主檔'!$B:$B,122,'01_異動主檔'!$D:$D,A1378,'01_異動主檔'!$E:$E,"減列")</f>
        <v/>
      </c>
      <c r="H1378" s="4">
        <f>-SUMIFS('01_異動主檔'!$F:$F,'01_異動主檔'!$B:$B,122,'01_異動主檔'!$D:$D,A1378,'01_異動主檔'!$E:$E,"精簡")</f>
        <v/>
      </c>
      <c r="I1378" s="8">
        <f>C1378+D1378+E1378+F1378+G1378+H1378</f>
        <v/>
      </c>
    </row>
    <row r="1379" ht="18" customHeight="1">
      <c r="A1379" s="3" t="inlineStr">
        <is>
          <t>東部辦公室</t>
        </is>
      </c>
      <c r="B1379" s="4" t="n">
        <v>123</v>
      </c>
      <c r="C1379" s="8">
        <f>I1378</f>
        <v/>
      </c>
      <c r="D1379" s="4">
        <f>SUMIFS('01_異動主檔'!$F:$F,'01_異動主檔'!$B:$B,123,'01_異動主檔'!$D:$D,A1379,'01_異動主檔'!$E:$E,"移入")</f>
        <v/>
      </c>
      <c r="E1379" s="4">
        <f>-SUMIFS('01_異動主檔'!$F:$F,'01_異動主檔'!$B:$B,123,'01_異動主檔'!$D:$D,A1379,'01_異動主檔'!$E:$E,"移出")</f>
        <v/>
      </c>
      <c r="F1379" s="4">
        <f>SUMIFS('01_異動主檔'!$F:$F,'01_異動主檔'!$B:$B,123,'01_異動主檔'!$D:$D,A1379,'01_異動主檔'!$E:$E,"新增")</f>
        <v/>
      </c>
      <c r="G1379" s="4">
        <f>-SUMIFS('01_異動主檔'!$F:$F,'01_異動主檔'!$B:$B,123,'01_異動主檔'!$D:$D,A1379,'01_異動主檔'!$E:$E,"減列")</f>
        <v/>
      </c>
      <c r="H1379" s="4">
        <f>-SUMIFS('01_異動主檔'!$F:$F,'01_異動主檔'!$B:$B,123,'01_異動主檔'!$D:$D,A1379,'01_異動主檔'!$E:$E,"精簡")</f>
        <v/>
      </c>
      <c r="I1379" s="8">
        <f>C1379+D1379+E1379+F1379+G1379+H1379</f>
        <v/>
      </c>
    </row>
    <row r="1380" ht="18" customHeight="1">
      <c r="A1380" s="5" t="inlineStr">
        <is>
          <t>東部辦公室</t>
        </is>
      </c>
      <c r="B1380" s="6" t="n">
        <v>124</v>
      </c>
      <c r="C1380" s="8">
        <f>I1379</f>
        <v/>
      </c>
      <c r="D1380" s="4">
        <f>SUMIFS('01_異動主檔'!$F:$F,'01_異動主檔'!$B:$B,124,'01_異動主檔'!$D:$D,A1380,'01_異動主檔'!$E:$E,"移入")</f>
        <v/>
      </c>
      <c r="E1380" s="4">
        <f>-SUMIFS('01_異動主檔'!$F:$F,'01_異動主檔'!$B:$B,124,'01_異動主檔'!$D:$D,A1380,'01_異動主檔'!$E:$E,"移出")</f>
        <v/>
      </c>
      <c r="F1380" s="4">
        <f>SUMIFS('01_異動主檔'!$F:$F,'01_異動主檔'!$B:$B,124,'01_異動主檔'!$D:$D,A1380,'01_異動主檔'!$E:$E,"新增")</f>
        <v/>
      </c>
      <c r="G1380" s="4">
        <f>-SUMIFS('01_異動主檔'!$F:$F,'01_異動主檔'!$B:$B,124,'01_異動主檔'!$D:$D,A1380,'01_異動主檔'!$E:$E,"減列")</f>
        <v/>
      </c>
      <c r="H1380" s="4">
        <f>-SUMIFS('01_異動主檔'!$F:$F,'01_異動主檔'!$B:$B,124,'01_異動主檔'!$D:$D,A1380,'01_異動主檔'!$E:$E,"精簡")</f>
        <v/>
      </c>
      <c r="I1380" s="8">
        <f>C1380+D1380+E1380+F1380+G1380+H1380</f>
        <v/>
      </c>
    </row>
    <row r="1381" ht="18" customHeight="1">
      <c r="A1381" s="3" t="inlineStr">
        <is>
          <t>東部辦公室</t>
        </is>
      </c>
      <c r="B1381" s="4" t="n">
        <v>125</v>
      </c>
      <c r="C1381" s="8">
        <f>I1380</f>
        <v/>
      </c>
      <c r="D1381" s="4">
        <f>SUMIFS('01_異動主檔'!$F:$F,'01_異動主檔'!$B:$B,125,'01_異動主檔'!$D:$D,A1381,'01_異動主檔'!$E:$E,"移入")</f>
        <v/>
      </c>
      <c r="E1381" s="4">
        <f>-SUMIFS('01_異動主檔'!$F:$F,'01_異動主檔'!$B:$B,125,'01_異動主檔'!$D:$D,A1381,'01_異動主檔'!$E:$E,"移出")</f>
        <v/>
      </c>
      <c r="F1381" s="4">
        <f>SUMIFS('01_異動主檔'!$F:$F,'01_異動主檔'!$B:$B,125,'01_異動主檔'!$D:$D,A1381,'01_異動主檔'!$E:$E,"新增")</f>
        <v/>
      </c>
      <c r="G1381" s="4">
        <f>-SUMIFS('01_異動主檔'!$F:$F,'01_異動主檔'!$B:$B,125,'01_異動主檔'!$D:$D,A1381,'01_異動主檔'!$E:$E,"減列")</f>
        <v/>
      </c>
      <c r="H1381" s="4">
        <f>-SUMIFS('01_異動主檔'!$F:$F,'01_異動主檔'!$B:$B,125,'01_異動主檔'!$D:$D,A1381,'01_異動主檔'!$E:$E,"精簡")</f>
        <v/>
      </c>
      <c r="I1381" s="8">
        <f>C1381+D1381+E1381+F1381+G1381+H1381</f>
        <v/>
      </c>
    </row>
    <row r="1382" ht="18" customHeight="1">
      <c r="A1382" s="5" t="inlineStr">
        <is>
          <t>北部辦公室</t>
        </is>
      </c>
      <c r="B1382" s="6" t="n">
        <v>99</v>
      </c>
      <c r="C1382" s="8">
        <f>'02_年初員額設定'!B56</f>
        <v/>
      </c>
      <c r="D1382" s="4">
        <f>SUMIFS('01_異動主檔'!$F:$F,'01_異動主檔'!$B:$B,99,'01_異動主檔'!$D:$D,A1382,'01_異動主檔'!$E:$E,"移入")</f>
        <v/>
      </c>
      <c r="E1382" s="4">
        <f>-SUMIFS('01_異動主檔'!$F:$F,'01_異動主檔'!$B:$B,99,'01_異動主檔'!$D:$D,A1382,'01_異動主檔'!$E:$E,"移出")</f>
        <v/>
      </c>
      <c r="F1382" s="4">
        <f>SUMIFS('01_異動主檔'!$F:$F,'01_異動主檔'!$B:$B,99,'01_異動主檔'!$D:$D,A1382,'01_異動主檔'!$E:$E,"新增")</f>
        <v/>
      </c>
      <c r="G1382" s="4">
        <f>-SUMIFS('01_異動主檔'!$F:$F,'01_異動主檔'!$B:$B,99,'01_異動主檔'!$D:$D,A1382,'01_異動主檔'!$E:$E,"減列")</f>
        <v/>
      </c>
      <c r="H1382" s="4">
        <f>-SUMIFS('01_異動主檔'!$F:$F,'01_異動主檔'!$B:$B,99,'01_異動主檔'!$D:$D,A1382,'01_異動主檔'!$E:$E,"精簡")</f>
        <v/>
      </c>
      <c r="I1382" s="8">
        <f>C1382+D1382+E1382+F1382+G1382+H1382</f>
        <v/>
      </c>
    </row>
    <row r="1383" ht="18" customHeight="1">
      <c r="A1383" s="3" t="inlineStr">
        <is>
          <t>北部辦公室</t>
        </is>
      </c>
      <c r="B1383" s="4" t="n">
        <v>100</v>
      </c>
      <c r="C1383" s="8">
        <f>I1382</f>
        <v/>
      </c>
      <c r="D1383" s="4">
        <f>SUMIFS('01_異動主檔'!$F:$F,'01_異動主檔'!$B:$B,100,'01_異動主檔'!$D:$D,A1383,'01_異動主檔'!$E:$E,"移入")</f>
        <v/>
      </c>
      <c r="E1383" s="4">
        <f>-SUMIFS('01_異動主檔'!$F:$F,'01_異動主檔'!$B:$B,100,'01_異動主檔'!$D:$D,A1383,'01_異動主檔'!$E:$E,"移出")</f>
        <v/>
      </c>
      <c r="F1383" s="4">
        <f>SUMIFS('01_異動主檔'!$F:$F,'01_異動主檔'!$B:$B,100,'01_異動主檔'!$D:$D,A1383,'01_異動主檔'!$E:$E,"新增")</f>
        <v/>
      </c>
      <c r="G1383" s="4">
        <f>-SUMIFS('01_異動主檔'!$F:$F,'01_異動主檔'!$B:$B,100,'01_異動主檔'!$D:$D,A1383,'01_異動主檔'!$E:$E,"減列")</f>
        <v/>
      </c>
      <c r="H1383" s="4">
        <f>-SUMIFS('01_異動主檔'!$F:$F,'01_異動主檔'!$B:$B,100,'01_異動主檔'!$D:$D,A1383,'01_異動主檔'!$E:$E,"精簡")</f>
        <v/>
      </c>
      <c r="I1383" s="8">
        <f>C1383+D1383+E1383+F1383+G1383+H1383</f>
        <v/>
      </c>
    </row>
    <row r="1384" ht="18" customHeight="1">
      <c r="A1384" s="5" t="inlineStr">
        <is>
          <t>北部辦公室</t>
        </is>
      </c>
      <c r="B1384" s="6" t="n">
        <v>101</v>
      </c>
      <c r="C1384" s="8">
        <f>I1383</f>
        <v/>
      </c>
      <c r="D1384" s="4">
        <f>SUMIFS('01_異動主檔'!$F:$F,'01_異動主檔'!$B:$B,101,'01_異動主檔'!$D:$D,A1384,'01_異動主檔'!$E:$E,"移入")</f>
        <v/>
      </c>
      <c r="E1384" s="4">
        <f>-SUMIFS('01_異動主檔'!$F:$F,'01_異動主檔'!$B:$B,101,'01_異動主檔'!$D:$D,A1384,'01_異動主檔'!$E:$E,"移出")</f>
        <v/>
      </c>
      <c r="F1384" s="4">
        <f>SUMIFS('01_異動主檔'!$F:$F,'01_異動主檔'!$B:$B,101,'01_異動主檔'!$D:$D,A1384,'01_異動主檔'!$E:$E,"新增")</f>
        <v/>
      </c>
      <c r="G1384" s="4">
        <f>-SUMIFS('01_異動主檔'!$F:$F,'01_異動主檔'!$B:$B,101,'01_異動主檔'!$D:$D,A1384,'01_異動主檔'!$E:$E,"減列")</f>
        <v/>
      </c>
      <c r="H1384" s="4">
        <f>-SUMIFS('01_異動主檔'!$F:$F,'01_異動主檔'!$B:$B,101,'01_異動主檔'!$D:$D,A1384,'01_異動主檔'!$E:$E,"精簡")</f>
        <v/>
      </c>
      <c r="I1384" s="8">
        <f>C1384+D1384+E1384+F1384+G1384+H1384</f>
        <v/>
      </c>
    </row>
    <row r="1385" ht="18" customHeight="1">
      <c r="A1385" s="3" t="inlineStr">
        <is>
          <t>北部辦公室</t>
        </is>
      </c>
      <c r="B1385" s="4" t="n">
        <v>102</v>
      </c>
      <c r="C1385" s="8">
        <f>I1384</f>
        <v/>
      </c>
      <c r="D1385" s="4">
        <f>SUMIFS('01_異動主檔'!$F:$F,'01_異動主檔'!$B:$B,102,'01_異動主檔'!$D:$D,A1385,'01_異動主檔'!$E:$E,"移入")</f>
        <v/>
      </c>
      <c r="E1385" s="4">
        <f>-SUMIFS('01_異動主檔'!$F:$F,'01_異動主檔'!$B:$B,102,'01_異動主檔'!$D:$D,A1385,'01_異動主檔'!$E:$E,"移出")</f>
        <v/>
      </c>
      <c r="F1385" s="4">
        <f>SUMIFS('01_異動主檔'!$F:$F,'01_異動主檔'!$B:$B,102,'01_異動主檔'!$D:$D,A1385,'01_異動主檔'!$E:$E,"新增")</f>
        <v/>
      </c>
      <c r="G1385" s="4">
        <f>-SUMIFS('01_異動主檔'!$F:$F,'01_異動主檔'!$B:$B,102,'01_異動主檔'!$D:$D,A1385,'01_異動主檔'!$E:$E,"減列")</f>
        <v/>
      </c>
      <c r="H1385" s="4">
        <f>-SUMIFS('01_異動主檔'!$F:$F,'01_異動主檔'!$B:$B,102,'01_異動主檔'!$D:$D,A1385,'01_異動主檔'!$E:$E,"精簡")</f>
        <v/>
      </c>
      <c r="I1385" s="8">
        <f>C1385+D1385+E1385+F1385+G1385+H1385</f>
        <v/>
      </c>
    </row>
    <row r="1386" ht="18" customHeight="1">
      <c r="A1386" s="5" t="inlineStr">
        <is>
          <t>北部辦公室</t>
        </is>
      </c>
      <c r="B1386" s="6" t="n">
        <v>103</v>
      </c>
      <c r="C1386" s="8">
        <f>I1385</f>
        <v/>
      </c>
      <c r="D1386" s="4">
        <f>SUMIFS('01_異動主檔'!$F:$F,'01_異動主檔'!$B:$B,103,'01_異動主檔'!$D:$D,A1386,'01_異動主檔'!$E:$E,"移入")</f>
        <v/>
      </c>
      <c r="E1386" s="4">
        <f>-SUMIFS('01_異動主檔'!$F:$F,'01_異動主檔'!$B:$B,103,'01_異動主檔'!$D:$D,A1386,'01_異動主檔'!$E:$E,"移出")</f>
        <v/>
      </c>
      <c r="F1386" s="4">
        <f>SUMIFS('01_異動主檔'!$F:$F,'01_異動主檔'!$B:$B,103,'01_異動主檔'!$D:$D,A1386,'01_異動主檔'!$E:$E,"新增")</f>
        <v/>
      </c>
      <c r="G1386" s="4">
        <f>-SUMIFS('01_異動主檔'!$F:$F,'01_異動主檔'!$B:$B,103,'01_異動主檔'!$D:$D,A1386,'01_異動主檔'!$E:$E,"減列")</f>
        <v/>
      </c>
      <c r="H1386" s="4">
        <f>-SUMIFS('01_異動主檔'!$F:$F,'01_異動主檔'!$B:$B,103,'01_異動主檔'!$D:$D,A1386,'01_異動主檔'!$E:$E,"精簡")</f>
        <v/>
      </c>
      <c r="I1386" s="8">
        <f>C1386+D1386+E1386+F1386+G1386+H1386</f>
        <v/>
      </c>
    </row>
    <row r="1387" ht="18" customHeight="1">
      <c r="A1387" s="3" t="inlineStr">
        <is>
          <t>北部辦公室</t>
        </is>
      </c>
      <c r="B1387" s="4" t="n">
        <v>104</v>
      </c>
      <c r="C1387" s="8">
        <f>I1386</f>
        <v/>
      </c>
      <c r="D1387" s="4">
        <f>SUMIFS('01_異動主檔'!$F:$F,'01_異動主檔'!$B:$B,104,'01_異動主檔'!$D:$D,A1387,'01_異動主檔'!$E:$E,"移入")</f>
        <v/>
      </c>
      <c r="E1387" s="4">
        <f>-SUMIFS('01_異動主檔'!$F:$F,'01_異動主檔'!$B:$B,104,'01_異動主檔'!$D:$D,A1387,'01_異動主檔'!$E:$E,"移出")</f>
        <v/>
      </c>
      <c r="F1387" s="4">
        <f>SUMIFS('01_異動主檔'!$F:$F,'01_異動主檔'!$B:$B,104,'01_異動主檔'!$D:$D,A1387,'01_異動主檔'!$E:$E,"新增")</f>
        <v/>
      </c>
      <c r="G1387" s="4">
        <f>-SUMIFS('01_異動主檔'!$F:$F,'01_異動主檔'!$B:$B,104,'01_異動主檔'!$D:$D,A1387,'01_異動主檔'!$E:$E,"減列")</f>
        <v/>
      </c>
      <c r="H1387" s="4">
        <f>-SUMIFS('01_異動主檔'!$F:$F,'01_異動主檔'!$B:$B,104,'01_異動主檔'!$D:$D,A1387,'01_異動主檔'!$E:$E,"精簡")</f>
        <v/>
      </c>
      <c r="I1387" s="8">
        <f>C1387+D1387+E1387+F1387+G1387+H1387</f>
        <v/>
      </c>
    </row>
    <row r="1388" ht="18" customHeight="1">
      <c r="A1388" s="5" t="inlineStr">
        <is>
          <t>北部辦公室</t>
        </is>
      </c>
      <c r="B1388" s="6" t="n">
        <v>105</v>
      </c>
      <c r="C1388" s="8">
        <f>I1387</f>
        <v/>
      </c>
      <c r="D1388" s="4">
        <f>SUMIFS('01_異動主檔'!$F:$F,'01_異動主檔'!$B:$B,105,'01_異動主檔'!$D:$D,A1388,'01_異動主檔'!$E:$E,"移入")</f>
        <v/>
      </c>
      <c r="E1388" s="4">
        <f>-SUMIFS('01_異動主檔'!$F:$F,'01_異動主檔'!$B:$B,105,'01_異動主檔'!$D:$D,A1388,'01_異動主檔'!$E:$E,"移出")</f>
        <v/>
      </c>
      <c r="F1388" s="4">
        <f>SUMIFS('01_異動主檔'!$F:$F,'01_異動主檔'!$B:$B,105,'01_異動主檔'!$D:$D,A1388,'01_異動主檔'!$E:$E,"新增")</f>
        <v/>
      </c>
      <c r="G1388" s="4">
        <f>-SUMIFS('01_異動主檔'!$F:$F,'01_異動主檔'!$B:$B,105,'01_異動主檔'!$D:$D,A1388,'01_異動主檔'!$E:$E,"減列")</f>
        <v/>
      </c>
      <c r="H1388" s="4">
        <f>-SUMIFS('01_異動主檔'!$F:$F,'01_異動主檔'!$B:$B,105,'01_異動主檔'!$D:$D,A1388,'01_異動主檔'!$E:$E,"精簡")</f>
        <v/>
      </c>
      <c r="I1388" s="8">
        <f>C1388+D1388+E1388+F1388+G1388+H1388</f>
        <v/>
      </c>
    </row>
    <row r="1389" ht="18" customHeight="1">
      <c r="A1389" s="3" t="inlineStr">
        <is>
          <t>北部辦公室</t>
        </is>
      </c>
      <c r="B1389" s="4" t="n">
        <v>106</v>
      </c>
      <c r="C1389" s="8">
        <f>I1388</f>
        <v/>
      </c>
      <c r="D1389" s="4">
        <f>SUMIFS('01_異動主檔'!$F:$F,'01_異動主檔'!$B:$B,106,'01_異動主檔'!$D:$D,A1389,'01_異動主檔'!$E:$E,"移入")</f>
        <v/>
      </c>
      <c r="E1389" s="4">
        <f>-SUMIFS('01_異動主檔'!$F:$F,'01_異動主檔'!$B:$B,106,'01_異動主檔'!$D:$D,A1389,'01_異動主檔'!$E:$E,"移出")</f>
        <v/>
      </c>
      <c r="F1389" s="4">
        <f>SUMIFS('01_異動主檔'!$F:$F,'01_異動主檔'!$B:$B,106,'01_異動主檔'!$D:$D,A1389,'01_異動主檔'!$E:$E,"新增")</f>
        <v/>
      </c>
      <c r="G1389" s="4">
        <f>-SUMIFS('01_異動主檔'!$F:$F,'01_異動主檔'!$B:$B,106,'01_異動主檔'!$D:$D,A1389,'01_異動主檔'!$E:$E,"減列")</f>
        <v/>
      </c>
      <c r="H1389" s="4">
        <f>-SUMIFS('01_異動主檔'!$F:$F,'01_異動主檔'!$B:$B,106,'01_異動主檔'!$D:$D,A1389,'01_異動主檔'!$E:$E,"精簡")</f>
        <v/>
      </c>
      <c r="I1389" s="8">
        <f>C1389+D1389+E1389+F1389+G1389+H1389</f>
        <v/>
      </c>
    </row>
    <row r="1390" ht="18" customHeight="1">
      <c r="A1390" s="5" t="inlineStr">
        <is>
          <t>北部辦公室</t>
        </is>
      </c>
      <c r="B1390" s="6" t="n">
        <v>107</v>
      </c>
      <c r="C1390" s="8">
        <f>I1389</f>
        <v/>
      </c>
      <c r="D1390" s="4">
        <f>SUMIFS('01_異動主檔'!$F:$F,'01_異動主檔'!$B:$B,107,'01_異動主檔'!$D:$D,A1390,'01_異動主檔'!$E:$E,"移入")</f>
        <v/>
      </c>
      <c r="E1390" s="4">
        <f>-SUMIFS('01_異動主檔'!$F:$F,'01_異動主檔'!$B:$B,107,'01_異動主檔'!$D:$D,A1390,'01_異動主檔'!$E:$E,"移出")</f>
        <v/>
      </c>
      <c r="F1390" s="4">
        <f>SUMIFS('01_異動主檔'!$F:$F,'01_異動主檔'!$B:$B,107,'01_異動主檔'!$D:$D,A1390,'01_異動主檔'!$E:$E,"新增")</f>
        <v/>
      </c>
      <c r="G1390" s="4">
        <f>-SUMIFS('01_異動主檔'!$F:$F,'01_異動主檔'!$B:$B,107,'01_異動主檔'!$D:$D,A1390,'01_異動主檔'!$E:$E,"減列")</f>
        <v/>
      </c>
      <c r="H1390" s="4">
        <f>-SUMIFS('01_異動主檔'!$F:$F,'01_異動主檔'!$B:$B,107,'01_異動主檔'!$D:$D,A1390,'01_異動主檔'!$E:$E,"精簡")</f>
        <v/>
      </c>
      <c r="I1390" s="8">
        <f>C1390+D1390+E1390+F1390+G1390+H1390</f>
        <v/>
      </c>
    </row>
    <row r="1391" ht="18" customHeight="1">
      <c r="A1391" s="3" t="inlineStr">
        <is>
          <t>北部辦公室</t>
        </is>
      </c>
      <c r="B1391" s="4" t="n">
        <v>108</v>
      </c>
      <c r="C1391" s="8">
        <f>I1390</f>
        <v/>
      </c>
      <c r="D1391" s="4">
        <f>SUMIFS('01_異動主檔'!$F:$F,'01_異動主檔'!$B:$B,108,'01_異動主檔'!$D:$D,A1391,'01_異動主檔'!$E:$E,"移入")</f>
        <v/>
      </c>
      <c r="E1391" s="4">
        <f>-SUMIFS('01_異動主檔'!$F:$F,'01_異動主檔'!$B:$B,108,'01_異動主檔'!$D:$D,A1391,'01_異動主檔'!$E:$E,"移出")</f>
        <v/>
      </c>
      <c r="F1391" s="4">
        <f>SUMIFS('01_異動主檔'!$F:$F,'01_異動主檔'!$B:$B,108,'01_異動主檔'!$D:$D,A1391,'01_異動主檔'!$E:$E,"新增")</f>
        <v/>
      </c>
      <c r="G1391" s="4">
        <f>-SUMIFS('01_異動主檔'!$F:$F,'01_異動主檔'!$B:$B,108,'01_異動主檔'!$D:$D,A1391,'01_異動主檔'!$E:$E,"減列")</f>
        <v/>
      </c>
      <c r="H1391" s="4">
        <f>-SUMIFS('01_異動主檔'!$F:$F,'01_異動主檔'!$B:$B,108,'01_異動主檔'!$D:$D,A1391,'01_異動主檔'!$E:$E,"精簡")</f>
        <v/>
      </c>
      <c r="I1391" s="8">
        <f>C1391+D1391+E1391+F1391+G1391+H1391</f>
        <v/>
      </c>
    </row>
    <row r="1392" ht="18" customHeight="1">
      <c r="A1392" s="5" t="inlineStr">
        <is>
          <t>北部辦公室</t>
        </is>
      </c>
      <c r="B1392" s="6" t="n">
        <v>109</v>
      </c>
      <c r="C1392" s="8">
        <f>I1391</f>
        <v/>
      </c>
      <c r="D1392" s="4">
        <f>SUMIFS('01_異動主檔'!$F:$F,'01_異動主檔'!$B:$B,109,'01_異動主檔'!$D:$D,A1392,'01_異動主檔'!$E:$E,"移入")</f>
        <v/>
      </c>
      <c r="E1392" s="4">
        <f>-SUMIFS('01_異動主檔'!$F:$F,'01_異動主檔'!$B:$B,109,'01_異動主檔'!$D:$D,A1392,'01_異動主檔'!$E:$E,"移出")</f>
        <v/>
      </c>
      <c r="F1392" s="4">
        <f>SUMIFS('01_異動主檔'!$F:$F,'01_異動主檔'!$B:$B,109,'01_異動主檔'!$D:$D,A1392,'01_異動主檔'!$E:$E,"新增")</f>
        <v/>
      </c>
      <c r="G1392" s="4">
        <f>-SUMIFS('01_異動主檔'!$F:$F,'01_異動主檔'!$B:$B,109,'01_異動主檔'!$D:$D,A1392,'01_異動主檔'!$E:$E,"減列")</f>
        <v/>
      </c>
      <c r="H1392" s="4">
        <f>-SUMIFS('01_異動主檔'!$F:$F,'01_異動主檔'!$B:$B,109,'01_異動主檔'!$D:$D,A1392,'01_異動主檔'!$E:$E,"精簡")</f>
        <v/>
      </c>
      <c r="I1392" s="8">
        <f>C1392+D1392+E1392+F1392+G1392+H1392</f>
        <v/>
      </c>
    </row>
    <row r="1393" ht="18" customHeight="1">
      <c r="A1393" s="3" t="inlineStr">
        <is>
          <t>北部辦公室</t>
        </is>
      </c>
      <c r="B1393" s="4" t="n">
        <v>110</v>
      </c>
      <c r="C1393" s="8">
        <f>I1392</f>
        <v/>
      </c>
      <c r="D1393" s="4">
        <f>SUMIFS('01_異動主檔'!$F:$F,'01_異動主檔'!$B:$B,110,'01_異動主檔'!$D:$D,A1393,'01_異動主檔'!$E:$E,"移入")</f>
        <v/>
      </c>
      <c r="E1393" s="4">
        <f>-SUMIFS('01_異動主檔'!$F:$F,'01_異動主檔'!$B:$B,110,'01_異動主檔'!$D:$D,A1393,'01_異動主檔'!$E:$E,"移出")</f>
        <v/>
      </c>
      <c r="F1393" s="4">
        <f>SUMIFS('01_異動主檔'!$F:$F,'01_異動主檔'!$B:$B,110,'01_異動主檔'!$D:$D,A1393,'01_異動主檔'!$E:$E,"新增")</f>
        <v/>
      </c>
      <c r="G1393" s="4">
        <f>-SUMIFS('01_異動主檔'!$F:$F,'01_異動主檔'!$B:$B,110,'01_異動主檔'!$D:$D,A1393,'01_異動主檔'!$E:$E,"減列")</f>
        <v/>
      </c>
      <c r="H1393" s="4">
        <f>-SUMIFS('01_異動主檔'!$F:$F,'01_異動主檔'!$B:$B,110,'01_異動主檔'!$D:$D,A1393,'01_異動主檔'!$E:$E,"精簡")</f>
        <v/>
      </c>
      <c r="I1393" s="8">
        <f>C1393+D1393+E1393+F1393+G1393+H1393</f>
        <v/>
      </c>
    </row>
    <row r="1394" ht="18" customHeight="1">
      <c r="A1394" s="5" t="inlineStr">
        <is>
          <t>北部辦公室</t>
        </is>
      </c>
      <c r="B1394" s="6" t="n">
        <v>111</v>
      </c>
      <c r="C1394" s="8">
        <f>I1393</f>
        <v/>
      </c>
      <c r="D1394" s="4">
        <f>SUMIFS('01_異動主檔'!$F:$F,'01_異動主檔'!$B:$B,111,'01_異動主檔'!$D:$D,A1394,'01_異動主檔'!$E:$E,"移入")</f>
        <v/>
      </c>
      <c r="E1394" s="4">
        <f>-SUMIFS('01_異動主檔'!$F:$F,'01_異動主檔'!$B:$B,111,'01_異動主檔'!$D:$D,A1394,'01_異動主檔'!$E:$E,"移出")</f>
        <v/>
      </c>
      <c r="F1394" s="4">
        <f>SUMIFS('01_異動主檔'!$F:$F,'01_異動主檔'!$B:$B,111,'01_異動主檔'!$D:$D,A1394,'01_異動主檔'!$E:$E,"新增")</f>
        <v/>
      </c>
      <c r="G1394" s="4">
        <f>-SUMIFS('01_異動主檔'!$F:$F,'01_異動主檔'!$B:$B,111,'01_異動主檔'!$D:$D,A1394,'01_異動主檔'!$E:$E,"減列")</f>
        <v/>
      </c>
      <c r="H1394" s="4">
        <f>-SUMIFS('01_異動主檔'!$F:$F,'01_異動主檔'!$B:$B,111,'01_異動主檔'!$D:$D,A1394,'01_異動主檔'!$E:$E,"精簡")</f>
        <v/>
      </c>
      <c r="I1394" s="8">
        <f>C1394+D1394+E1394+F1394+G1394+H1394</f>
        <v/>
      </c>
    </row>
    <row r="1395" ht="18" customHeight="1">
      <c r="A1395" s="3" t="inlineStr">
        <is>
          <t>北部辦公室</t>
        </is>
      </c>
      <c r="B1395" s="4" t="n">
        <v>112</v>
      </c>
      <c r="C1395" s="8">
        <f>I1394</f>
        <v/>
      </c>
      <c r="D1395" s="4">
        <f>SUMIFS('01_異動主檔'!$F:$F,'01_異動主檔'!$B:$B,112,'01_異動主檔'!$D:$D,A1395,'01_異動主檔'!$E:$E,"移入")</f>
        <v/>
      </c>
      <c r="E1395" s="4">
        <f>-SUMIFS('01_異動主檔'!$F:$F,'01_異動主檔'!$B:$B,112,'01_異動主檔'!$D:$D,A1395,'01_異動主檔'!$E:$E,"移出")</f>
        <v/>
      </c>
      <c r="F1395" s="4">
        <f>SUMIFS('01_異動主檔'!$F:$F,'01_異動主檔'!$B:$B,112,'01_異動主檔'!$D:$D,A1395,'01_異動主檔'!$E:$E,"新增")</f>
        <v/>
      </c>
      <c r="G1395" s="4">
        <f>-SUMIFS('01_異動主檔'!$F:$F,'01_異動主檔'!$B:$B,112,'01_異動主檔'!$D:$D,A1395,'01_異動主檔'!$E:$E,"減列")</f>
        <v/>
      </c>
      <c r="H1395" s="4">
        <f>-SUMIFS('01_異動主檔'!$F:$F,'01_異動主檔'!$B:$B,112,'01_異動主檔'!$D:$D,A1395,'01_異動主檔'!$E:$E,"精簡")</f>
        <v/>
      </c>
      <c r="I1395" s="8">
        <f>C1395+D1395+E1395+F1395+G1395+H1395</f>
        <v/>
      </c>
    </row>
    <row r="1396" ht="18" customHeight="1">
      <c r="A1396" s="5" t="inlineStr">
        <is>
          <t>北部辦公室</t>
        </is>
      </c>
      <c r="B1396" s="6" t="n">
        <v>113</v>
      </c>
      <c r="C1396" s="8">
        <f>I1395</f>
        <v/>
      </c>
      <c r="D1396" s="4">
        <f>SUMIFS('01_異動主檔'!$F:$F,'01_異動主檔'!$B:$B,113,'01_異動主檔'!$D:$D,A1396,'01_異動主檔'!$E:$E,"移入")</f>
        <v/>
      </c>
      <c r="E1396" s="4">
        <f>-SUMIFS('01_異動主檔'!$F:$F,'01_異動主檔'!$B:$B,113,'01_異動主檔'!$D:$D,A1396,'01_異動主檔'!$E:$E,"移出")</f>
        <v/>
      </c>
      <c r="F1396" s="4">
        <f>SUMIFS('01_異動主檔'!$F:$F,'01_異動主檔'!$B:$B,113,'01_異動主檔'!$D:$D,A1396,'01_異動主檔'!$E:$E,"新增")</f>
        <v/>
      </c>
      <c r="G1396" s="4">
        <f>-SUMIFS('01_異動主檔'!$F:$F,'01_異動主檔'!$B:$B,113,'01_異動主檔'!$D:$D,A1396,'01_異動主檔'!$E:$E,"減列")</f>
        <v/>
      </c>
      <c r="H1396" s="4">
        <f>-SUMIFS('01_異動主檔'!$F:$F,'01_異動主檔'!$B:$B,113,'01_異動主檔'!$D:$D,A1396,'01_異動主檔'!$E:$E,"精簡")</f>
        <v/>
      </c>
      <c r="I1396" s="8">
        <f>C1396+D1396+E1396+F1396+G1396+H1396</f>
        <v/>
      </c>
    </row>
    <row r="1397" ht="18" customHeight="1">
      <c r="A1397" s="3" t="inlineStr">
        <is>
          <t>北部辦公室</t>
        </is>
      </c>
      <c r="B1397" s="4" t="n">
        <v>114</v>
      </c>
      <c r="C1397" s="8">
        <f>I1396</f>
        <v/>
      </c>
      <c r="D1397" s="4">
        <f>SUMIFS('01_異動主檔'!$F:$F,'01_異動主檔'!$B:$B,114,'01_異動主檔'!$D:$D,A1397,'01_異動主檔'!$E:$E,"移入")</f>
        <v/>
      </c>
      <c r="E1397" s="4">
        <f>-SUMIFS('01_異動主檔'!$F:$F,'01_異動主檔'!$B:$B,114,'01_異動主檔'!$D:$D,A1397,'01_異動主檔'!$E:$E,"移出")</f>
        <v/>
      </c>
      <c r="F1397" s="4">
        <f>SUMIFS('01_異動主檔'!$F:$F,'01_異動主檔'!$B:$B,114,'01_異動主檔'!$D:$D,A1397,'01_異動主檔'!$E:$E,"新增")</f>
        <v/>
      </c>
      <c r="G1397" s="4">
        <f>-SUMIFS('01_異動主檔'!$F:$F,'01_異動主檔'!$B:$B,114,'01_異動主檔'!$D:$D,A1397,'01_異動主檔'!$E:$E,"減列")</f>
        <v/>
      </c>
      <c r="H1397" s="4">
        <f>-SUMIFS('01_異動主檔'!$F:$F,'01_異動主檔'!$B:$B,114,'01_異動主檔'!$D:$D,A1397,'01_異動主檔'!$E:$E,"精簡")</f>
        <v/>
      </c>
      <c r="I1397" s="8">
        <f>C1397+D1397+E1397+F1397+G1397+H1397</f>
        <v/>
      </c>
    </row>
    <row r="1398" ht="18" customHeight="1">
      <c r="A1398" s="5" t="inlineStr">
        <is>
          <t>北部辦公室</t>
        </is>
      </c>
      <c r="B1398" s="6" t="n">
        <v>115</v>
      </c>
      <c r="C1398" s="8">
        <f>I1397</f>
        <v/>
      </c>
      <c r="D1398" s="4">
        <f>SUMIFS('01_異動主檔'!$F:$F,'01_異動主檔'!$B:$B,115,'01_異動主檔'!$D:$D,A1398,'01_異動主檔'!$E:$E,"移入")</f>
        <v/>
      </c>
      <c r="E1398" s="4">
        <f>-SUMIFS('01_異動主檔'!$F:$F,'01_異動主檔'!$B:$B,115,'01_異動主檔'!$D:$D,A1398,'01_異動主檔'!$E:$E,"移出")</f>
        <v/>
      </c>
      <c r="F1398" s="4">
        <f>SUMIFS('01_異動主檔'!$F:$F,'01_異動主檔'!$B:$B,115,'01_異動主檔'!$D:$D,A1398,'01_異動主檔'!$E:$E,"新增")</f>
        <v/>
      </c>
      <c r="G1398" s="4">
        <f>-SUMIFS('01_異動主檔'!$F:$F,'01_異動主檔'!$B:$B,115,'01_異動主檔'!$D:$D,A1398,'01_異動主檔'!$E:$E,"減列")</f>
        <v/>
      </c>
      <c r="H1398" s="4">
        <f>-SUMIFS('01_異動主檔'!$F:$F,'01_異動主檔'!$B:$B,115,'01_異動主檔'!$D:$D,A1398,'01_異動主檔'!$E:$E,"精簡")</f>
        <v/>
      </c>
      <c r="I1398" s="8">
        <f>C1398+D1398+E1398+F1398+G1398+H1398</f>
        <v/>
      </c>
    </row>
    <row r="1399" ht="18" customHeight="1">
      <c r="A1399" s="3" t="inlineStr">
        <is>
          <t>北部辦公室</t>
        </is>
      </c>
      <c r="B1399" s="4" t="n">
        <v>116</v>
      </c>
      <c r="C1399" s="8">
        <f>I1398</f>
        <v/>
      </c>
      <c r="D1399" s="4">
        <f>SUMIFS('01_異動主檔'!$F:$F,'01_異動主檔'!$B:$B,116,'01_異動主檔'!$D:$D,A1399,'01_異動主檔'!$E:$E,"移入")</f>
        <v/>
      </c>
      <c r="E1399" s="4">
        <f>-SUMIFS('01_異動主檔'!$F:$F,'01_異動主檔'!$B:$B,116,'01_異動主檔'!$D:$D,A1399,'01_異動主檔'!$E:$E,"移出")</f>
        <v/>
      </c>
      <c r="F1399" s="4">
        <f>SUMIFS('01_異動主檔'!$F:$F,'01_異動主檔'!$B:$B,116,'01_異動主檔'!$D:$D,A1399,'01_異動主檔'!$E:$E,"新增")</f>
        <v/>
      </c>
      <c r="G1399" s="4">
        <f>-SUMIFS('01_異動主檔'!$F:$F,'01_異動主檔'!$B:$B,116,'01_異動主檔'!$D:$D,A1399,'01_異動主檔'!$E:$E,"減列")</f>
        <v/>
      </c>
      <c r="H1399" s="4">
        <f>-SUMIFS('01_異動主檔'!$F:$F,'01_異動主檔'!$B:$B,116,'01_異動主檔'!$D:$D,A1399,'01_異動主檔'!$E:$E,"精簡")</f>
        <v/>
      </c>
      <c r="I1399" s="8">
        <f>C1399+D1399+E1399+F1399+G1399+H1399</f>
        <v/>
      </c>
    </row>
    <row r="1400" ht="18" customHeight="1">
      <c r="A1400" s="5" t="inlineStr">
        <is>
          <t>北部辦公室</t>
        </is>
      </c>
      <c r="B1400" s="6" t="n">
        <v>117</v>
      </c>
      <c r="C1400" s="8">
        <f>I1399</f>
        <v/>
      </c>
      <c r="D1400" s="4">
        <f>SUMIFS('01_異動主檔'!$F:$F,'01_異動主檔'!$B:$B,117,'01_異動主檔'!$D:$D,A1400,'01_異動主檔'!$E:$E,"移入")</f>
        <v/>
      </c>
      <c r="E1400" s="4">
        <f>-SUMIFS('01_異動主檔'!$F:$F,'01_異動主檔'!$B:$B,117,'01_異動主檔'!$D:$D,A1400,'01_異動主檔'!$E:$E,"移出")</f>
        <v/>
      </c>
      <c r="F1400" s="4">
        <f>SUMIFS('01_異動主檔'!$F:$F,'01_異動主檔'!$B:$B,117,'01_異動主檔'!$D:$D,A1400,'01_異動主檔'!$E:$E,"新增")</f>
        <v/>
      </c>
      <c r="G1400" s="4">
        <f>-SUMIFS('01_異動主檔'!$F:$F,'01_異動主檔'!$B:$B,117,'01_異動主檔'!$D:$D,A1400,'01_異動主檔'!$E:$E,"減列")</f>
        <v/>
      </c>
      <c r="H1400" s="4">
        <f>-SUMIFS('01_異動主檔'!$F:$F,'01_異動主檔'!$B:$B,117,'01_異動主檔'!$D:$D,A1400,'01_異動主檔'!$E:$E,"精簡")</f>
        <v/>
      </c>
      <c r="I1400" s="8">
        <f>C1400+D1400+E1400+F1400+G1400+H1400</f>
        <v/>
      </c>
    </row>
    <row r="1401" ht="18" customHeight="1">
      <c r="A1401" s="3" t="inlineStr">
        <is>
          <t>北部辦公室</t>
        </is>
      </c>
      <c r="B1401" s="4" t="n">
        <v>118</v>
      </c>
      <c r="C1401" s="8">
        <f>I1400</f>
        <v/>
      </c>
      <c r="D1401" s="4">
        <f>SUMIFS('01_異動主檔'!$F:$F,'01_異動主檔'!$B:$B,118,'01_異動主檔'!$D:$D,A1401,'01_異動主檔'!$E:$E,"移入")</f>
        <v/>
      </c>
      <c r="E1401" s="4">
        <f>-SUMIFS('01_異動主檔'!$F:$F,'01_異動主檔'!$B:$B,118,'01_異動主檔'!$D:$D,A1401,'01_異動主檔'!$E:$E,"移出")</f>
        <v/>
      </c>
      <c r="F1401" s="4">
        <f>SUMIFS('01_異動主檔'!$F:$F,'01_異動主檔'!$B:$B,118,'01_異動主檔'!$D:$D,A1401,'01_異動主檔'!$E:$E,"新增")</f>
        <v/>
      </c>
      <c r="G1401" s="4">
        <f>-SUMIFS('01_異動主檔'!$F:$F,'01_異動主檔'!$B:$B,118,'01_異動主檔'!$D:$D,A1401,'01_異動主檔'!$E:$E,"減列")</f>
        <v/>
      </c>
      <c r="H1401" s="4">
        <f>-SUMIFS('01_異動主檔'!$F:$F,'01_異動主檔'!$B:$B,118,'01_異動主檔'!$D:$D,A1401,'01_異動主檔'!$E:$E,"精簡")</f>
        <v/>
      </c>
      <c r="I1401" s="8">
        <f>C1401+D1401+E1401+F1401+G1401+H1401</f>
        <v/>
      </c>
    </row>
    <row r="1402" ht="18" customHeight="1">
      <c r="A1402" s="5" t="inlineStr">
        <is>
          <t>北部辦公室</t>
        </is>
      </c>
      <c r="B1402" s="6" t="n">
        <v>119</v>
      </c>
      <c r="C1402" s="8">
        <f>I1401</f>
        <v/>
      </c>
      <c r="D1402" s="4">
        <f>SUMIFS('01_異動主檔'!$F:$F,'01_異動主檔'!$B:$B,119,'01_異動主檔'!$D:$D,A1402,'01_異動主檔'!$E:$E,"移入")</f>
        <v/>
      </c>
      <c r="E1402" s="4">
        <f>-SUMIFS('01_異動主檔'!$F:$F,'01_異動主檔'!$B:$B,119,'01_異動主檔'!$D:$D,A1402,'01_異動主檔'!$E:$E,"移出")</f>
        <v/>
      </c>
      <c r="F1402" s="4">
        <f>SUMIFS('01_異動主檔'!$F:$F,'01_異動主檔'!$B:$B,119,'01_異動主檔'!$D:$D,A1402,'01_異動主檔'!$E:$E,"新增")</f>
        <v/>
      </c>
      <c r="G1402" s="4">
        <f>-SUMIFS('01_異動主檔'!$F:$F,'01_異動主檔'!$B:$B,119,'01_異動主檔'!$D:$D,A1402,'01_異動主檔'!$E:$E,"減列")</f>
        <v/>
      </c>
      <c r="H1402" s="4">
        <f>-SUMIFS('01_異動主檔'!$F:$F,'01_異動主檔'!$B:$B,119,'01_異動主檔'!$D:$D,A1402,'01_異動主檔'!$E:$E,"精簡")</f>
        <v/>
      </c>
      <c r="I1402" s="8">
        <f>C1402+D1402+E1402+F1402+G1402+H1402</f>
        <v/>
      </c>
    </row>
    <row r="1403" ht="18" customHeight="1">
      <c r="A1403" s="3" t="inlineStr">
        <is>
          <t>北部辦公室</t>
        </is>
      </c>
      <c r="B1403" s="4" t="n">
        <v>120</v>
      </c>
      <c r="C1403" s="8">
        <f>I1402</f>
        <v/>
      </c>
      <c r="D1403" s="4">
        <f>SUMIFS('01_異動主檔'!$F:$F,'01_異動主檔'!$B:$B,120,'01_異動主檔'!$D:$D,A1403,'01_異動主檔'!$E:$E,"移入")</f>
        <v/>
      </c>
      <c r="E1403" s="4">
        <f>-SUMIFS('01_異動主檔'!$F:$F,'01_異動主檔'!$B:$B,120,'01_異動主檔'!$D:$D,A1403,'01_異動主檔'!$E:$E,"移出")</f>
        <v/>
      </c>
      <c r="F1403" s="4">
        <f>SUMIFS('01_異動主檔'!$F:$F,'01_異動主檔'!$B:$B,120,'01_異動主檔'!$D:$D,A1403,'01_異動主檔'!$E:$E,"新增")</f>
        <v/>
      </c>
      <c r="G1403" s="4">
        <f>-SUMIFS('01_異動主檔'!$F:$F,'01_異動主檔'!$B:$B,120,'01_異動主檔'!$D:$D,A1403,'01_異動主檔'!$E:$E,"減列")</f>
        <v/>
      </c>
      <c r="H1403" s="4">
        <f>-SUMIFS('01_異動主檔'!$F:$F,'01_異動主檔'!$B:$B,120,'01_異動主檔'!$D:$D,A1403,'01_異動主檔'!$E:$E,"精簡")</f>
        <v/>
      </c>
      <c r="I1403" s="8">
        <f>C1403+D1403+E1403+F1403+G1403+H1403</f>
        <v/>
      </c>
    </row>
    <row r="1404" ht="18" customHeight="1">
      <c r="A1404" s="5" t="inlineStr">
        <is>
          <t>北部辦公室</t>
        </is>
      </c>
      <c r="B1404" s="6" t="n">
        <v>121</v>
      </c>
      <c r="C1404" s="8">
        <f>I1403</f>
        <v/>
      </c>
      <c r="D1404" s="4">
        <f>SUMIFS('01_異動主檔'!$F:$F,'01_異動主檔'!$B:$B,121,'01_異動主檔'!$D:$D,A1404,'01_異動主檔'!$E:$E,"移入")</f>
        <v/>
      </c>
      <c r="E1404" s="4">
        <f>-SUMIFS('01_異動主檔'!$F:$F,'01_異動主檔'!$B:$B,121,'01_異動主檔'!$D:$D,A1404,'01_異動主檔'!$E:$E,"移出")</f>
        <v/>
      </c>
      <c r="F1404" s="4">
        <f>SUMIFS('01_異動主檔'!$F:$F,'01_異動主檔'!$B:$B,121,'01_異動主檔'!$D:$D,A1404,'01_異動主檔'!$E:$E,"新增")</f>
        <v/>
      </c>
      <c r="G1404" s="4">
        <f>-SUMIFS('01_異動主檔'!$F:$F,'01_異動主檔'!$B:$B,121,'01_異動主檔'!$D:$D,A1404,'01_異動主檔'!$E:$E,"減列")</f>
        <v/>
      </c>
      <c r="H1404" s="4">
        <f>-SUMIFS('01_異動主檔'!$F:$F,'01_異動主檔'!$B:$B,121,'01_異動主檔'!$D:$D,A1404,'01_異動主檔'!$E:$E,"精簡")</f>
        <v/>
      </c>
      <c r="I1404" s="8">
        <f>C1404+D1404+E1404+F1404+G1404+H1404</f>
        <v/>
      </c>
    </row>
    <row r="1405" ht="18" customHeight="1">
      <c r="A1405" s="3" t="inlineStr">
        <is>
          <t>北部辦公室</t>
        </is>
      </c>
      <c r="B1405" s="4" t="n">
        <v>122</v>
      </c>
      <c r="C1405" s="8">
        <f>I1404</f>
        <v/>
      </c>
      <c r="D1405" s="4">
        <f>SUMIFS('01_異動主檔'!$F:$F,'01_異動主檔'!$B:$B,122,'01_異動主檔'!$D:$D,A1405,'01_異動主檔'!$E:$E,"移入")</f>
        <v/>
      </c>
      <c r="E1405" s="4">
        <f>-SUMIFS('01_異動主檔'!$F:$F,'01_異動主檔'!$B:$B,122,'01_異動主檔'!$D:$D,A1405,'01_異動主檔'!$E:$E,"移出")</f>
        <v/>
      </c>
      <c r="F1405" s="4">
        <f>SUMIFS('01_異動主檔'!$F:$F,'01_異動主檔'!$B:$B,122,'01_異動主檔'!$D:$D,A1405,'01_異動主檔'!$E:$E,"新增")</f>
        <v/>
      </c>
      <c r="G1405" s="4">
        <f>-SUMIFS('01_異動主檔'!$F:$F,'01_異動主檔'!$B:$B,122,'01_異動主檔'!$D:$D,A1405,'01_異動主檔'!$E:$E,"減列")</f>
        <v/>
      </c>
      <c r="H1405" s="4">
        <f>-SUMIFS('01_異動主檔'!$F:$F,'01_異動主檔'!$B:$B,122,'01_異動主檔'!$D:$D,A1405,'01_異動主檔'!$E:$E,"精簡")</f>
        <v/>
      </c>
      <c r="I1405" s="8">
        <f>C1405+D1405+E1405+F1405+G1405+H1405</f>
        <v/>
      </c>
    </row>
    <row r="1406" ht="18" customHeight="1">
      <c r="A1406" s="5" t="inlineStr">
        <is>
          <t>北部辦公室</t>
        </is>
      </c>
      <c r="B1406" s="6" t="n">
        <v>123</v>
      </c>
      <c r="C1406" s="8">
        <f>I1405</f>
        <v/>
      </c>
      <c r="D1406" s="4">
        <f>SUMIFS('01_異動主檔'!$F:$F,'01_異動主檔'!$B:$B,123,'01_異動主檔'!$D:$D,A1406,'01_異動主檔'!$E:$E,"移入")</f>
        <v/>
      </c>
      <c r="E1406" s="4">
        <f>-SUMIFS('01_異動主檔'!$F:$F,'01_異動主檔'!$B:$B,123,'01_異動主檔'!$D:$D,A1406,'01_異動主檔'!$E:$E,"移出")</f>
        <v/>
      </c>
      <c r="F1406" s="4">
        <f>SUMIFS('01_異動主檔'!$F:$F,'01_異動主檔'!$B:$B,123,'01_異動主檔'!$D:$D,A1406,'01_異動主檔'!$E:$E,"新增")</f>
        <v/>
      </c>
      <c r="G1406" s="4">
        <f>-SUMIFS('01_異動主檔'!$F:$F,'01_異動主檔'!$B:$B,123,'01_異動主檔'!$D:$D,A1406,'01_異動主檔'!$E:$E,"減列")</f>
        <v/>
      </c>
      <c r="H1406" s="4">
        <f>-SUMIFS('01_異動主檔'!$F:$F,'01_異動主檔'!$B:$B,123,'01_異動主檔'!$D:$D,A1406,'01_異動主檔'!$E:$E,"精簡")</f>
        <v/>
      </c>
      <c r="I1406" s="8">
        <f>C1406+D1406+E1406+F1406+G1406+H1406</f>
        <v/>
      </c>
    </row>
    <row r="1407" ht="18" customHeight="1">
      <c r="A1407" s="3" t="inlineStr">
        <is>
          <t>北部辦公室</t>
        </is>
      </c>
      <c r="B1407" s="4" t="n">
        <v>124</v>
      </c>
      <c r="C1407" s="8">
        <f>I1406</f>
        <v/>
      </c>
      <c r="D1407" s="4">
        <f>SUMIFS('01_異動主檔'!$F:$F,'01_異動主檔'!$B:$B,124,'01_異動主檔'!$D:$D,A1407,'01_異動主檔'!$E:$E,"移入")</f>
        <v/>
      </c>
      <c r="E1407" s="4">
        <f>-SUMIFS('01_異動主檔'!$F:$F,'01_異動主檔'!$B:$B,124,'01_異動主檔'!$D:$D,A1407,'01_異動主檔'!$E:$E,"移出")</f>
        <v/>
      </c>
      <c r="F1407" s="4">
        <f>SUMIFS('01_異動主檔'!$F:$F,'01_異動主檔'!$B:$B,124,'01_異動主檔'!$D:$D,A1407,'01_異動主檔'!$E:$E,"新增")</f>
        <v/>
      </c>
      <c r="G1407" s="4">
        <f>-SUMIFS('01_異動主檔'!$F:$F,'01_異動主檔'!$B:$B,124,'01_異動主檔'!$D:$D,A1407,'01_異動主檔'!$E:$E,"減列")</f>
        <v/>
      </c>
      <c r="H1407" s="4">
        <f>-SUMIFS('01_異動主檔'!$F:$F,'01_異動主檔'!$B:$B,124,'01_異動主檔'!$D:$D,A1407,'01_異動主檔'!$E:$E,"精簡")</f>
        <v/>
      </c>
      <c r="I1407" s="8">
        <f>C1407+D1407+E1407+F1407+G1407+H1407</f>
        <v/>
      </c>
    </row>
    <row r="1408" ht="18" customHeight="1">
      <c r="A1408" s="5" t="inlineStr">
        <is>
          <t>北部辦公室</t>
        </is>
      </c>
      <c r="B1408" s="6" t="n">
        <v>125</v>
      </c>
      <c r="C1408" s="8">
        <f>I1407</f>
        <v/>
      </c>
      <c r="D1408" s="4">
        <f>SUMIFS('01_異動主檔'!$F:$F,'01_異動主檔'!$B:$B,125,'01_異動主檔'!$D:$D,A1408,'01_異動主檔'!$E:$E,"移入")</f>
        <v/>
      </c>
      <c r="E1408" s="4">
        <f>-SUMIFS('01_異動主檔'!$F:$F,'01_異動主檔'!$B:$B,125,'01_異動主檔'!$D:$D,A1408,'01_異動主檔'!$E:$E,"移出")</f>
        <v/>
      </c>
      <c r="F1408" s="4">
        <f>SUMIFS('01_異動主檔'!$F:$F,'01_異動主檔'!$B:$B,125,'01_異動主檔'!$D:$D,A1408,'01_異動主檔'!$E:$E,"新增")</f>
        <v/>
      </c>
      <c r="G1408" s="4">
        <f>-SUMIFS('01_異動主檔'!$F:$F,'01_異動主檔'!$B:$B,125,'01_異動主檔'!$D:$D,A1408,'01_異動主檔'!$E:$E,"減列")</f>
        <v/>
      </c>
      <c r="H1408" s="4">
        <f>-SUMIFS('01_異動主檔'!$F:$F,'01_異動主檔'!$B:$B,125,'01_異動主檔'!$D:$D,A1408,'01_異動主檔'!$E:$E,"精簡")</f>
        <v/>
      </c>
      <c r="I1408" s="8">
        <f>C1408+D1408+E1408+F1408+G1408+H1408</f>
        <v/>
      </c>
    </row>
    <row r="1409" ht="18" customHeight="1">
      <c r="A1409" s="3" t="inlineStr">
        <is>
          <t>離島辦公室</t>
        </is>
      </c>
      <c r="B1409" s="4" t="n">
        <v>99</v>
      </c>
      <c r="C1409" s="8">
        <f>'02_年初員額設定'!B57</f>
        <v/>
      </c>
      <c r="D1409" s="4">
        <f>SUMIFS('01_異動主檔'!$F:$F,'01_異動主檔'!$B:$B,99,'01_異動主檔'!$D:$D,A1409,'01_異動主檔'!$E:$E,"移入")</f>
        <v/>
      </c>
      <c r="E1409" s="4">
        <f>-SUMIFS('01_異動主檔'!$F:$F,'01_異動主檔'!$B:$B,99,'01_異動主檔'!$D:$D,A1409,'01_異動主檔'!$E:$E,"移出")</f>
        <v/>
      </c>
      <c r="F1409" s="4">
        <f>SUMIFS('01_異動主檔'!$F:$F,'01_異動主檔'!$B:$B,99,'01_異動主檔'!$D:$D,A1409,'01_異動主檔'!$E:$E,"新增")</f>
        <v/>
      </c>
      <c r="G1409" s="4">
        <f>-SUMIFS('01_異動主檔'!$F:$F,'01_異動主檔'!$B:$B,99,'01_異動主檔'!$D:$D,A1409,'01_異動主檔'!$E:$E,"減列")</f>
        <v/>
      </c>
      <c r="H1409" s="4">
        <f>-SUMIFS('01_異動主檔'!$F:$F,'01_異動主檔'!$B:$B,99,'01_異動主檔'!$D:$D,A1409,'01_異動主檔'!$E:$E,"精簡")</f>
        <v/>
      </c>
      <c r="I1409" s="8">
        <f>C1409+D1409+E1409+F1409+G1409+H1409</f>
        <v/>
      </c>
    </row>
    <row r="1410" ht="18" customHeight="1">
      <c r="A1410" s="5" t="inlineStr">
        <is>
          <t>離島辦公室</t>
        </is>
      </c>
      <c r="B1410" s="6" t="n">
        <v>100</v>
      </c>
      <c r="C1410" s="8">
        <f>I1409</f>
        <v/>
      </c>
      <c r="D1410" s="4">
        <f>SUMIFS('01_異動主檔'!$F:$F,'01_異動主檔'!$B:$B,100,'01_異動主檔'!$D:$D,A1410,'01_異動主檔'!$E:$E,"移入")</f>
        <v/>
      </c>
      <c r="E1410" s="4">
        <f>-SUMIFS('01_異動主檔'!$F:$F,'01_異動主檔'!$B:$B,100,'01_異動主檔'!$D:$D,A1410,'01_異動主檔'!$E:$E,"移出")</f>
        <v/>
      </c>
      <c r="F1410" s="4">
        <f>SUMIFS('01_異動主檔'!$F:$F,'01_異動主檔'!$B:$B,100,'01_異動主檔'!$D:$D,A1410,'01_異動主檔'!$E:$E,"新增")</f>
        <v/>
      </c>
      <c r="G1410" s="4">
        <f>-SUMIFS('01_異動主檔'!$F:$F,'01_異動主檔'!$B:$B,100,'01_異動主檔'!$D:$D,A1410,'01_異動主檔'!$E:$E,"減列")</f>
        <v/>
      </c>
      <c r="H1410" s="4">
        <f>-SUMIFS('01_異動主檔'!$F:$F,'01_異動主檔'!$B:$B,100,'01_異動主檔'!$D:$D,A1410,'01_異動主檔'!$E:$E,"精簡")</f>
        <v/>
      </c>
      <c r="I1410" s="8">
        <f>C1410+D1410+E1410+F1410+G1410+H1410</f>
        <v/>
      </c>
    </row>
    <row r="1411" ht="18" customHeight="1">
      <c r="A1411" s="3" t="inlineStr">
        <is>
          <t>離島辦公室</t>
        </is>
      </c>
      <c r="B1411" s="4" t="n">
        <v>101</v>
      </c>
      <c r="C1411" s="8">
        <f>I1410</f>
        <v/>
      </c>
      <c r="D1411" s="4">
        <f>SUMIFS('01_異動主檔'!$F:$F,'01_異動主檔'!$B:$B,101,'01_異動主檔'!$D:$D,A1411,'01_異動主檔'!$E:$E,"移入")</f>
        <v/>
      </c>
      <c r="E1411" s="4">
        <f>-SUMIFS('01_異動主檔'!$F:$F,'01_異動主檔'!$B:$B,101,'01_異動主檔'!$D:$D,A1411,'01_異動主檔'!$E:$E,"移出")</f>
        <v/>
      </c>
      <c r="F1411" s="4">
        <f>SUMIFS('01_異動主檔'!$F:$F,'01_異動主檔'!$B:$B,101,'01_異動主檔'!$D:$D,A1411,'01_異動主檔'!$E:$E,"新增")</f>
        <v/>
      </c>
      <c r="G1411" s="4">
        <f>-SUMIFS('01_異動主檔'!$F:$F,'01_異動主檔'!$B:$B,101,'01_異動主檔'!$D:$D,A1411,'01_異動主檔'!$E:$E,"減列")</f>
        <v/>
      </c>
      <c r="H1411" s="4">
        <f>-SUMIFS('01_異動主檔'!$F:$F,'01_異動主檔'!$B:$B,101,'01_異動主檔'!$D:$D,A1411,'01_異動主檔'!$E:$E,"精簡")</f>
        <v/>
      </c>
      <c r="I1411" s="8">
        <f>C1411+D1411+E1411+F1411+G1411+H1411</f>
        <v/>
      </c>
    </row>
    <row r="1412" ht="18" customHeight="1">
      <c r="A1412" s="5" t="inlineStr">
        <is>
          <t>離島辦公室</t>
        </is>
      </c>
      <c r="B1412" s="6" t="n">
        <v>102</v>
      </c>
      <c r="C1412" s="8">
        <f>I1411</f>
        <v/>
      </c>
      <c r="D1412" s="4">
        <f>SUMIFS('01_異動主檔'!$F:$F,'01_異動主檔'!$B:$B,102,'01_異動主檔'!$D:$D,A1412,'01_異動主檔'!$E:$E,"移入")</f>
        <v/>
      </c>
      <c r="E1412" s="4">
        <f>-SUMIFS('01_異動主檔'!$F:$F,'01_異動主檔'!$B:$B,102,'01_異動主檔'!$D:$D,A1412,'01_異動主檔'!$E:$E,"移出")</f>
        <v/>
      </c>
      <c r="F1412" s="4">
        <f>SUMIFS('01_異動主檔'!$F:$F,'01_異動主檔'!$B:$B,102,'01_異動主檔'!$D:$D,A1412,'01_異動主檔'!$E:$E,"新增")</f>
        <v/>
      </c>
      <c r="G1412" s="4">
        <f>-SUMIFS('01_異動主檔'!$F:$F,'01_異動主檔'!$B:$B,102,'01_異動主檔'!$D:$D,A1412,'01_異動主檔'!$E:$E,"減列")</f>
        <v/>
      </c>
      <c r="H1412" s="4">
        <f>-SUMIFS('01_異動主檔'!$F:$F,'01_異動主檔'!$B:$B,102,'01_異動主檔'!$D:$D,A1412,'01_異動主檔'!$E:$E,"精簡")</f>
        <v/>
      </c>
      <c r="I1412" s="8">
        <f>C1412+D1412+E1412+F1412+G1412+H1412</f>
        <v/>
      </c>
    </row>
    <row r="1413" ht="18" customHeight="1">
      <c r="A1413" s="3" t="inlineStr">
        <is>
          <t>離島辦公室</t>
        </is>
      </c>
      <c r="B1413" s="4" t="n">
        <v>103</v>
      </c>
      <c r="C1413" s="8">
        <f>I1412</f>
        <v/>
      </c>
      <c r="D1413" s="4">
        <f>SUMIFS('01_異動主檔'!$F:$F,'01_異動主檔'!$B:$B,103,'01_異動主檔'!$D:$D,A1413,'01_異動主檔'!$E:$E,"移入")</f>
        <v/>
      </c>
      <c r="E1413" s="4">
        <f>-SUMIFS('01_異動主檔'!$F:$F,'01_異動主檔'!$B:$B,103,'01_異動主檔'!$D:$D,A1413,'01_異動主檔'!$E:$E,"移出")</f>
        <v/>
      </c>
      <c r="F1413" s="4">
        <f>SUMIFS('01_異動主檔'!$F:$F,'01_異動主檔'!$B:$B,103,'01_異動主檔'!$D:$D,A1413,'01_異動主檔'!$E:$E,"新增")</f>
        <v/>
      </c>
      <c r="G1413" s="4">
        <f>-SUMIFS('01_異動主檔'!$F:$F,'01_異動主檔'!$B:$B,103,'01_異動主檔'!$D:$D,A1413,'01_異動主檔'!$E:$E,"減列")</f>
        <v/>
      </c>
      <c r="H1413" s="4">
        <f>-SUMIFS('01_異動主檔'!$F:$F,'01_異動主檔'!$B:$B,103,'01_異動主檔'!$D:$D,A1413,'01_異動主檔'!$E:$E,"精簡")</f>
        <v/>
      </c>
      <c r="I1413" s="8">
        <f>C1413+D1413+E1413+F1413+G1413+H1413</f>
        <v/>
      </c>
    </row>
    <row r="1414" ht="18" customHeight="1">
      <c r="A1414" s="5" t="inlineStr">
        <is>
          <t>離島辦公室</t>
        </is>
      </c>
      <c r="B1414" s="6" t="n">
        <v>104</v>
      </c>
      <c r="C1414" s="8">
        <f>I1413</f>
        <v/>
      </c>
      <c r="D1414" s="4">
        <f>SUMIFS('01_異動主檔'!$F:$F,'01_異動主檔'!$B:$B,104,'01_異動主檔'!$D:$D,A1414,'01_異動主檔'!$E:$E,"移入")</f>
        <v/>
      </c>
      <c r="E1414" s="4">
        <f>-SUMIFS('01_異動主檔'!$F:$F,'01_異動主檔'!$B:$B,104,'01_異動主檔'!$D:$D,A1414,'01_異動主檔'!$E:$E,"移出")</f>
        <v/>
      </c>
      <c r="F1414" s="4">
        <f>SUMIFS('01_異動主檔'!$F:$F,'01_異動主檔'!$B:$B,104,'01_異動主檔'!$D:$D,A1414,'01_異動主檔'!$E:$E,"新增")</f>
        <v/>
      </c>
      <c r="G1414" s="4">
        <f>-SUMIFS('01_異動主檔'!$F:$F,'01_異動主檔'!$B:$B,104,'01_異動主檔'!$D:$D,A1414,'01_異動主檔'!$E:$E,"減列")</f>
        <v/>
      </c>
      <c r="H1414" s="4">
        <f>-SUMIFS('01_異動主檔'!$F:$F,'01_異動主檔'!$B:$B,104,'01_異動主檔'!$D:$D,A1414,'01_異動主檔'!$E:$E,"精簡")</f>
        <v/>
      </c>
      <c r="I1414" s="8">
        <f>C1414+D1414+E1414+F1414+G1414+H1414</f>
        <v/>
      </c>
    </row>
    <row r="1415" ht="18" customHeight="1">
      <c r="A1415" s="3" t="inlineStr">
        <is>
          <t>離島辦公室</t>
        </is>
      </c>
      <c r="B1415" s="4" t="n">
        <v>105</v>
      </c>
      <c r="C1415" s="8">
        <f>I1414</f>
        <v/>
      </c>
      <c r="D1415" s="4">
        <f>SUMIFS('01_異動主檔'!$F:$F,'01_異動主檔'!$B:$B,105,'01_異動主檔'!$D:$D,A1415,'01_異動主檔'!$E:$E,"移入")</f>
        <v/>
      </c>
      <c r="E1415" s="4">
        <f>-SUMIFS('01_異動主檔'!$F:$F,'01_異動主檔'!$B:$B,105,'01_異動主檔'!$D:$D,A1415,'01_異動主檔'!$E:$E,"移出")</f>
        <v/>
      </c>
      <c r="F1415" s="4">
        <f>SUMIFS('01_異動主檔'!$F:$F,'01_異動主檔'!$B:$B,105,'01_異動主檔'!$D:$D,A1415,'01_異動主檔'!$E:$E,"新增")</f>
        <v/>
      </c>
      <c r="G1415" s="4">
        <f>-SUMIFS('01_異動主檔'!$F:$F,'01_異動主檔'!$B:$B,105,'01_異動主檔'!$D:$D,A1415,'01_異動主檔'!$E:$E,"減列")</f>
        <v/>
      </c>
      <c r="H1415" s="4">
        <f>-SUMIFS('01_異動主檔'!$F:$F,'01_異動主檔'!$B:$B,105,'01_異動主檔'!$D:$D,A1415,'01_異動主檔'!$E:$E,"精簡")</f>
        <v/>
      </c>
      <c r="I1415" s="8">
        <f>C1415+D1415+E1415+F1415+G1415+H1415</f>
        <v/>
      </c>
    </row>
    <row r="1416" ht="18" customHeight="1">
      <c r="A1416" s="5" t="inlineStr">
        <is>
          <t>離島辦公室</t>
        </is>
      </c>
      <c r="B1416" s="6" t="n">
        <v>106</v>
      </c>
      <c r="C1416" s="8">
        <f>I1415</f>
        <v/>
      </c>
      <c r="D1416" s="4">
        <f>SUMIFS('01_異動主檔'!$F:$F,'01_異動主檔'!$B:$B,106,'01_異動主檔'!$D:$D,A1416,'01_異動主檔'!$E:$E,"移入")</f>
        <v/>
      </c>
      <c r="E1416" s="4">
        <f>-SUMIFS('01_異動主檔'!$F:$F,'01_異動主檔'!$B:$B,106,'01_異動主檔'!$D:$D,A1416,'01_異動主檔'!$E:$E,"移出")</f>
        <v/>
      </c>
      <c r="F1416" s="4">
        <f>SUMIFS('01_異動主檔'!$F:$F,'01_異動主檔'!$B:$B,106,'01_異動主檔'!$D:$D,A1416,'01_異動主檔'!$E:$E,"新增")</f>
        <v/>
      </c>
      <c r="G1416" s="4">
        <f>-SUMIFS('01_異動主檔'!$F:$F,'01_異動主檔'!$B:$B,106,'01_異動主檔'!$D:$D,A1416,'01_異動主檔'!$E:$E,"減列")</f>
        <v/>
      </c>
      <c r="H1416" s="4">
        <f>-SUMIFS('01_異動主檔'!$F:$F,'01_異動主檔'!$B:$B,106,'01_異動主檔'!$D:$D,A1416,'01_異動主檔'!$E:$E,"精簡")</f>
        <v/>
      </c>
      <c r="I1416" s="8">
        <f>C1416+D1416+E1416+F1416+G1416+H1416</f>
        <v/>
      </c>
    </row>
    <row r="1417" ht="18" customHeight="1">
      <c r="A1417" s="3" t="inlineStr">
        <is>
          <t>離島辦公室</t>
        </is>
      </c>
      <c r="B1417" s="4" t="n">
        <v>107</v>
      </c>
      <c r="C1417" s="8">
        <f>I1416</f>
        <v/>
      </c>
      <c r="D1417" s="4">
        <f>SUMIFS('01_異動主檔'!$F:$F,'01_異動主檔'!$B:$B,107,'01_異動主檔'!$D:$D,A1417,'01_異動主檔'!$E:$E,"移入")</f>
        <v/>
      </c>
      <c r="E1417" s="4">
        <f>-SUMIFS('01_異動主檔'!$F:$F,'01_異動主檔'!$B:$B,107,'01_異動主檔'!$D:$D,A1417,'01_異動主檔'!$E:$E,"移出")</f>
        <v/>
      </c>
      <c r="F1417" s="4">
        <f>SUMIFS('01_異動主檔'!$F:$F,'01_異動主檔'!$B:$B,107,'01_異動主檔'!$D:$D,A1417,'01_異動主檔'!$E:$E,"新增")</f>
        <v/>
      </c>
      <c r="G1417" s="4">
        <f>-SUMIFS('01_異動主檔'!$F:$F,'01_異動主檔'!$B:$B,107,'01_異動主檔'!$D:$D,A1417,'01_異動主檔'!$E:$E,"減列")</f>
        <v/>
      </c>
      <c r="H1417" s="4">
        <f>-SUMIFS('01_異動主檔'!$F:$F,'01_異動主檔'!$B:$B,107,'01_異動主檔'!$D:$D,A1417,'01_異動主檔'!$E:$E,"精簡")</f>
        <v/>
      </c>
      <c r="I1417" s="8">
        <f>C1417+D1417+E1417+F1417+G1417+H1417</f>
        <v/>
      </c>
    </row>
    <row r="1418" ht="18" customHeight="1">
      <c r="A1418" s="5" t="inlineStr">
        <is>
          <t>離島辦公室</t>
        </is>
      </c>
      <c r="B1418" s="6" t="n">
        <v>108</v>
      </c>
      <c r="C1418" s="8">
        <f>I1417</f>
        <v/>
      </c>
      <c r="D1418" s="4">
        <f>SUMIFS('01_異動主檔'!$F:$F,'01_異動主檔'!$B:$B,108,'01_異動主檔'!$D:$D,A1418,'01_異動主檔'!$E:$E,"移入")</f>
        <v/>
      </c>
      <c r="E1418" s="4">
        <f>-SUMIFS('01_異動主檔'!$F:$F,'01_異動主檔'!$B:$B,108,'01_異動主檔'!$D:$D,A1418,'01_異動主檔'!$E:$E,"移出")</f>
        <v/>
      </c>
      <c r="F1418" s="4">
        <f>SUMIFS('01_異動主檔'!$F:$F,'01_異動主檔'!$B:$B,108,'01_異動主檔'!$D:$D,A1418,'01_異動主檔'!$E:$E,"新增")</f>
        <v/>
      </c>
      <c r="G1418" s="4">
        <f>-SUMIFS('01_異動主檔'!$F:$F,'01_異動主檔'!$B:$B,108,'01_異動主檔'!$D:$D,A1418,'01_異動主檔'!$E:$E,"減列")</f>
        <v/>
      </c>
      <c r="H1418" s="4">
        <f>-SUMIFS('01_異動主檔'!$F:$F,'01_異動主檔'!$B:$B,108,'01_異動主檔'!$D:$D,A1418,'01_異動主檔'!$E:$E,"精簡")</f>
        <v/>
      </c>
      <c r="I1418" s="8">
        <f>C1418+D1418+E1418+F1418+G1418+H1418</f>
        <v/>
      </c>
    </row>
    <row r="1419" ht="18" customHeight="1">
      <c r="A1419" s="3" t="inlineStr">
        <is>
          <t>離島辦公室</t>
        </is>
      </c>
      <c r="B1419" s="4" t="n">
        <v>109</v>
      </c>
      <c r="C1419" s="8">
        <f>I1418</f>
        <v/>
      </c>
      <c r="D1419" s="4">
        <f>SUMIFS('01_異動主檔'!$F:$F,'01_異動主檔'!$B:$B,109,'01_異動主檔'!$D:$D,A1419,'01_異動主檔'!$E:$E,"移入")</f>
        <v/>
      </c>
      <c r="E1419" s="4">
        <f>-SUMIFS('01_異動主檔'!$F:$F,'01_異動主檔'!$B:$B,109,'01_異動主檔'!$D:$D,A1419,'01_異動主檔'!$E:$E,"移出")</f>
        <v/>
      </c>
      <c r="F1419" s="4">
        <f>SUMIFS('01_異動主檔'!$F:$F,'01_異動主檔'!$B:$B,109,'01_異動主檔'!$D:$D,A1419,'01_異動主檔'!$E:$E,"新增")</f>
        <v/>
      </c>
      <c r="G1419" s="4">
        <f>-SUMIFS('01_異動主檔'!$F:$F,'01_異動主檔'!$B:$B,109,'01_異動主檔'!$D:$D,A1419,'01_異動主檔'!$E:$E,"減列")</f>
        <v/>
      </c>
      <c r="H1419" s="4">
        <f>-SUMIFS('01_異動主檔'!$F:$F,'01_異動主檔'!$B:$B,109,'01_異動主檔'!$D:$D,A1419,'01_異動主檔'!$E:$E,"精簡")</f>
        <v/>
      </c>
      <c r="I1419" s="8">
        <f>C1419+D1419+E1419+F1419+G1419+H1419</f>
        <v/>
      </c>
    </row>
    <row r="1420" ht="18" customHeight="1">
      <c r="A1420" s="5" t="inlineStr">
        <is>
          <t>離島辦公室</t>
        </is>
      </c>
      <c r="B1420" s="6" t="n">
        <v>110</v>
      </c>
      <c r="C1420" s="8">
        <f>I1419</f>
        <v/>
      </c>
      <c r="D1420" s="4">
        <f>SUMIFS('01_異動主檔'!$F:$F,'01_異動主檔'!$B:$B,110,'01_異動主檔'!$D:$D,A1420,'01_異動主檔'!$E:$E,"移入")</f>
        <v/>
      </c>
      <c r="E1420" s="4">
        <f>-SUMIFS('01_異動主檔'!$F:$F,'01_異動主檔'!$B:$B,110,'01_異動主檔'!$D:$D,A1420,'01_異動主檔'!$E:$E,"移出")</f>
        <v/>
      </c>
      <c r="F1420" s="4">
        <f>SUMIFS('01_異動主檔'!$F:$F,'01_異動主檔'!$B:$B,110,'01_異動主檔'!$D:$D,A1420,'01_異動主檔'!$E:$E,"新增")</f>
        <v/>
      </c>
      <c r="G1420" s="4">
        <f>-SUMIFS('01_異動主檔'!$F:$F,'01_異動主檔'!$B:$B,110,'01_異動主檔'!$D:$D,A1420,'01_異動主檔'!$E:$E,"減列")</f>
        <v/>
      </c>
      <c r="H1420" s="4">
        <f>-SUMIFS('01_異動主檔'!$F:$F,'01_異動主檔'!$B:$B,110,'01_異動主檔'!$D:$D,A1420,'01_異動主檔'!$E:$E,"精簡")</f>
        <v/>
      </c>
      <c r="I1420" s="8">
        <f>C1420+D1420+E1420+F1420+G1420+H1420</f>
        <v/>
      </c>
    </row>
    <row r="1421" ht="18" customHeight="1">
      <c r="A1421" s="3" t="inlineStr">
        <is>
          <t>離島辦公室</t>
        </is>
      </c>
      <c r="B1421" s="4" t="n">
        <v>111</v>
      </c>
      <c r="C1421" s="8">
        <f>I1420</f>
        <v/>
      </c>
      <c r="D1421" s="4">
        <f>SUMIFS('01_異動主檔'!$F:$F,'01_異動主檔'!$B:$B,111,'01_異動主檔'!$D:$D,A1421,'01_異動主檔'!$E:$E,"移入")</f>
        <v/>
      </c>
      <c r="E1421" s="4">
        <f>-SUMIFS('01_異動主檔'!$F:$F,'01_異動主檔'!$B:$B,111,'01_異動主檔'!$D:$D,A1421,'01_異動主檔'!$E:$E,"移出")</f>
        <v/>
      </c>
      <c r="F1421" s="4">
        <f>SUMIFS('01_異動主檔'!$F:$F,'01_異動主檔'!$B:$B,111,'01_異動主檔'!$D:$D,A1421,'01_異動主檔'!$E:$E,"新增")</f>
        <v/>
      </c>
      <c r="G1421" s="4">
        <f>-SUMIFS('01_異動主檔'!$F:$F,'01_異動主檔'!$B:$B,111,'01_異動主檔'!$D:$D,A1421,'01_異動主檔'!$E:$E,"減列")</f>
        <v/>
      </c>
      <c r="H1421" s="4">
        <f>-SUMIFS('01_異動主檔'!$F:$F,'01_異動主檔'!$B:$B,111,'01_異動主檔'!$D:$D,A1421,'01_異動主檔'!$E:$E,"精簡")</f>
        <v/>
      </c>
      <c r="I1421" s="8">
        <f>C1421+D1421+E1421+F1421+G1421+H1421</f>
        <v/>
      </c>
    </row>
    <row r="1422" ht="18" customHeight="1">
      <c r="A1422" s="5" t="inlineStr">
        <is>
          <t>離島辦公室</t>
        </is>
      </c>
      <c r="B1422" s="6" t="n">
        <v>112</v>
      </c>
      <c r="C1422" s="8">
        <f>I1421</f>
        <v/>
      </c>
      <c r="D1422" s="4">
        <f>SUMIFS('01_異動主檔'!$F:$F,'01_異動主檔'!$B:$B,112,'01_異動主檔'!$D:$D,A1422,'01_異動主檔'!$E:$E,"移入")</f>
        <v/>
      </c>
      <c r="E1422" s="4">
        <f>-SUMIFS('01_異動主檔'!$F:$F,'01_異動主檔'!$B:$B,112,'01_異動主檔'!$D:$D,A1422,'01_異動主檔'!$E:$E,"移出")</f>
        <v/>
      </c>
      <c r="F1422" s="4">
        <f>SUMIFS('01_異動主檔'!$F:$F,'01_異動主檔'!$B:$B,112,'01_異動主檔'!$D:$D,A1422,'01_異動主檔'!$E:$E,"新增")</f>
        <v/>
      </c>
      <c r="G1422" s="4">
        <f>-SUMIFS('01_異動主檔'!$F:$F,'01_異動主檔'!$B:$B,112,'01_異動主檔'!$D:$D,A1422,'01_異動主檔'!$E:$E,"減列")</f>
        <v/>
      </c>
      <c r="H1422" s="4">
        <f>-SUMIFS('01_異動主檔'!$F:$F,'01_異動主檔'!$B:$B,112,'01_異動主檔'!$D:$D,A1422,'01_異動主檔'!$E:$E,"精簡")</f>
        <v/>
      </c>
      <c r="I1422" s="8">
        <f>C1422+D1422+E1422+F1422+G1422+H1422</f>
        <v/>
      </c>
    </row>
    <row r="1423" ht="18" customHeight="1">
      <c r="A1423" s="3" t="inlineStr">
        <is>
          <t>離島辦公室</t>
        </is>
      </c>
      <c r="B1423" s="4" t="n">
        <v>113</v>
      </c>
      <c r="C1423" s="8">
        <f>I1422</f>
        <v/>
      </c>
      <c r="D1423" s="4">
        <f>SUMIFS('01_異動主檔'!$F:$F,'01_異動主檔'!$B:$B,113,'01_異動主檔'!$D:$D,A1423,'01_異動主檔'!$E:$E,"移入")</f>
        <v/>
      </c>
      <c r="E1423" s="4">
        <f>-SUMIFS('01_異動主檔'!$F:$F,'01_異動主檔'!$B:$B,113,'01_異動主檔'!$D:$D,A1423,'01_異動主檔'!$E:$E,"移出")</f>
        <v/>
      </c>
      <c r="F1423" s="4">
        <f>SUMIFS('01_異動主檔'!$F:$F,'01_異動主檔'!$B:$B,113,'01_異動主檔'!$D:$D,A1423,'01_異動主檔'!$E:$E,"新增")</f>
        <v/>
      </c>
      <c r="G1423" s="4">
        <f>-SUMIFS('01_異動主檔'!$F:$F,'01_異動主檔'!$B:$B,113,'01_異動主檔'!$D:$D,A1423,'01_異動主檔'!$E:$E,"減列")</f>
        <v/>
      </c>
      <c r="H1423" s="4">
        <f>-SUMIFS('01_異動主檔'!$F:$F,'01_異動主檔'!$B:$B,113,'01_異動主檔'!$D:$D,A1423,'01_異動主檔'!$E:$E,"精簡")</f>
        <v/>
      </c>
      <c r="I1423" s="8">
        <f>C1423+D1423+E1423+F1423+G1423+H1423</f>
        <v/>
      </c>
    </row>
    <row r="1424" ht="18" customHeight="1">
      <c r="A1424" s="5" t="inlineStr">
        <is>
          <t>離島辦公室</t>
        </is>
      </c>
      <c r="B1424" s="6" t="n">
        <v>114</v>
      </c>
      <c r="C1424" s="8">
        <f>I1423</f>
        <v/>
      </c>
      <c r="D1424" s="4">
        <f>SUMIFS('01_異動主檔'!$F:$F,'01_異動主檔'!$B:$B,114,'01_異動主檔'!$D:$D,A1424,'01_異動主檔'!$E:$E,"移入")</f>
        <v/>
      </c>
      <c r="E1424" s="4">
        <f>-SUMIFS('01_異動主檔'!$F:$F,'01_異動主檔'!$B:$B,114,'01_異動主檔'!$D:$D,A1424,'01_異動主檔'!$E:$E,"移出")</f>
        <v/>
      </c>
      <c r="F1424" s="4">
        <f>SUMIFS('01_異動主檔'!$F:$F,'01_異動主檔'!$B:$B,114,'01_異動主檔'!$D:$D,A1424,'01_異動主檔'!$E:$E,"新增")</f>
        <v/>
      </c>
      <c r="G1424" s="4">
        <f>-SUMIFS('01_異動主檔'!$F:$F,'01_異動主檔'!$B:$B,114,'01_異動主檔'!$D:$D,A1424,'01_異動主檔'!$E:$E,"減列")</f>
        <v/>
      </c>
      <c r="H1424" s="4">
        <f>-SUMIFS('01_異動主檔'!$F:$F,'01_異動主檔'!$B:$B,114,'01_異動主檔'!$D:$D,A1424,'01_異動主檔'!$E:$E,"精簡")</f>
        <v/>
      </c>
      <c r="I1424" s="8">
        <f>C1424+D1424+E1424+F1424+G1424+H1424</f>
        <v/>
      </c>
    </row>
    <row r="1425" ht="18" customHeight="1">
      <c r="A1425" s="3" t="inlineStr">
        <is>
          <t>離島辦公室</t>
        </is>
      </c>
      <c r="B1425" s="4" t="n">
        <v>115</v>
      </c>
      <c r="C1425" s="8">
        <f>I1424</f>
        <v/>
      </c>
      <c r="D1425" s="4">
        <f>SUMIFS('01_異動主檔'!$F:$F,'01_異動主檔'!$B:$B,115,'01_異動主檔'!$D:$D,A1425,'01_異動主檔'!$E:$E,"移入")</f>
        <v/>
      </c>
      <c r="E1425" s="4">
        <f>-SUMIFS('01_異動主檔'!$F:$F,'01_異動主檔'!$B:$B,115,'01_異動主檔'!$D:$D,A1425,'01_異動主檔'!$E:$E,"移出")</f>
        <v/>
      </c>
      <c r="F1425" s="4">
        <f>SUMIFS('01_異動主檔'!$F:$F,'01_異動主檔'!$B:$B,115,'01_異動主檔'!$D:$D,A1425,'01_異動主檔'!$E:$E,"新增")</f>
        <v/>
      </c>
      <c r="G1425" s="4">
        <f>-SUMIFS('01_異動主檔'!$F:$F,'01_異動主檔'!$B:$B,115,'01_異動主檔'!$D:$D,A1425,'01_異動主檔'!$E:$E,"減列")</f>
        <v/>
      </c>
      <c r="H1425" s="4">
        <f>-SUMIFS('01_異動主檔'!$F:$F,'01_異動主檔'!$B:$B,115,'01_異動主檔'!$D:$D,A1425,'01_異動主檔'!$E:$E,"精簡")</f>
        <v/>
      </c>
      <c r="I1425" s="8">
        <f>C1425+D1425+E1425+F1425+G1425+H1425</f>
        <v/>
      </c>
    </row>
    <row r="1426" ht="18" customHeight="1">
      <c r="A1426" s="5" t="inlineStr">
        <is>
          <t>離島辦公室</t>
        </is>
      </c>
      <c r="B1426" s="6" t="n">
        <v>116</v>
      </c>
      <c r="C1426" s="8">
        <f>I1425</f>
        <v/>
      </c>
      <c r="D1426" s="4">
        <f>SUMIFS('01_異動主檔'!$F:$F,'01_異動主檔'!$B:$B,116,'01_異動主檔'!$D:$D,A1426,'01_異動主檔'!$E:$E,"移入")</f>
        <v/>
      </c>
      <c r="E1426" s="4">
        <f>-SUMIFS('01_異動主檔'!$F:$F,'01_異動主檔'!$B:$B,116,'01_異動主檔'!$D:$D,A1426,'01_異動主檔'!$E:$E,"移出")</f>
        <v/>
      </c>
      <c r="F1426" s="4">
        <f>SUMIFS('01_異動主檔'!$F:$F,'01_異動主檔'!$B:$B,116,'01_異動主檔'!$D:$D,A1426,'01_異動主檔'!$E:$E,"新增")</f>
        <v/>
      </c>
      <c r="G1426" s="4">
        <f>-SUMIFS('01_異動主檔'!$F:$F,'01_異動主檔'!$B:$B,116,'01_異動主檔'!$D:$D,A1426,'01_異動主檔'!$E:$E,"減列")</f>
        <v/>
      </c>
      <c r="H1426" s="4">
        <f>-SUMIFS('01_異動主檔'!$F:$F,'01_異動主檔'!$B:$B,116,'01_異動主檔'!$D:$D,A1426,'01_異動主檔'!$E:$E,"精簡")</f>
        <v/>
      </c>
      <c r="I1426" s="8">
        <f>C1426+D1426+E1426+F1426+G1426+H1426</f>
        <v/>
      </c>
    </row>
    <row r="1427" ht="18" customHeight="1">
      <c r="A1427" s="3" t="inlineStr">
        <is>
          <t>離島辦公室</t>
        </is>
      </c>
      <c r="B1427" s="4" t="n">
        <v>117</v>
      </c>
      <c r="C1427" s="8">
        <f>I1426</f>
        <v/>
      </c>
      <c r="D1427" s="4">
        <f>SUMIFS('01_異動主檔'!$F:$F,'01_異動主檔'!$B:$B,117,'01_異動主檔'!$D:$D,A1427,'01_異動主檔'!$E:$E,"移入")</f>
        <v/>
      </c>
      <c r="E1427" s="4">
        <f>-SUMIFS('01_異動主檔'!$F:$F,'01_異動主檔'!$B:$B,117,'01_異動主檔'!$D:$D,A1427,'01_異動主檔'!$E:$E,"移出")</f>
        <v/>
      </c>
      <c r="F1427" s="4">
        <f>SUMIFS('01_異動主檔'!$F:$F,'01_異動主檔'!$B:$B,117,'01_異動主檔'!$D:$D,A1427,'01_異動主檔'!$E:$E,"新增")</f>
        <v/>
      </c>
      <c r="G1427" s="4">
        <f>-SUMIFS('01_異動主檔'!$F:$F,'01_異動主檔'!$B:$B,117,'01_異動主檔'!$D:$D,A1427,'01_異動主檔'!$E:$E,"減列")</f>
        <v/>
      </c>
      <c r="H1427" s="4">
        <f>-SUMIFS('01_異動主檔'!$F:$F,'01_異動主檔'!$B:$B,117,'01_異動主檔'!$D:$D,A1427,'01_異動主檔'!$E:$E,"精簡")</f>
        <v/>
      </c>
      <c r="I1427" s="8">
        <f>C1427+D1427+E1427+F1427+G1427+H1427</f>
        <v/>
      </c>
    </row>
    <row r="1428" ht="18" customHeight="1">
      <c r="A1428" s="5" t="inlineStr">
        <is>
          <t>離島辦公室</t>
        </is>
      </c>
      <c r="B1428" s="6" t="n">
        <v>118</v>
      </c>
      <c r="C1428" s="8">
        <f>I1427</f>
        <v/>
      </c>
      <c r="D1428" s="4">
        <f>SUMIFS('01_異動主檔'!$F:$F,'01_異動主檔'!$B:$B,118,'01_異動主檔'!$D:$D,A1428,'01_異動主檔'!$E:$E,"移入")</f>
        <v/>
      </c>
      <c r="E1428" s="4">
        <f>-SUMIFS('01_異動主檔'!$F:$F,'01_異動主檔'!$B:$B,118,'01_異動主檔'!$D:$D,A1428,'01_異動主檔'!$E:$E,"移出")</f>
        <v/>
      </c>
      <c r="F1428" s="4">
        <f>SUMIFS('01_異動主檔'!$F:$F,'01_異動主檔'!$B:$B,118,'01_異動主檔'!$D:$D,A1428,'01_異動主檔'!$E:$E,"新增")</f>
        <v/>
      </c>
      <c r="G1428" s="4">
        <f>-SUMIFS('01_異動主檔'!$F:$F,'01_異動主檔'!$B:$B,118,'01_異動主檔'!$D:$D,A1428,'01_異動主檔'!$E:$E,"減列")</f>
        <v/>
      </c>
      <c r="H1428" s="4">
        <f>-SUMIFS('01_異動主檔'!$F:$F,'01_異動主檔'!$B:$B,118,'01_異動主檔'!$D:$D,A1428,'01_異動主檔'!$E:$E,"精簡")</f>
        <v/>
      </c>
      <c r="I1428" s="8">
        <f>C1428+D1428+E1428+F1428+G1428+H1428</f>
        <v/>
      </c>
    </row>
    <row r="1429" ht="18" customHeight="1">
      <c r="A1429" s="3" t="inlineStr">
        <is>
          <t>離島辦公室</t>
        </is>
      </c>
      <c r="B1429" s="4" t="n">
        <v>119</v>
      </c>
      <c r="C1429" s="8">
        <f>I1428</f>
        <v/>
      </c>
      <c r="D1429" s="4">
        <f>SUMIFS('01_異動主檔'!$F:$F,'01_異動主檔'!$B:$B,119,'01_異動主檔'!$D:$D,A1429,'01_異動主檔'!$E:$E,"移入")</f>
        <v/>
      </c>
      <c r="E1429" s="4">
        <f>-SUMIFS('01_異動主檔'!$F:$F,'01_異動主檔'!$B:$B,119,'01_異動主檔'!$D:$D,A1429,'01_異動主檔'!$E:$E,"移出")</f>
        <v/>
      </c>
      <c r="F1429" s="4">
        <f>SUMIFS('01_異動主檔'!$F:$F,'01_異動主檔'!$B:$B,119,'01_異動主檔'!$D:$D,A1429,'01_異動主檔'!$E:$E,"新增")</f>
        <v/>
      </c>
      <c r="G1429" s="4">
        <f>-SUMIFS('01_異動主檔'!$F:$F,'01_異動主檔'!$B:$B,119,'01_異動主檔'!$D:$D,A1429,'01_異動主檔'!$E:$E,"減列")</f>
        <v/>
      </c>
      <c r="H1429" s="4">
        <f>-SUMIFS('01_異動主檔'!$F:$F,'01_異動主檔'!$B:$B,119,'01_異動主檔'!$D:$D,A1429,'01_異動主檔'!$E:$E,"精簡")</f>
        <v/>
      </c>
      <c r="I1429" s="8">
        <f>C1429+D1429+E1429+F1429+G1429+H1429</f>
        <v/>
      </c>
    </row>
    <row r="1430" ht="18" customHeight="1">
      <c r="A1430" s="5" t="inlineStr">
        <is>
          <t>離島辦公室</t>
        </is>
      </c>
      <c r="B1430" s="6" t="n">
        <v>120</v>
      </c>
      <c r="C1430" s="8">
        <f>I1429</f>
        <v/>
      </c>
      <c r="D1430" s="4">
        <f>SUMIFS('01_異動主檔'!$F:$F,'01_異動主檔'!$B:$B,120,'01_異動主檔'!$D:$D,A1430,'01_異動主檔'!$E:$E,"移入")</f>
        <v/>
      </c>
      <c r="E1430" s="4">
        <f>-SUMIFS('01_異動主檔'!$F:$F,'01_異動主檔'!$B:$B,120,'01_異動主檔'!$D:$D,A1430,'01_異動主檔'!$E:$E,"移出")</f>
        <v/>
      </c>
      <c r="F1430" s="4">
        <f>SUMIFS('01_異動主檔'!$F:$F,'01_異動主檔'!$B:$B,120,'01_異動主檔'!$D:$D,A1430,'01_異動主檔'!$E:$E,"新增")</f>
        <v/>
      </c>
      <c r="G1430" s="4">
        <f>-SUMIFS('01_異動主檔'!$F:$F,'01_異動主檔'!$B:$B,120,'01_異動主檔'!$D:$D,A1430,'01_異動主檔'!$E:$E,"減列")</f>
        <v/>
      </c>
      <c r="H1430" s="4">
        <f>-SUMIFS('01_異動主檔'!$F:$F,'01_異動主檔'!$B:$B,120,'01_異動主檔'!$D:$D,A1430,'01_異動主檔'!$E:$E,"精簡")</f>
        <v/>
      </c>
      <c r="I1430" s="8">
        <f>C1430+D1430+E1430+F1430+G1430+H1430</f>
        <v/>
      </c>
    </row>
    <row r="1431" ht="18" customHeight="1">
      <c r="A1431" s="3" t="inlineStr">
        <is>
          <t>離島辦公室</t>
        </is>
      </c>
      <c r="B1431" s="4" t="n">
        <v>121</v>
      </c>
      <c r="C1431" s="8">
        <f>I1430</f>
        <v/>
      </c>
      <c r="D1431" s="4">
        <f>SUMIFS('01_異動主檔'!$F:$F,'01_異動主檔'!$B:$B,121,'01_異動主檔'!$D:$D,A1431,'01_異動主檔'!$E:$E,"移入")</f>
        <v/>
      </c>
      <c r="E1431" s="4">
        <f>-SUMIFS('01_異動主檔'!$F:$F,'01_異動主檔'!$B:$B,121,'01_異動主檔'!$D:$D,A1431,'01_異動主檔'!$E:$E,"移出")</f>
        <v/>
      </c>
      <c r="F1431" s="4">
        <f>SUMIFS('01_異動主檔'!$F:$F,'01_異動主檔'!$B:$B,121,'01_異動主檔'!$D:$D,A1431,'01_異動主檔'!$E:$E,"新增")</f>
        <v/>
      </c>
      <c r="G1431" s="4">
        <f>-SUMIFS('01_異動主檔'!$F:$F,'01_異動主檔'!$B:$B,121,'01_異動主檔'!$D:$D,A1431,'01_異動主檔'!$E:$E,"減列")</f>
        <v/>
      </c>
      <c r="H1431" s="4">
        <f>-SUMIFS('01_異動主檔'!$F:$F,'01_異動主檔'!$B:$B,121,'01_異動主檔'!$D:$D,A1431,'01_異動主檔'!$E:$E,"精簡")</f>
        <v/>
      </c>
      <c r="I1431" s="8">
        <f>C1431+D1431+E1431+F1431+G1431+H1431</f>
        <v/>
      </c>
    </row>
    <row r="1432" ht="18" customHeight="1">
      <c r="A1432" s="5" t="inlineStr">
        <is>
          <t>離島辦公室</t>
        </is>
      </c>
      <c r="B1432" s="6" t="n">
        <v>122</v>
      </c>
      <c r="C1432" s="8">
        <f>I1431</f>
        <v/>
      </c>
      <c r="D1432" s="4">
        <f>SUMIFS('01_異動主檔'!$F:$F,'01_異動主檔'!$B:$B,122,'01_異動主檔'!$D:$D,A1432,'01_異動主檔'!$E:$E,"移入")</f>
        <v/>
      </c>
      <c r="E1432" s="4">
        <f>-SUMIFS('01_異動主檔'!$F:$F,'01_異動主檔'!$B:$B,122,'01_異動主檔'!$D:$D,A1432,'01_異動主檔'!$E:$E,"移出")</f>
        <v/>
      </c>
      <c r="F1432" s="4">
        <f>SUMIFS('01_異動主檔'!$F:$F,'01_異動主檔'!$B:$B,122,'01_異動主檔'!$D:$D,A1432,'01_異動主檔'!$E:$E,"新增")</f>
        <v/>
      </c>
      <c r="G1432" s="4">
        <f>-SUMIFS('01_異動主檔'!$F:$F,'01_異動主檔'!$B:$B,122,'01_異動主檔'!$D:$D,A1432,'01_異動主檔'!$E:$E,"減列")</f>
        <v/>
      </c>
      <c r="H1432" s="4">
        <f>-SUMIFS('01_異動主檔'!$F:$F,'01_異動主檔'!$B:$B,122,'01_異動主檔'!$D:$D,A1432,'01_異動主檔'!$E:$E,"精簡")</f>
        <v/>
      </c>
      <c r="I1432" s="8">
        <f>C1432+D1432+E1432+F1432+G1432+H1432</f>
        <v/>
      </c>
    </row>
    <row r="1433" ht="18" customHeight="1">
      <c r="A1433" s="3" t="inlineStr">
        <is>
          <t>離島辦公室</t>
        </is>
      </c>
      <c r="B1433" s="4" t="n">
        <v>123</v>
      </c>
      <c r="C1433" s="8">
        <f>I1432</f>
        <v/>
      </c>
      <c r="D1433" s="4">
        <f>SUMIFS('01_異動主檔'!$F:$F,'01_異動主檔'!$B:$B,123,'01_異動主檔'!$D:$D,A1433,'01_異動主檔'!$E:$E,"移入")</f>
        <v/>
      </c>
      <c r="E1433" s="4">
        <f>-SUMIFS('01_異動主檔'!$F:$F,'01_異動主檔'!$B:$B,123,'01_異動主檔'!$D:$D,A1433,'01_異動主檔'!$E:$E,"移出")</f>
        <v/>
      </c>
      <c r="F1433" s="4">
        <f>SUMIFS('01_異動主檔'!$F:$F,'01_異動主檔'!$B:$B,123,'01_異動主檔'!$D:$D,A1433,'01_異動主檔'!$E:$E,"新增")</f>
        <v/>
      </c>
      <c r="G1433" s="4">
        <f>-SUMIFS('01_異動主檔'!$F:$F,'01_異動主檔'!$B:$B,123,'01_異動主檔'!$D:$D,A1433,'01_異動主檔'!$E:$E,"減列")</f>
        <v/>
      </c>
      <c r="H1433" s="4">
        <f>-SUMIFS('01_異動主檔'!$F:$F,'01_異動主檔'!$B:$B,123,'01_異動主檔'!$D:$D,A1433,'01_異動主檔'!$E:$E,"精簡")</f>
        <v/>
      </c>
      <c r="I1433" s="8">
        <f>C1433+D1433+E1433+F1433+G1433+H1433</f>
        <v/>
      </c>
    </row>
    <row r="1434" ht="18" customHeight="1">
      <c r="A1434" s="5" t="inlineStr">
        <is>
          <t>離島辦公室</t>
        </is>
      </c>
      <c r="B1434" s="6" t="n">
        <v>124</v>
      </c>
      <c r="C1434" s="8">
        <f>I1433</f>
        <v/>
      </c>
      <c r="D1434" s="4">
        <f>SUMIFS('01_異動主檔'!$F:$F,'01_異動主檔'!$B:$B,124,'01_異動主檔'!$D:$D,A1434,'01_異動主檔'!$E:$E,"移入")</f>
        <v/>
      </c>
      <c r="E1434" s="4">
        <f>-SUMIFS('01_異動主檔'!$F:$F,'01_異動主檔'!$B:$B,124,'01_異動主檔'!$D:$D,A1434,'01_異動主檔'!$E:$E,"移出")</f>
        <v/>
      </c>
      <c r="F1434" s="4">
        <f>SUMIFS('01_異動主檔'!$F:$F,'01_異動主檔'!$B:$B,124,'01_異動主檔'!$D:$D,A1434,'01_異動主檔'!$E:$E,"新增")</f>
        <v/>
      </c>
      <c r="G1434" s="4">
        <f>-SUMIFS('01_異動主檔'!$F:$F,'01_異動主檔'!$B:$B,124,'01_異動主檔'!$D:$D,A1434,'01_異動主檔'!$E:$E,"減列")</f>
        <v/>
      </c>
      <c r="H1434" s="4">
        <f>-SUMIFS('01_異動主檔'!$F:$F,'01_異動主檔'!$B:$B,124,'01_異動主檔'!$D:$D,A1434,'01_異動主檔'!$E:$E,"精簡")</f>
        <v/>
      </c>
      <c r="I1434" s="8">
        <f>C1434+D1434+E1434+F1434+G1434+H1434</f>
        <v/>
      </c>
    </row>
    <row r="1435" ht="18" customHeight="1">
      <c r="A1435" s="3" t="inlineStr">
        <is>
          <t>離島辦公室</t>
        </is>
      </c>
      <c r="B1435" s="4" t="n">
        <v>125</v>
      </c>
      <c r="C1435" s="8">
        <f>I1434</f>
        <v/>
      </c>
      <c r="D1435" s="4">
        <f>SUMIFS('01_異動主檔'!$F:$F,'01_異動主檔'!$B:$B,125,'01_異動主檔'!$D:$D,A1435,'01_異動主檔'!$E:$E,"移入")</f>
        <v/>
      </c>
      <c r="E1435" s="4">
        <f>-SUMIFS('01_異動主檔'!$F:$F,'01_異動主檔'!$B:$B,125,'01_異動主檔'!$D:$D,A1435,'01_異動主檔'!$E:$E,"移出")</f>
        <v/>
      </c>
      <c r="F1435" s="4">
        <f>SUMIFS('01_異動主檔'!$F:$F,'01_異動主檔'!$B:$B,125,'01_異動主檔'!$D:$D,A1435,'01_異動主檔'!$E:$E,"新增")</f>
        <v/>
      </c>
      <c r="G1435" s="4">
        <f>-SUMIFS('01_異動主檔'!$F:$F,'01_異動主檔'!$B:$B,125,'01_異動主檔'!$D:$D,A1435,'01_異動主檔'!$E:$E,"減列")</f>
        <v/>
      </c>
      <c r="H1435" s="4">
        <f>-SUMIFS('01_異動主檔'!$F:$F,'01_異動主檔'!$B:$B,125,'01_異動主檔'!$D:$D,A1435,'01_異動主檔'!$E:$E,"精簡")</f>
        <v/>
      </c>
      <c r="I1435" s="8">
        <f>C1435+D1435+E1435+F1435+G1435+H1435</f>
        <v/>
      </c>
    </row>
    <row r="1436" ht="18" customHeight="1">
      <c r="A1436" s="5" t="inlineStr">
        <is>
          <t>山區辦公室</t>
        </is>
      </c>
      <c r="B1436" s="6" t="n">
        <v>99</v>
      </c>
      <c r="C1436" s="8">
        <f>'02_年初員額設定'!B58</f>
        <v/>
      </c>
      <c r="D1436" s="4">
        <f>SUMIFS('01_異動主檔'!$F:$F,'01_異動主檔'!$B:$B,99,'01_異動主檔'!$D:$D,A1436,'01_異動主檔'!$E:$E,"移入")</f>
        <v/>
      </c>
      <c r="E1436" s="4">
        <f>-SUMIFS('01_異動主檔'!$F:$F,'01_異動主檔'!$B:$B,99,'01_異動主檔'!$D:$D,A1436,'01_異動主檔'!$E:$E,"移出")</f>
        <v/>
      </c>
      <c r="F1436" s="4">
        <f>SUMIFS('01_異動主檔'!$F:$F,'01_異動主檔'!$B:$B,99,'01_異動主檔'!$D:$D,A1436,'01_異動主檔'!$E:$E,"新增")</f>
        <v/>
      </c>
      <c r="G1436" s="4">
        <f>-SUMIFS('01_異動主檔'!$F:$F,'01_異動主檔'!$B:$B,99,'01_異動主檔'!$D:$D,A1436,'01_異動主檔'!$E:$E,"減列")</f>
        <v/>
      </c>
      <c r="H1436" s="4">
        <f>-SUMIFS('01_異動主檔'!$F:$F,'01_異動主檔'!$B:$B,99,'01_異動主檔'!$D:$D,A1436,'01_異動主檔'!$E:$E,"精簡")</f>
        <v/>
      </c>
      <c r="I1436" s="8">
        <f>C1436+D1436+E1436+F1436+G1436+H1436</f>
        <v/>
      </c>
    </row>
    <row r="1437" ht="18" customHeight="1">
      <c r="A1437" s="3" t="inlineStr">
        <is>
          <t>山區辦公室</t>
        </is>
      </c>
      <c r="B1437" s="4" t="n">
        <v>100</v>
      </c>
      <c r="C1437" s="8">
        <f>I1436</f>
        <v/>
      </c>
      <c r="D1437" s="4">
        <f>SUMIFS('01_異動主檔'!$F:$F,'01_異動主檔'!$B:$B,100,'01_異動主檔'!$D:$D,A1437,'01_異動主檔'!$E:$E,"移入")</f>
        <v/>
      </c>
      <c r="E1437" s="4">
        <f>-SUMIFS('01_異動主檔'!$F:$F,'01_異動主檔'!$B:$B,100,'01_異動主檔'!$D:$D,A1437,'01_異動主檔'!$E:$E,"移出")</f>
        <v/>
      </c>
      <c r="F1437" s="4">
        <f>SUMIFS('01_異動主檔'!$F:$F,'01_異動主檔'!$B:$B,100,'01_異動主檔'!$D:$D,A1437,'01_異動主檔'!$E:$E,"新增")</f>
        <v/>
      </c>
      <c r="G1437" s="4">
        <f>-SUMIFS('01_異動主檔'!$F:$F,'01_異動主檔'!$B:$B,100,'01_異動主檔'!$D:$D,A1437,'01_異動主檔'!$E:$E,"減列")</f>
        <v/>
      </c>
      <c r="H1437" s="4">
        <f>-SUMIFS('01_異動主檔'!$F:$F,'01_異動主檔'!$B:$B,100,'01_異動主檔'!$D:$D,A1437,'01_異動主檔'!$E:$E,"精簡")</f>
        <v/>
      </c>
      <c r="I1437" s="8">
        <f>C1437+D1437+E1437+F1437+G1437+H1437</f>
        <v/>
      </c>
    </row>
    <row r="1438" ht="18" customHeight="1">
      <c r="A1438" s="5" t="inlineStr">
        <is>
          <t>山區辦公室</t>
        </is>
      </c>
      <c r="B1438" s="6" t="n">
        <v>101</v>
      </c>
      <c r="C1438" s="8">
        <f>I1437</f>
        <v/>
      </c>
      <c r="D1438" s="4">
        <f>SUMIFS('01_異動主檔'!$F:$F,'01_異動主檔'!$B:$B,101,'01_異動主檔'!$D:$D,A1438,'01_異動主檔'!$E:$E,"移入")</f>
        <v/>
      </c>
      <c r="E1438" s="4">
        <f>-SUMIFS('01_異動主檔'!$F:$F,'01_異動主檔'!$B:$B,101,'01_異動主檔'!$D:$D,A1438,'01_異動主檔'!$E:$E,"移出")</f>
        <v/>
      </c>
      <c r="F1438" s="4">
        <f>SUMIFS('01_異動主檔'!$F:$F,'01_異動主檔'!$B:$B,101,'01_異動主檔'!$D:$D,A1438,'01_異動主檔'!$E:$E,"新增")</f>
        <v/>
      </c>
      <c r="G1438" s="4">
        <f>-SUMIFS('01_異動主檔'!$F:$F,'01_異動主檔'!$B:$B,101,'01_異動主檔'!$D:$D,A1438,'01_異動主檔'!$E:$E,"減列")</f>
        <v/>
      </c>
      <c r="H1438" s="4">
        <f>-SUMIFS('01_異動主檔'!$F:$F,'01_異動主檔'!$B:$B,101,'01_異動主檔'!$D:$D,A1438,'01_異動主檔'!$E:$E,"精簡")</f>
        <v/>
      </c>
      <c r="I1438" s="8">
        <f>C1438+D1438+E1438+F1438+G1438+H1438</f>
        <v/>
      </c>
    </row>
    <row r="1439" ht="18" customHeight="1">
      <c r="A1439" s="3" t="inlineStr">
        <is>
          <t>山區辦公室</t>
        </is>
      </c>
      <c r="B1439" s="4" t="n">
        <v>102</v>
      </c>
      <c r="C1439" s="8">
        <f>I1438</f>
        <v/>
      </c>
      <c r="D1439" s="4">
        <f>SUMIFS('01_異動主檔'!$F:$F,'01_異動主檔'!$B:$B,102,'01_異動主檔'!$D:$D,A1439,'01_異動主檔'!$E:$E,"移入")</f>
        <v/>
      </c>
      <c r="E1439" s="4">
        <f>-SUMIFS('01_異動主檔'!$F:$F,'01_異動主檔'!$B:$B,102,'01_異動主檔'!$D:$D,A1439,'01_異動主檔'!$E:$E,"移出")</f>
        <v/>
      </c>
      <c r="F1439" s="4">
        <f>SUMIFS('01_異動主檔'!$F:$F,'01_異動主檔'!$B:$B,102,'01_異動主檔'!$D:$D,A1439,'01_異動主檔'!$E:$E,"新增")</f>
        <v/>
      </c>
      <c r="G1439" s="4">
        <f>-SUMIFS('01_異動主檔'!$F:$F,'01_異動主檔'!$B:$B,102,'01_異動主檔'!$D:$D,A1439,'01_異動主檔'!$E:$E,"減列")</f>
        <v/>
      </c>
      <c r="H1439" s="4">
        <f>-SUMIFS('01_異動主檔'!$F:$F,'01_異動主檔'!$B:$B,102,'01_異動主檔'!$D:$D,A1439,'01_異動主檔'!$E:$E,"精簡")</f>
        <v/>
      </c>
      <c r="I1439" s="8">
        <f>C1439+D1439+E1439+F1439+G1439+H1439</f>
        <v/>
      </c>
    </row>
    <row r="1440" ht="18" customHeight="1">
      <c r="A1440" s="5" t="inlineStr">
        <is>
          <t>山區辦公室</t>
        </is>
      </c>
      <c r="B1440" s="6" t="n">
        <v>103</v>
      </c>
      <c r="C1440" s="8">
        <f>I1439</f>
        <v/>
      </c>
      <c r="D1440" s="4">
        <f>SUMIFS('01_異動主檔'!$F:$F,'01_異動主檔'!$B:$B,103,'01_異動主檔'!$D:$D,A1440,'01_異動主檔'!$E:$E,"移入")</f>
        <v/>
      </c>
      <c r="E1440" s="4">
        <f>-SUMIFS('01_異動主檔'!$F:$F,'01_異動主檔'!$B:$B,103,'01_異動主檔'!$D:$D,A1440,'01_異動主檔'!$E:$E,"移出")</f>
        <v/>
      </c>
      <c r="F1440" s="4">
        <f>SUMIFS('01_異動主檔'!$F:$F,'01_異動主檔'!$B:$B,103,'01_異動主檔'!$D:$D,A1440,'01_異動主檔'!$E:$E,"新增")</f>
        <v/>
      </c>
      <c r="G1440" s="4">
        <f>-SUMIFS('01_異動主檔'!$F:$F,'01_異動主檔'!$B:$B,103,'01_異動主檔'!$D:$D,A1440,'01_異動主檔'!$E:$E,"減列")</f>
        <v/>
      </c>
      <c r="H1440" s="4">
        <f>-SUMIFS('01_異動主檔'!$F:$F,'01_異動主檔'!$B:$B,103,'01_異動主檔'!$D:$D,A1440,'01_異動主檔'!$E:$E,"精簡")</f>
        <v/>
      </c>
      <c r="I1440" s="8">
        <f>C1440+D1440+E1440+F1440+G1440+H1440</f>
        <v/>
      </c>
    </row>
    <row r="1441" ht="18" customHeight="1">
      <c r="A1441" s="3" t="inlineStr">
        <is>
          <t>山區辦公室</t>
        </is>
      </c>
      <c r="B1441" s="4" t="n">
        <v>104</v>
      </c>
      <c r="C1441" s="8">
        <f>I1440</f>
        <v/>
      </c>
      <c r="D1441" s="4">
        <f>SUMIFS('01_異動主檔'!$F:$F,'01_異動主檔'!$B:$B,104,'01_異動主檔'!$D:$D,A1441,'01_異動主檔'!$E:$E,"移入")</f>
        <v/>
      </c>
      <c r="E1441" s="4">
        <f>-SUMIFS('01_異動主檔'!$F:$F,'01_異動主檔'!$B:$B,104,'01_異動主檔'!$D:$D,A1441,'01_異動主檔'!$E:$E,"移出")</f>
        <v/>
      </c>
      <c r="F1441" s="4">
        <f>SUMIFS('01_異動主檔'!$F:$F,'01_異動主檔'!$B:$B,104,'01_異動主檔'!$D:$D,A1441,'01_異動主檔'!$E:$E,"新增")</f>
        <v/>
      </c>
      <c r="G1441" s="4">
        <f>-SUMIFS('01_異動主檔'!$F:$F,'01_異動主檔'!$B:$B,104,'01_異動主檔'!$D:$D,A1441,'01_異動主檔'!$E:$E,"減列")</f>
        <v/>
      </c>
      <c r="H1441" s="4">
        <f>-SUMIFS('01_異動主檔'!$F:$F,'01_異動主檔'!$B:$B,104,'01_異動主檔'!$D:$D,A1441,'01_異動主檔'!$E:$E,"精簡")</f>
        <v/>
      </c>
      <c r="I1441" s="8">
        <f>C1441+D1441+E1441+F1441+G1441+H1441</f>
        <v/>
      </c>
    </row>
    <row r="1442" ht="18" customHeight="1">
      <c r="A1442" s="5" t="inlineStr">
        <is>
          <t>山區辦公室</t>
        </is>
      </c>
      <c r="B1442" s="6" t="n">
        <v>105</v>
      </c>
      <c r="C1442" s="8">
        <f>I1441</f>
        <v/>
      </c>
      <c r="D1442" s="4">
        <f>SUMIFS('01_異動主檔'!$F:$F,'01_異動主檔'!$B:$B,105,'01_異動主檔'!$D:$D,A1442,'01_異動主檔'!$E:$E,"移入")</f>
        <v/>
      </c>
      <c r="E1442" s="4">
        <f>-SUMIFS('01_異動主檔'!$F:$F,'01_異動主檔'!$B:$B,105,'01_異動主檔'!$D:$D,A1442,'01_異動主檔'!$E:$E,"移出")</f>
        <v/>
      </c>
      <c r="F1442" s="4">
        <f>SUMIFS('01_異動主檔'!$F:$F,'01_異動主檔'!$B:$B,105,'01_異動主檔'!$D:$D,A1442,'01_異動主檔'!$E:$E,"新增")</f>
        <v/>
      </c>
      <c r="G1442" s="4">
        <f>-SUMIFS('01_異動主檔'!$F:$F,'01_異動主檔'!$B:$B,105,'01_異動主檔'!$D:$D,A1442,'01_異動主檔'!$E:$E,"減列")</f>
        <v/>
      </c>
      <c r="H1442" s="4">
        <f>-SUMIFS('01_異動主檔'!$F:$F,'01_異動主檔'!$B:$B,105,'01_異動主檔'!$D:$D,A1442,'01_異動主檔'!$E:$E,"精簡")</f>
        <v/>
      </c>
      <c r="I1442" s="8">
        <f>C1442+D1442+E1442+F1442+G1442+H1442</f>
        <v/>
      </c>
    </row>
    <row r="1443" ht="18" customHeight="1">
      <c r="A1443" s="3" t="inlineStr">
        <is>
          <t>山區辦公室</t>
        </is>
      </c>
      <c r="B1443" s="4" t="n">
        <v>106</v>
      </c>
      <c r="C1443" s="8">
        <f>I1442</f>
        <v/>
      </c>
      <c r="D1443" s="4">
        <f>SUMIFS('01_異動主檔'!$F:$F,'01_異動主檔'!$B:$B,106,'01_異動主檔'!$D:$D,A1443,'01_異動主檔'!$E:$E,"移入")</f>
        <v/>
      </c>
      <c r="E1443" s="4">
        <f>-SUMIFS('01_異動主檔'!$F:$F,'01_異動主檔'!$B:$B,106,'01_異動主檔'!$D:$D,A1443,'01_異動主檔'!$E:$E,"移出")</f>
        <v/>
      </c>
      <c r="F1443" s="4">
        <f>SUMIFS('01_異動主檔'!$F:$F,'01_異動主檔'!$B:$B,106,'01_異動主檔'!$D:$D,A1443,'01_異動主檔'!$E:$E,"新增")</f>
        <v/>
      </c>
      <c r="G1443" s="4">
        <f>-SUMIFS('01_異動主檔'!$F:$F,'01_異動主檔'!$B:$B,106,'01_異動主檔'!$D:$D,A1443,'01_異動主檔'!$E:$E,"減列")</f>
        <v/>
      </c>
      <c r="H1443" s="4">
        <f>-SUMIFS('01_異動主檔'!$F:$F,'01_異動主檔'!$B:$B,106,'01_異動主檔'!$D:$D,A1443,'01_異動主檔'!$E:$E,"精簡")</f>
        <v/>
      </c>
      <c r="I1443" s="8">
        <f>C1443+D1443+E1443+F1443+G1443+H1443</f>
        <v/>
      </c>
    </row>
    <row r="1444" ht="18" customHeight="1">
      <c r="A1444" s="5" t="inlineStr">
        <is>
          <t>山區辦公室</t>
        </is>
      </c>
      <c r="B1444" s="6" t="n">
        <v>107</v>
      </c>
      <c r="C1444" s="8">
        <f>I1443</f>
        <v/>
      </c>
      <c r="D1444" s="4">
        <f>SUMIFS('01_異動主檔'!$F:$F,'01_異動主檔'!$B:$B,107,'01_異動主檔'!$D:$D,A1444,'01_異動主檔'!$E:$E,"移入")</f>
        <v/>
      </c>
      <c r="E1444" s="4">
        <f>-SUMIFS('01_異動主檔'!$F:$F,'01_異動主檔'!$B:$B,107,'01_異動主檔'!$D:$D,A1444,'01_異動主檔'!$E:$E,"移出")</f>
        <v/>
      </c>
      <c r="F1444" s="4">
        <f>SUMIFS('01_異動主檔'!$F:$F,'01_異動主檔'!$B:$B,107,'01_異動主檔'!$D:$D,A1444,'01_異動主檔'!$E:$E,"新增")</f>
        <v/>
      </c>
      <c r="G1444" s="4">
        <f>-SUMIFS('01_異動主檔'!$F:$F,'01_異動主檔'!$B:$B,107,'01_異動主檔'!$D:$D,A1444,'01_異動主檔'!$E:$E,"減列")</f>
        <v/>
      </c>
      <c r="H1444" s="4">
        <f>-SUMIFS('01_異動主檔'!$F:$F,'01_異動主檔'!$B:$B,107,'01_異動主檔'!$D:$D,A1444,'01_異動主檔'!$E:$E,"精簡")</f>
        <v/>
      </c>
      <c r="I1444" s="8">
        <f>C1444+D1444+E1444+F1444+G1444+H1444</f>
        <v/>
      </c>
    </row>
    <row r="1445" ht="18" customHeight="1">
      <c r="A1445" s="3" t="inlineStr">
        <is>
          <t>山區辦公室</t>
        </is>
      </c>
      <c r="B1445" s="4" t="n">
        <v>108</v>
      </c>
      <c r="C1445" s="8">
        <f>I1444</f>
        <v/>
      </c>
      <c r="D1445" s="4">
        <f>SUMIFS('01_異動主檔'!$F:$F,'01_異動主檔'!$B:$B,108,'01_異動主檔'!$D:$D,A1445,'01_異動主檔'!$E:$E,"移入")</f>
        <v/>
      </c>
      <c r="E1445" s="4">
        <f>-SUMIFS('01_異動主檔'!$F:$F,'01_異動主檔'!$B:$B,108,'01_異動主檔'!$D:$D,A1445,'01_異動主檔'!$E:$E,"移出")</f>
        <v/>
      </c>
      <c r="F1445" s="4">
        <f>SUMIFS('01_異動主檔'!$F:$F,'01_異動主檔'!$B:$B,108,'01_異動主檔'!$D:$D,A1445,'01_異動主檔'!$E:$E,"新增")</f>
        <v/>
      </c>
      <c r="G1445" s="4">
        <f>-SUMIFS('01_異動主檔'!$F:$F,'01_異動主檔'!$B:$B,108,'01_異動主檔'!$D:$D,A1445,'01_異動主檔'!$E:$E,"減列")</f>
        <v/>
      </c>
      <c r="H1445" s="4">
        <f>-SUMIFS('01_異動主檔'!$F:$F,'01_異動主檔'!$B:$B,108,'01_異動主檔'!$D:$D,A1445,'01_異動主檔'!$E:$E,"精簡")</f>
        <v/>
      </c>
      <c r="I1445" s="8">
        <f>C1445+D1445+E1445+F1445+G1445+H1445</f>
        <v/>
      </c>
    </row>
    <row r="1446" ht="18" customHeight="1">
      <c r="A1446" s="5" t="inlineStr">
        <is>
          <t>山區辦公室</t>
        </is>
      </c>
      <c r="B1446" s="6" t="n">
        <v>109</v>
      </c>
      <c r="C1446" s="8">
        <f>I1445</f>
        <v/>
      </c>
      <c r="D1446" s="4">
        <f>SUMIFS('01_異動主檔'!$F:$F,'01_異動主檔'!$B:$B,109,'01_異動主檔'!$D:$D,A1446,'01_異動主檔'!$E:$E,"移入")</f>
        <v/>
      </c>
      <c r="E1446" s="4">
        <f>-SUMIFS('01_異動主檔'!$F:$F,'01_異動主檔'!$B:$B,109,'01_異動主檔'!$D:$D,A1446,'01_異動主檔'!$E:$E,"移出")</f>
        <v/>
      </c>
      <c r="F1446" s="4">
        <f>SUMIFS('01_異動主檔'!$F:$F,'01_異動主檔'!$B:$B,109,'01_異動主檔'!$D:$D,A1446,'01_異動主檔'!$E:$E,"新增")</f>
        <v/>
      </c>
      <c r="G1446" s="4">
        <f>-SUMIFS('01_異動主檔'!$F:$F,'01_異動主檔'!$B:$B,109,'01_異動主檔'!$D:$D,A1446,'01_異動主檔'!$E:$E,"減列")</f>
        <v/>
      </c>
      <c r="H1446" s="4">
        <f>-SUMIFS('01_異動主檔'!$F:$F,'01_異動主檔'!$B:$B,109,'01_異動主檔'!$D:$D,A1446,'01_異動主檔'!$E:$E,"精簡")</f>
        <v/>
      </c>
      <c r="I1446" s="8">
        <f>C1446+D1446+E1446+F1446+G1446+H1446</f>
        <v/>
      </c>
    </row>
    <row r="1447" ht="18" customHeight="1">
      <c r="A1447" s="3" t="inlineStr">
        <is>
          <t>山區辦公室</t>
        </is>
      </c>
      <c r="B1447" s="4" t="n">
        <v>110</v>
      </c>
      <c r="C1447" s="8">
        <f>I1446</f>
        <v/>
      </c>
      <c r="D1447" s="4">
        <f>SUMIFS('01_異動主檔'!$F:$F,'01_異動主檔'!$B:$B,110,'01_異動主檔'!$D:$D,A1447,'01_異動主檔'!$E:$E,"移入")</f>
        <v/>
      </c>
      <c r="E1447" s="4">
        <f>-SUMIFS('01_異動主檔'!$F:$F,'01_異動主檔'!$B:$B,110,'01_異動主檔'!$D:$D,A1447,'01_異動主檔'!$E:$E,"移出")</f>
        <v/>
      </c>
      <c r="F1447" s="4">
        <f>SUMIFS('01_異動主檔'!$F:$F,'01_異動主檔'!$B:$B,110,'01_異動主檔'!$D:$D,A1447,'01_異動主檔'!$E:$E,"新增")</f>
        <v/>
      </c>
      <c r="G1447" s="4">
        <f>-SUMIFS('01_異動主檔'!$F:$F,'01_異動主檔'!$B:$B,110,'01_異動主檔'!$D:$D,A1447,'01_異動主檔'!$E:$E,"減列")</f>
        <v/>
      </c>
      <c r="H1447" s="4">
        <f>-SUMIFS('01_異動主檔'!$F:$F,'01_異動主檔'!$B:$B,110,'01_異動主檔'!$D:$D,A1447,'01_異動主檔'!$E:$E,"精簡")</f>
        <v/>
      </c>
      <c r="I1447" s="8">
        <f>C1447+D1447+E1447+F1447+G1447+H1447</f>
        <v/>
      </c>
    </row>
    <row r="1448" ht="18" customHeight="1">
      <c r="A1448" s="5" t="inlineStr">
        <is>
          <t>山區辦公室</t>
        </is>
      </c>
      <c r="B1448" s="6" t="n">
        <v>111</v>
      </c>
      <c r="C1448" s="8">
        <f>I1447</f>
        <v/>
      </c>
      <c r="D1448" s="4">
        <f>SUMIFS('01_異動主檔'!$F:$F,'01_異動主檔'!$B:$B,111,'01_異動主檔'!$D:$D,A1448,'01_異動主檔'!$E:$E,"移入")</f>
        <v/>
      </c>
      <c r="E1448" s="4">
        <f>-SUMIFS('01_異動主檔'!$F:$F,'01_異動主檔'!$B:$B,111,'01_異動主檔'!$D:$D,A1448,'01_異動主檔'!$E:$E,"移出")</f>
        <v/>
      </c>
      <c r="F1448" s="4">
        <f>SUMIFS('01_異動主檔'!$F:$F,'01_異動主檔'!$B:$B,111,'01_異動主檔'!$D:$D,A1448,'01_異動主檔'!$E:$E,"新增")</f>
        <v/>
      </c>
      <c r="G1448" s="4">
        <f>-SUMIFS('01_異動主檔'!$F:$F,'01_異動主檔'!$B:$B,111,'01_異動主檔'!$D:$D,A1448,'01_異動主檔'!$E:$E,"減列")</f>
        <v/>
      </c>
      <c r="H1448" s="4">
        <f>-SUMIFS('01_異動主檔'!$F:$F,'01_異動主檔'!$B:$B,111,'01_異動主檔'!$D:$D,A1448,'01_異動主檔'!$E:$E,"精簡")</f>
        <v/>
      </c>
      <c r="I1448" s="8">
        <f>C1448+D1448+E1448+F1448+G1448+H1448</f>
        <v/>
      </c>
    </row>
    <row r="1449" ht="18" customHeight="1">
      <c r="A1449" s="3" t="inlineStr">
        <is>
          <t>山區辦公室</t>
        </is>
      </c>
      <c r="B1449" s="4" t="n">
        <v>112</v>
      </c>
      <c r="C1449" s="8">
        <f>I1448</f>
        <v/>
      </c>
      <c r="D1449" s="4">
        <f>SUMIFS('01_異動主檔'!$F:$F,'01_異動主檔'!$B:$B,112,'01_異動主檔'!$D:$D,A1449,'01_異動主檔'!$E:$E,"移入")</f>
        <v/>
      </c>
      <c r="E1449" s="4">
        <f>-SUMIFS('01_異動主檔'!$F:$F,'01_異動主檔'!$B:$B,112,'01_異動主檔'!$D:$D,A1449,'01_異動主檔'!$E:$E,"移出")</f>
        <v/>
      </c>
      <c r="F1449" s="4">
        <f>SUMIFS('01_異動主檔'!$F:$F,'01_異動主檔'!$B:$B,112,'01_異動主檔'!$D:$D,A1449,'01_異動主檔'!$E:$E,"新增")</f>
        <v/>
      </c>
      <c r="G1449" s="4">
        <f>-SUMIFS('01_異動主檔'!$F:$F,'01_異動主檔'!$B:$B,112,'01_異動主檔'!$D:$D,A1449,'01_異動主檔'!$E:$E,"減列")</f>
        <v/>
      </c>
      <c r="H1449" s="4">
        <f>-SUMIFS('01_異動主檔'!$F:$F,'01_異動主檔'!$B:$B,112,'01_異動主檔'!$D:$D,A1449,'01_異動主檔'!$E:$E,"精簡")</f>
        <v/>
      </c>
      <c r="I1449" s="8">
        <f>C1449+D1449+E1449+F1449+G1449+H1449</f>
        <v/>
      </c>
    </row>
    <row r="1450" ht="18" customHeight="1">
      <c r="A1450" s="5" t="inlineStr">
        <is>
          <t>山區辦公室</t>
        </is>
      </c>
      <c r="B1450" s="6" t="n">
        <v>113</v>
      </c>
      <c r="C1450" s="8">
        <f>I1449</f>
        <v/>
      </c>
      <c r="D1450" s="4">
        <f>SUMIFS('01_異動主檔'!$F:$F,'01_異動主檔'!$B:$B,113,'01_異動主檔'!$D:$D,A1450,'01_異動主檔'!$E:$E,"移入")</f>
        <v/>
      </c>
      <c r="E1450" s="4">
        <f>-SUMIFS('01_異動主檔'!$F:$F,'01_異動主檔'!$B:$B,113,'01_異動主檔'!$D:$D,A1450,'01_異動主檔'!$E:$E,"移出")</f>
        <v/>
      </c>
      <c r="F1450" s="4">
        <f>SUMIFS('01_異動主檔'!$F:$F,'01_異動主檔'!$B:$B,113,'01_異動主檔'!$D:$D,A1450,'01_異動主檔'!$E:$E,"新增")</f>
        <v/>
      </c>
      <c r="G1450" s="4">
        <f>-SUMIFS('01_異動主檔'!$F:$F,'01_異動主檔'!$B:$B,113,'01_異動主檔'!$D:$D,A1450,'01_異動主檔'!$E:$E,"減列")</f>
        <v/>
      </c>
      <c r="H1450" s="4">
        <f>-SUMIFS('01_異動主檔'!$F:$F,'01_異動主檔'!$B:$B,113,'01_異動主檔'!$D:$D,A1450,'01_異動主檔'!$E:$E,"精簡")</f>
        <v/>
      </c>
      <c r="I1450" s="8">
        <f>C1450+D1450+E1450+F1450+G1450+H1450</f>
        <v/>
      </c>
    </row>
    <row r="1451" ht="18" customHeight="1">
      <c r="A1451" s="3" t="inlineStr">
        <is>
          <t>山區辦公室</t>
        </is>
      </c>
      <c r="B1451" s="4" t="n">
        <v>114</v>
      </c>
      <c r="C1451" s="8">
        <f>I1450</f>
        <v/>
      </c>
      <c r="D1451" s="4">
        <f>SUMIFS('01_異動主檔'!$F:$F,'01_異動主檔'!$B:$B,114,'01_異動主檔'!$D:$D,A1451,'01_異動主檔'!$E:$E,"移入")</f>
        <v/>
      </c>
      <c r="E1451" s="4">
        <f>-SUMIFS('01_異動主檔'!$F:$F,'01_異動主檔'!$B:$B,114,'01_異動主檔'!$D:$D,A1451,'01_異動主檔'!$E:$E,"移出")</f>
        <v/>
      </c>
      <c r="F1451" s="4">
        <f>SUMIFS('01_異動主檔'!$F:$F,'01_異動主檔'!$B:$B,114,'01_異動主檔'!$D:$D,A1451,'01_異動主檔'!$E:$E,"新增")</f>
        <v/>
      </c>
      <c r="G1451" s="4">
        <f>-SUMIFS('01_異動主檔'!$F:$F,'01_異動主檔'!$B:$B,114,'01_異動主檔'!$D:$D,A1451,'01_異動主檔'!$E:$E,"減列")</f>
        <v/>
      </c>
      <c r="H1451" s="4">
        <f>-SUMIFS('01_異動主檔'!$F:$F,'01_異動主檔'!$B:$B,114,'01_異動主檔'!$D:$D,A1451,'01_異動主檔'!$E:$E,"精簡")</f>
        <v/>
      </c>
      <c r="I1451" s="8">
        <f>C1451+D1451+E1451+F1451+G1451+H1451</f>
        <v/>
      </c>
    </row>
    <row r="1452" ht="18" customHeight="1">
      <c r="A1452" s="5" t="inlineStr">
        <is>
          <t>山區辦公室</t>
        </is>
      </c>
      <c r="B1452" s="6" t="n">
        <v>115</v>
      </c>
      <c r="C1452" s="8">
        <f>I1451</f>
        <v/>
      </c>
      <c r="D1452" s="4">
        <f>SUMIFS('01_異動主檔'!$F:$F,'01_異動主檔'!$B:$B,115,'01_異動主檔'!$D:$D,A1452,'01_異動主檔'!$E:$E,"移入")</f>
        <v/>
      </c>
      <c r="E1452" s="4">
        <f>-SUMIFS('01_異動主檔'!$F:$F,'01_異動主檔'!$B:$B,115,'01_異動主檔'!$D:$D,A1452,'01_異動主檔'!$E:$E,"移出")</f>
        <v/>
      </c>
      <c r="F1452" s="4">
        <f>SUMIFS('01_異動主檔'!$F:$F,'01_異動主檔'!$B:$B,115,'01_異動主檔'!$D:$D,A1452,'01_異動主檔'!$E:$E,"新增")</f>
        <v/>
      </c>
      <c r="G1452" s="4">
        <f>-SUMIFS('01_異動主檔'!$F:$F,'01_異動主檔'!$B:$B,115,'01_異動主檔'!$D:$D,A1452,'01_異動主檔'!$E:$E,"減列")</f>
        <v/>
      </c>
      <c r="H1452" s="4">
        <f>-SUMIFS('01_異動主檔'!$F:$F,'01_異動主檔'!$B:$B,115,'01_異動主檔'!$D:$D,A1452,'01_異動主檔'!$E:$E,"精簡")</f>
        <v/>
      </c>
      <c r="I1452" s="8">
        <f>C1452+D1452+E1452+F1452+G1452+H1452</f>
        <v/>
      </c>
    </row>
    <row r="1453" ht="18" customHeight="1">
      <c r="A1453" s="3" t="inlineStr">
        <is>
          <t>山區辦公室</t>
        </is>
      </c>
      <c r="B1453" s="4" t="n">
        <v>116</v>
      </c>
      <c r="C1453" s="8">
        <f>I1452</f>
        <v/>
      </c>
      <c r="D1453" s="4">
        <f>SUMIFS('01_異動主檔'!$F:$F,'01_異動主檔'!$B:$B,116,'01_異動主檔'!$D:$D,A1453,'01_異動主檔'!$E:$E,"移入")</f>
        <v/>
      </c>
      <c r="E1453" s="4">
        <f>-SUMIFS('01_異動主檔'!$F:$F,'01_異動主檔'!$B:$B,116,'01_異動主檔'!$D:$D,A1453,'01_異動主檔'!$E:$E,"移出")</f>
        <v/>
      </c>
      <c r="F1453" s="4">
        <f>SUMIFS('01_異動主檔'!$F:$F,'01_異動主檔'!$B:$B,116,'01_異動主檔'!$D:$D,A1453,'01_異動主檔'!$E:$E,"新增")</f>
        <v/>
      </c>
      <c r="G1453" s="4">
        <f>-SUMIFS('01_異動主檔'!$F:$F,'01_異動主檔'!$B:$B,116,'01_異動主檔'!$D:$D,A1453,'01_異動主檔'!$E:$E,"減列")</f>
        <v/>
      </c>
      <c r="H1453" s="4">
        <f>-SUMIFS('01_異動主檔'!$F:$F,'01_異動主檔'!$B:$B,116,'01_異動主檔'!$D:$D,A1453,'01_異動主檔'!$E:$E,"精簡")</f>
        <v/>
      </c>
      <c r="I1453" s="8">
        <f>C1453+D1453+E1453+F1453+G1453+H1453</f>
        <v/>
      </c>
    </row>
    <row r="1454" ht="18" customHeight="1">
      <c r="A1454" s="5" t="inlineStr">
        <is>
          <t>山區辦公室</t>
        </is>
      </c>
      <c r="B1454" s="6" t="n">
        <v>117</v>
      </c>
      <c r="C1454" s="8">
        <f>I1453</f>
        <v/>
      </c>
      <c r="D1454" s="4">
        <f>SUMIFS('01_異動主檔'!$F:$F,'01_異動主檔'!$B:$B,117,'01_異動主檔'!$D:$D,A1454,'01_異動主檔'!$E:$E,"移入")</f>
        <v/>
      </c>
      <c r="E1454" s="4">
        <f>-SUMIFS('01_異動主檔'!$F:$F,'01_異動主檔'!$B:$B,117,'01_異動主檔'!$D:$D,A1454,'01_異動主檔'!$E:$E,"移出")</f>
        <v/>
      </c>
      <c r="F1454" s="4">
        <f>SUMIFS('01_異動主檔'!$F:$F,'01_異動主檔'!$B:$B,117,'01_異動主檔'!$D:$D,A1454,'01_異動主檔'!$E:$E,"新增")</f>
        <v/>
      </c>
      <c r="G1454" s="4">
        <f>-SUMIFS('01_異動主檔'!$F:$F,'01_異動主檔'!$B:$B,117,'01_異動主檔'!$D:$D,A1454,'01_異動主檔'!$E:$E,"減列")</f>
        <v/>
      </c>
      <c r="H1454" s="4">
        <f>-SUMIFS('01_異動主檔'!$F:$F,'01_異動主檔'!$B:$B,117,'01_異動主檔'!$D:$D,A1454,'01_異動主檔'!$E:$E,"精簡")</f>
        <v/>
      </c>
      <c r="I1454" s="8">
        <f>C1454+D1454+E1454+F1454+G1454+H1454</f>
        <v/>
      </c>
    </row>
    <row r="1455" ht="18" customHeight="1">
      <c r="A1455" s="3" t="inlineStr">
        <is>
          <t>山區辦公室</t>
        </is>
      </c>
      <c r="B1455" s="4" t="n">
        <v>118</v>
      </c>
      <c r="C1455" s="8">
        <f>I1454</f>
        <v/>
      </c>
      <c r="D1455" s="4">
        <f>SUMIFS('01_異動主檔'!$F:$F,'01_異動主檔'!$B:$B,118,'01_異動主檔'!$D:$D,A1455,'01_異動主檔'!$E:$E,"移入")</f>
        <v/>
      </c>
      <c r="E1455" s="4">
        <f>-SUMIFS('01_異動主檔'!$F:$F,'01_異動主檔'!$B:$B,118,'01_異動主檔'!$D:$D,A1455,'01_異動主檔'!$E:$E,"移出")</f>
        <v/>
      </c>
      <c r="F1455" s="4">
        <f>SUMIFS('01_異動主檔'!$F:$F,'01_異動主檔'!$B:$B,118,'01_異動主檔'!$D:$D,A1455,'01_異動主檔'!$E:$E,"新增")</f>
        <v/>
      </c>
      <c r="G1455" s="4">
        <f>-SUMIFS('01_異動主檔'!$F:$F,'01_異動主檔'!$B:$B,118,'01_異動主檔'!$D:$D,A1455,'01_異動主檔'!$E:$E,"減列")</f>
        <v/>
      </c>
      <c r="H1455" s="4">
        <f>-SUMIFS('01_異動主檔'!$F:$F,'01_異動主檔'!$B:$B,118,'01_異動主檔'!$D:$D,A1455,'01_異動主檔'!$E:$E,"精簡")</f>
        <v/>
      </c>
      <c r="I1455" s="8">
        <f>C1455+D1455+E1455+F1455+G1455+H1455</f>
        <v/>
      </c>
    </row>
    <row r="1456" ht="18" customHeight="1">
      <c r="A1456" s="5" t="inlineStr">
        <is>
          <t>山區辦公室</t>
        </is>
      </c>
      <c r="B1456" s="6" t="n">
        <v>119</v>
      </c>
      <c r="C1456" s="8">
        <f>I1455</f>
        <v/>
      </c>
      <c r="D1456" s="4">
        <f>SUMIFS('01_異動主檔'!$F:$F,'01_異動主檔'!$B:$B,119,'01_異動主檔'!$D:$D,A1456,'01_異動主檔'!$E:$E,"移入")</f>
        <v/>
      </c>
      <c r="E1456" s="4">
        <f>-SUMIFS('01_異動主檔'!$F:$F,'01_異動主檔'!$B:$B,119,'01_異動主檔'!$D:$D,A1456,'01_異動主檔'!$E:$E,"移出")</f>
        <v/>
      </c>
      <c r="F1456" s="4">
        <f>SUMIFS('01_異動主檔'!$F:$F,'01_異動主檔'!$B:$B,119,'01_異動主檔'!$D:$D,A1456,'01_異動主檔'!$E:$E,"新增")</f>
        <v/>
      </c>
      <c r="G1456" s="4">
        <f>-SUMIFS('01_異動主檔'!$F:$F,'01_異動主檔'!$B:$B,119,'01_異動主檔'!$D:$D,A1456,'01_異動主檔'!$E:$E,"減列")</f>
        <v/>
      </c>
      <c r="H1456" s="4">
        <f>-SUMIFS('01_異動主檔'!$F:$F,'01_異動主檔'!$B:$B,119,'01_異動主檔'!$D:$D,A1456,'01_異動主檔'!$E:$E,"精簡")</f>
        <v/>
      </c>
      <c r="I1456" s="8">
        <f>C1456+D1456+E1456+F1456+G1456+H1456</f>
        <v/>
      </c>
    </row>
    <row r="1457" ht="18" customHeight="1">
      <c r="A1457" s="3" t="inlineStr">
        <is>
          <t>山區辦公室</t>
        </is>
      </c>
      <c r="B1457" s="4" t="n">
        <v>120</v>
      </c>
      <c r="C1457" s="8">
        <f>I1456</f>
        <v/>
      </c>
      <c r="D1457" s="4">
        <f>SUMIFS('01_異動主檔'!$F:$F,'01_異動主檔'!$B:$B,120,'01_異動主檔'!$D:$D,A1457,'01_異動主檔'!$E:$E,"移入")</f>
        <v/>
      </c>
      <c r="E1457" s="4">
        <f>-SUMIFS('01_異動主檔'!$F:$F,'01_異動主檔'!$B:$B,120,'01_異動主檔'!$D:$D,A1457,'01_異動主檔'!$E:$E,"移出")</f>
        <v/>
      </c>
      <c r="F1457" s="4">
        <f>SUMIFS('01_異動主檔'!$F:$F,'01_異動主檔'!$B:$B,120,'01_異動主檔'!$D:$D,A1457,'01_異動主檔'!$E:$E,"新增")</f>
        <v/>
      </c>
      <c r="G1457" s="4">
        <f>-SUMIFS('01_異動主檔'!$F:$F,'01_異動主檔'!$B:$B,120,'01_異動主檔'!$D:$D,A1457,'01_異動主檔'!$E:$E,"減列")</f>
        <v/>
      </c>
      <c r="H1457" s="4">
        <f>-SUMIFS('01_異動主檔'!$F:$F,'01_異動主檔'!$B:$B,120,'01_異動主檔'!$D:$D,A1457,'01_異動主檔'!$E:$E,"精簡")</f>
        <v/>
      </c>
      <c r="I1457" s="8">
        <f>C1457+D1457+E1457+F1457+G1457+H1457</f>
        <v/>
      </c>
    </row>
    <row r="1458" ht="18" customHeight="1">
      <c r="A1458" s="5" t="inlineStr">
        <is>
          <t>山區辦公室</t>
        </is>
      </c>
      <c r="B1458" s="6" t="n">
        <v>121</v>
      </c>
      <c r="C1458" s="8">
        <f>I1457</f>
        <v/>
      </c>
      <c r="D1458" s="4">
        <f>SUMIFS('01_異動主檔'!$F:$F,'01_異動主檔'!$B:$B,121,'01_異動主檔'!$D:$D,A1458,'01_異動主檔'!$E:$E,"移入")</f>
        <v/>
      </c>
      <c r="E1458" s="4">
        <f>-SUMIFS('01_異動主檔'!$F:$F,'01_異動主檔'!$B:$B,121,'01_異動主檔'!$D:$D,A1458,'01_異動主檔'!$E:$E,"移出")</f>
        <v/>
      </c>
      <c r="F1458" s="4">
        <f>SUMIFS('01_異動主檔'!$F:$F,'01_異動主檔'!$B:$B,121,'01_異動主檔'!$D:$D,A1458,'01_異動主檔'!$E:$E,"新增")</f>
        <v/>
      </c>
      <c r="G1458" s="4">
        <f>-SUMIFS('01_異動主檔'!$F:$F,'01_異動主檔'!$B:$B,121,'01_異動主檔'!$D:$D,A1458,'01_異動主檔'!$E:$E,"減列")</f>
        <v/>
      </c>
      <c r="H1458" s="4">
        <f>-SUMIFS('01_異動主檔'!$F:$F,'01_異動主檔'!$B:$B,121,'01_異動主檔'!$D:$D,A1458,'01_異動主檔'!$E:$E,"精簡")</f>
        <v/>
      </c>
      <c r="I1458" s="8">
        <f>C1458+D1458+E1458+F1458+G1458+H1458</f>
        <v/>
      </c>
    </row>
    <row r="1459" ht="18" customHeight="1">
      <c r="A1459" s="3" t="inlineStr">
        <is>
          <t>山區辦公室</t>
        </is>
      </c>
      <c r="B1459" s="4" t="n">
        <v>122</v>
      </c>
      <c r="C1459" s="8">
        <f>I1458</f>
        <v/>
      </c>
      <c r="D1459" s="4">
        <f>SUMIFS('01_異動主檔'!$F:$F,'01_異動主檔'!$B:$B,122,'01_異動主檔'!$D:$D,A1459,'01_異動主檔'!$E:$E,"移入")</f>
        <v/>
      </c>
      <c r="E1459" s="4">
        <f>-SUMIFS('01_異動主檔'!$F:$F,'01_異動主檔'!$B:$B,122,'01_異動主檔'!$D:$D,A1459,'01_異動主檔'!$E:$E,"移出")</f>
        <v/>
      </c>
      <c r="F1459" s="4">
        <f>SUMIFS('01_異動主檔'!$F:$F,'01_異動主檔'!$B:$B,122,'01_異動主檔'!$D:$D,A1459,'01_異動主檔'!$E:$E,"新增")</f>
        <v/>
      </c>
      <c r="G1459" s="4">
        <f>-SUMIFS('01_異動主檔'!$F:$F,'01_異動主檔'!$B:$B,122,'01_異動主檔'!$D:$D,A1459,'01_異動主檔'!$E:$E,"減列")</f>
        <v/>
      </c>
      <c r="H1459" s="4">
        <f>-SUMIFS('01_異動主檔'!$F:$F,'01_異動主檔'!$B:$B,122,'01_異動主檔'!$D:$D,A1459,'01_異動主檔'!$E:$E,"精簡")</f>
        <v/>
      </c>
      <c r="I1459" s="8">
        <f>C1459+D1459+E1459+F1459+G1459+H1459</f>
        <v/>
      </c>
    </row>
    <row r="1460" ht="18" customHeight="1">
      <c r="A1460" s="5" t="inlineStr">
        <is>
          <t>山區辦公室</t>
        </is>
      </c>
      <c r="B1460" s="6" t="n">
        <v>123</v>
      </c>
      <c r="C1460" s="8">
        <f>I1459</f>
        <v/>
      </c>
      <c r="D1460" s="4">
        <f>SUMIFS('01_異動主檔'!$F:$F,'01_異動主檔'!$B:$B,123,'01_異動主檔'!$D:$D,A1460,'01_異動主檔'!$E:$E,"移入")</f>
        <v/>
      </c>
      <c r="E1460" s="4">
        <f>-SUMIFS('01_異動主檔'!$F:$F,'01_異動主檔'!$B:$B,123,'01_異動主檔'!$D:$D,A1460,'01_異動主檔'!$E:$E,"移出")</f>
        <v/>
      </c>
      <c r="F1460" s="4">
        <f>SUMIFS('01_異動主檔'!$F:$F,'01_異動主檔'!$B:$B,123,'01_異動主檔'!$D:$D,A1460,'01_異動主檔'!$E:$E,"新增")</f>
        <v/>
      </c>
      <c r="G1460" s="4">
        <f>-SUMIFS('01_異動主檔'!$F:$F,'01_異動主檔'!$B:$B,123,'01_異動主檔'!$D:$D,A1460,'01_異動主檔'!$E:$E,"減列")</f>
        <v/>
      </c>
      <c r="H1460" s="4">
        <f>-SUMIFS('01_異動主檔'!$F:$F,'01_異動主檔'!$B:$B,123,'01_異動主檔'!$D:$D,A1460,'01_異動主檔'!$E:$E,"精簡")</f>
        <v/>
      </c>
      <c r="I1460" s="8">
        <f>C1460+D1460+E1460+F1460+G1460+H1460</f>
        <v/>
      </c>
    </row>
    <row r="1461" ht="18" customHeight="1">
      <c r="A1461" s="3" t="inlineStr">
        <is>
          <t>山區辦公室</t>
        </is>
      </c>
      <c r="B1461" s="4" t="n">
        <v>124</v>
      </c>
      <c r="C1461" s="8">
        <f>I1460</f>
        <v/>
      </c>
      <c r="D1461" s="4">
        <f>SUMIFS('01_異動主檔'!$F:$F,'01_異動主檔'!$B:$B,124,'01_異動主檔'!$D:$D,A1461,'01_異動主檔'!$E:$E,"移入")</f>
        <v/>
      </c>
      <c r="E1461" s="4">
        <f>-SUMIFS('01_異動主檔'!$F:$F,'01_異動主檔'!$B:$B,124,'01_異動主檔'!$D:$D,A1461,'01_異動主檔'!$E:$E,"移出")</f>
        <v/>
      </c>
      <c r="F1461" s="4">
        <f>SUMIFS('01_異動主檔'!$F:$F,'01_異動主檔'!$B:$B,124,'01_異動主檔'!$D:$D,A1461,'01_異動主檔'!$E:$E,"新增")</f>
        <v/>
      </c>
      <c r="G1461" s="4">
        <f>-SUMIFS('01_異動主檔'!$F:$F,'01_異動主檔'!$B:$B,124,'01_異動主檔'!$D:$D,A1461,'01_異動主檔'!$E:$E,"減列")</f>
        <v/>
      </c>
      <c r="H1461" s="4">
        <f>-SUMIFS('01_異動主檔'!$F:$F,'01_異動主檔'!$B:$B,124,'01_異動主檔'!$D:$D,A1461,'01_異動主檔'!$E:$E,"精簡")</f>
        <v/>
      </c>
      <c r="I1461" s="8">
        <f>C1461+D1461+E1461+F1461+G1461+H1461</f>
        <v/>
      </c>
    </row>
    <row r="1462" ht="18" customHeight="1">
      <c r="A1462" s="5" t="inlineStr">
        <is>
          <t>山區辦公室</t>
        </is>
      </c>
      <c r="B1462" s="6" t="n">
        <v>125</v>
      </c>
      <c r="C1462" s="8">
        <f>I1461</f>
        <v/>
      </c>
      <c r="D1462" s="4">
        <f>SUMIFS('01_異動主檔'!$F:$F,'01_異動主檔'!$B:$B,125,'01_異動主檔'!$D:$D,A1462,'01_異動主檔'!$E:$E,"移入")</f>
        <v/>
      </c>
      <c r="E1462" s="4">
        <f>-SUMIFS('01_異動主檔'!$F:$F,'01_異動主檔'!$B:$B,125,'01_異動主檔'!$D:$D,A1462,'01_異動主檔'!$E:$E,"移出")</f>
        <v/>
      </c>
      <c r="F1462" s="4">
        <f>SUMIFS('01_異動主檔'!$F:$F,'01_異動主檔'!$B:$B,125,'01_異動主檔'!$D:$D,A1462,'01_異動主檔'!$E:$E,"新增")</f>
        <v/>
      </c>
      <c r="G1462" s="4">
        <f>-SUMIFS('01_異動主檔'!$F:$F,'01_異動主檔'!$B:$B,125,'01_異動主檔'!$D:$D,A1462,'01_異動主檔'!$E:$E,"減列")</f>
        <v/>
      </c>
      <c r="H1462" s="4">
        <f>-SUMIFS('01_異動主檔'!$F:$F,'01_異動主檔'!$B:$B,125,'01_異動主檔'!$D:$D,A1462,'01_異動主檔'!$E:$E,"精簡")</f>
        <v/>
      </c>
      <c r="I1462" s="8">
        <f>C1462+D1462+E1462+F1462+G1462+H1462</f>
        <v/>
      </c>
    </row>
    <row r="1463" ht="18" customHeight="1">
      <c r="A1463" s="3" t="inlineStr">
        <is>
          <t>海岸辦公室</t>
        </is>
      </c>
      <c r="B1463" s="4" t="n">
        <v>99</v>
      </c>
      <c r="C1463" s="8">
        <f>'02_年初員額設定'!B59</f>
        <v/>
      </c>
      <c r="D1463" s="4">
        <f>SUMIFS('01_異動主檔'!$F:$F,'01_異動主檔'!$B:$B,99,'01_異動主檔'!$D:$D,A1463,'01_異動主檔'!$E:$E,"移入")</f>
        <v/>
      </c>
      <c r="E1463" s="4">
        <f>-SUMIFS('01_異動主檔'!$F:$F,'01_異動主檔'!$B:$B,99,'01_異動主檔'!$D:$D,A1463,'01_異動主檔'!$E:$E,"移出")</f>
        <v/>
      </c>
      <c r="F1463" s="4">
        <f>SUMIFS('01_異動主檔'!$F:$F,'01_異動主檔'!$B:$B,99,'01_異動主檔'!$D:$D,A1463,'01_異動主檔'!$E:$E,"新增")</f>
        <v/>
      </c>
      <c r="G1463" s="4">
        <f>-SUMIFS('01_異動主檔'!$F:$F,'01_異動主檔'!$B:$B,99,'01_異動主檔'!$D:$D,A1463,'01_異動主檔'!$E:$E,"減列")</f>
        <v/>
      </c>
      <c r="H1463" s="4">
        <f>-SUMIFS('01_異動主檔'!$F:$F,'01_異動主檔'!$B:$B,99,'01_異動主檔'!$D:$D,A1463,'01_異動主檔'!$E:$E,"精簡")</f>
        <v/>
      </c>
      <c r="I1463" s="8">
        <f>C1463+D1463+E1463+F1463+G1463+H1463</f>
        <v/>
      </c>
    </row>
    <row r="1464" ht="18" customHeight="1">
      <c r="A1464" s="5" t="inlineStr">
        <is>
          <t>海岸辦公室</t>
        </is>
      </c>
      <c r="B1464" s="6" t="n">
        <v>100</v>
      </c>
      <c r="C1464" s="8">
        <f>I1463</f>
        <v/>
      </c>
      <c r="D1464" s="4">
        <f>SUMIFS('01_異動主檔'!$F:$F,'01_異動主檔'!$B:$B,100,'01_異動主檔'!$D:$D,A1464,'01_異動主檔'!$E:$E,"移入")</f>
        <v/>
      </c>
      <c r="E1464" s="4">
        <f>-SUMIFS('01_異動主檔'!$F:$F,'01_異動主檔'!$B:$B,100,'01_異動主檔'!$D:$D,A1464,'01_異動主檔'!$E:$E,"移出")</f>
        <v/>
      </c>
      <c r="F1464" s="4">
        <f>SUMIFS('01_異動主檔'!$F:$F,'01_異動主檔'!$B:$B,100,'01_異動主檔'!$D:$D,A1464,'01_異動主檔'!$E:$E,"新增")</f>
        <v/>
      </c>
      <c r="G1464" s="4">
        <f>-SUMIFS('01_異動主檔'!$F:$F,'01_異動主檔'!$B:$B,100,'01_異動主檔'!$D:$D,A1464,'01_異動主檔'!$E:$E,"減列")</f>
        <v/>
      </c>
      <c r="H1464" s="4">
        <f>-SUMIFS('01_異動主檔'!$F:$F,'01_異動主檔'!$B:$B,100,'01_異動主檔'!$D:$D,A1464,'01_異動主檔'!$E:$E,"精簡")</f>
        <v/>
      </c>
      <c r="I1464" s="8">
        <f>C1464+D1464+E1464+F1464+G1464+H1464</f>
        <v/>
      </c>
    </row>
    <row r="1465" ht="18" customHeight="1">
      <c r="A1465" s="3" t="inlineStr">
        <is>
          <t>海岸辦公室</t>
        </is>
      </c>
      <c r="B1465" s="4" t="n">
        <v>101</v>
      </c>
      <c r="C1465" s="8">
        <f>I1464</f>
        <v/>
      </c>
      <c r="D1465" s="4">
        <f>SUMIFS('01_異動主檔'!$F:$F,'01_異動主檔'!$B:$B,101,'01_異動主檔'!$D:$D,A1465,'01_異動主檔'!$E:$E,"移入")</f>
        <v/>
      </c>
      <c r="E1465" s="4">
        <f>-SUMIFS('01_異動主檔'!$F:$F,'01_異動主檔'!$B:$B,101,'01_異動主檔'!$D:$D,A1465,'01_異動主檔'!$E:$E,"移出")</f>
        <v/>
      </c>
      <c r="F1465" s="4">
        <f>SUMIFS('01_異動主檔'!$F:$F,'01_異動主檔'!$B:$B,101,'01_異動主檔'!$D:$D,A1465,'01_異動主檔'!$E:$E,"新增")</f>
        <v/>
      </c>
      <c r="G1465" s="4">
        <f>-SUMIFS('01_異動主檔'!$F:$F,'01_異動主檔'!$B:$B,101,'01_異動主檔'!$D:$D,A1465,'01_異動主檔'!$E:$E,"減列")</f>
        <v/>
      </c>
      <c r="H1465" s="4">
        <f>-SUMIFS('01_異動主檔'!$F:$F,'01_異動主檔'!$B:$B,101,'01_異動主檔'!$D:$D,A1465,'01_異動主檔'!$E:$E,"精簡")</f>
        <v/>
      </c>
      <c r="I1465" s="8">
        <f>C1465+D1465+E1465+F1465+G1465+H1465</f>
        <v/>
      </c>
    </row>
    <row r="1466" ht="18" customHeight="1">
      <c r="A1466" s="5" t="inlineStr">
        <is>
          <t>海岸辦公室</t>
        </is>
      </c>
      <c r="B1466" s="6" t="n">
        <v>102</v>
      </c>
      <c r="C1466" s="8">
        <f>I1465</f>
        <v/>
      </c>
      <c r="D1466" s="4">
        <f>SUMIFS('01_異動主檔'!$F:$F,'01_異動主檔'!$B:$B,102,'01_異動主檔'!$D:$D,A1466,'01_異動主檔'!$E:$E,"移入")</f>
        <v/>
      </c>
      <c r="E1466" s="4">
        <f>-SUMIFS('01_異動主檔'!$F:$F,'01_異動主檔'!$B:$B,102,'01_異動主檔'!$D:$D,A1466,'01_異動主檔'!$E:$E,"移出")</f>
        <v/>
      </c>
      <c r="F1466" s="4">
        <f>SUMIFS('01_異動主檔'!$F:$F,'01_異動主檔'!$B:$B,102,'01_異動主檔'!$D:$D,A1466,'01_異動主檔'!$E:$E,"新增")</f>
        <v/>
      </c>
      <c r="G1466" s="4">
        <f>-SUMIFS('01_異動主檔'!$F:$F,'01_異動主檔'!$B:$B,102,'01_異動主檔'!$D:$D,A1466,'01_異動主檔'!$E:$E,"減列")</f>
        <v/>
      </c>
      <c r="H1466" s="4">
        <f>-SUMIFS('01_異動主檔'!$F:$F,'01_異動主檔'!$B:$B,102,'01_異動主檔'!$D:$D,A1466,'01_異動主檔'!$E:$E,"精簡")</f>
        <v/>
      </c>
      <c r="I1466" s="8">
        <f>C1466+D1466+E1466+F1466+G1466+H1466</f>
        <v/>
      </c>
    </row>
    <row r="1467" ht="18" customHeight="1">
      <c r="A1467" s="3" t="inlineStr">
        <is>
          <t>海岸辦公室</t>
        </is>
      </c>
      <c r="B1467" s="4" t="n">
        <v>103</v>
      </c>
      <c r="C1467" s="8">
        <f>I1466</f>
        <v/>
      </c>
      <c r="D1467" s="4">
        <f>SUMIFS('01_異動主檔'!$F:$F,'01_異動主檔'!$B:$B,103,'01_異動主檔'!$D:$D,A1467,'01_異動主檔'!$E:$E,"移入")</f>
        <v/>
      </c>
      <c r="E1467" s="4">
        <f>-SUMIFS('01_異動主檔'!$F:$F,'01_異動主檔'!$B:$B,103,'01_異動主檔'!$D:$D,A1467,'01_異動主檔'!$E:$E,"移出")</f>
        <v/>
      </c>
      <c r="F1467" s="4">
        <f>SUMIFS('01_異動主檔'!$F:$F,'01_異動主檔'!$B:$B,103,'01_異動主檔'!$D:$D,A1467,'01_異動主檔'!$E:$E,"新增")</f>
        <v/>
      </c>
      <c r="G1467" s="4">
        <f>-SUMIFS('01_異動主檔'!$F:$F,'01_異動主檔'!$B:$B,103,'01_異動主檔'!$D:$D,A1467,'01_異動主檔'!$E:$E,"減列")</f>
        <v/>
      </c>
      <c r="H1467" s="4">
        <f>-SUMIFS('01_異動主檔'!$F:$F,'01_異動主檔'!$B:$B,103,'01_異動主檔'!$D:$D,A1467,'01_異動主檔'!$E:$E,"精簡")</f>
        <v/>
      </c>
      <c r="I1467" s="8">
        <f>C1467+D1467+E1467+F1467+G1467+H1467</f>
        <v/>
      </c>
    </row>
    <row r="1468" ht="18" customHeight="1">
      <c r="A1468" s="5" t="inlineStr">
        <is>
          <t>海岸辦公室</t>
        </is>
      </c>
      <c r="B1468" s="6" t="n">
        <v>104</v>
      </c>
      <c r="C1468" s="8">
        <f>I1467</f>
        <v/>
      </c>
      <c r="D1468" s="4">
        <f>SUMIFS('01_異動主檔'!$F:$F,'01_異動主檔'!$B:$B,104,'01_異動主檔'!$D:$D,A1468,'01_異動主檔'!$E:$E,"移入")</f>
        <v/>
      </c>
      <c r="E1468" s="4">
        <f>-SUMIFS('01_異動主檔'!$F:$F,'01_異動主檔'!$B:$B,104,'01_異動主檔'!$D:$D,A1468,'01_異動主檔'!$E:$E,"移出")</f>
        <v/>
      </c>
      <c r="F1468" s="4">
        <f>SUMIFS('01_異動主檔'!$F:$F,'01_異動主檔'!$B:$B,104,'01_異動主檔'!$D:$D,A1468,'01_異動主檔'!$E:$E,"新增")</f>
        <v/>
      </c>
      <c r="G1468" s="4">
        <f>-SUMIFS('01_異動主檔'!$F:$F,'01_異動主檔'!$B:$B,104,'01_異動主檔'!$D:$D,A1468,'01_異動主檔'!$E:$E,"減列")</f>
        <v/>
      </c>
      <c r="H1468" s="4">
        <f>-SUMIFS('01_異動主檔'!$F:$F,'01_異動主檔'!$B:$B,104,'01_異動主檔'!$D:$D,A1468,'01_異動主檔'!$E:$E,"精簡")</f>
        <v/>
      </c>
      <c r="I1468" s="8">
        <f>C1468+D1468+E1468+F1468+G1468+H1468</f>
        <v/>
      </c>
    </row>
    <row r="1469" ht="18" customHeight="1">
      <c r="A1469" s="3" t="inlineStr">
        <is>
          <t>海岸辦公室</t>
        </is>
      </c>
      <c r="B1469" s="4" t="n">
        <v>105</v>
      </c>
      <c r="C1469" s="8">
        <f>I1468</f>
        <v/>
      </c>
      <c r="D1469" s="4">
        <f>SUMIFS('01_異動主檔'!$F:$F,'01_異動主檔'!$B:$B,105,'01_異動主檔'!$D:$D,A1469,'01_異動主檔'!$E:$E,"移入")</f>
        <v/>
      </c>
      <c r="E1469" s="4">
        <f>-SUMIFS('01_異動主檔'!$F:$F,'01_異動主檔'!$B:$B,105,'01_異動主檔'!$D:$D,A1469,'01_異動主檔'!$E:$E,"移出")</f>
        <v/>
      </c>
      <c r="F1469" s="4">
        <f>SUMIFS('01_異動主檔'!$F:$F,'01_異動主檔'!$B:$B,105,'01_異動主檔'!$D:$D,A1469,'01_異動主檔'!$E:$E,"新增")</f>
        <v/>
      </c>
      <c r="G1469" s="4">
        <f>-SUMIFS('01_異動主檔'!$F:$F,'01_異動主檔'!$B:$B,105,'01_異動主檔'!$D:$D,A1469,'01_異動主檔'!$E:$E,"減列")</f>
        <v/>
      </c>
      <c r="H1469" s="4">
        <f>-SUMIFS('01_異動主檔'!$F:$F,'01_異動主檔'!$B:$B,105,'01_異動主檔'!$D:$D,A1469,'01_異動主檔'!$E:$E,"精簡")</f>
        <v/>
      </c>
      <c r="I1469" s="8">
        <f>C1469+D1469+E1469+F1469+G1469+H1469</f>
        <v/>
      </c>
    </row>
    <row r="1470" ht="18" customHeight="1">
      <c r="A1470" s="5" t="inlineStr">
        <is>
          <t>海岸辦公室</t>
        </is>
      </c>
      <c r="B1470" s="6" t="n">
        <v>106</v>
      </c>
      <c r="C1470" s="8">
        <f>I1469</f>
        <v/>
      </c>
      <c r="D1470" s="4">
        <f>SUMIFS('01_異動主檔'!$F:$F,'01_異動主檔'!$B:$B,106,'01_異動主檔'!$D:$D,A1470,'01_異動主檔'!$E:$E,"移入")</f>
        <v/>
      </c>
      <c r="E1470" s="4">
        <f>-SUMIFS('01_異動主檔'!$F:$F,'01_異動主檔'!$B:$B,106,'01_異動主檔'!$D:$D,A1470,'01_異動主檔'!$E:$E,"移出")</f>
        <v/>
      </c>
      <c r="F1470" s="4">
        <f>SUMIFS('01_異動主檔'!$F:$F,'01_異動主檔'!$B:$B,106,'01_異動主檔'!$D:$D,A1470,'01_異動主檔'!$E:$E,"新增")</f>
        <v/>
      </c>
      <c r="G1470" s="4">
        <f>-SUMIFS('01_異動主檔'!$F:$F,'01_異動主檔'!$B:$B,106,'01_異動主檔'!$D:$D,A1470,'01_異動主檔'!$E:$E,"減列")</f>
        <v/>
      </c>
      <c r="H1470" s="4">
        <f>-SUMIFS('01_異動主檔'!$F:$F,'01_異動主檔'!$B:$B,106,'01_異動主檔'!$D:$D,A1470,'01_異動主檔'!$E:$E,"精簡")</f>
        <v/>
      </c>
      <c r="I1470" s="8">
        <f>C1470+D1470+E1470+F1470+G1470+H1470</f>
        <v/>
      </c>
    </row>
    <row r="1471" ht="18" customHeight="1">
      <c r="A1471" s="3" t="inlineStr">
        <is>
          <t>海岸辦公室</t>
        </is>
      </c>
      <c r="B1471" s="4" t="n">
        <v>107</v>
      </c>
      <c r="C1471" s="8">
        <f>I1470</f>
        <v/>
      </c>
      <c r="D1471" s="4">
        <f>SUMIFS('01_異動主檔'!$F:$F,'01_異動主檔'!$B:$B,107,'01_異動主檔'!$D:$D,A1471,'01_異動主檔'!$E:$E,"移入")</f>
        <v/>
      </c>
      <c r="E1471" s="4">
        <f>-SUMIFS('01_異動主檔'!$F:$F,'01_異動主檔'!$B:$B,107,'01_異動主檔'!$D:$D,A1471,'01_異動主檔'!$E:$E,"移出")</f>
        <v/>
      </c>
      <c r="F1471" s="4">
        <f>SUMIFS('01_異動主檔'!$F:$F,'01_異動主檔'!$B:$B,107,'01_異動主檔'!$D:$D,A1471,'01_異動主檔'!$E:$E,"新增")</f>
        <v/>
      </c>
      <c r="G1471" s="4">
        <f>-SUMIFS('01_異動主檔'!$F:$F,'01_異動主檔'!$B:$B,107,'01_異動主檔'!$D:$D,A1471,'01_異動主檔'!$E:$E,"減列")</f>
        <v/>
      </c>
      <c r="H1471" s="4">
        <f>-SUMIFS('01_異動主檔'!$F:$F,'01_異動主檔'!$B:$B,107,'01_異動主檔'!$D:$D,A1471,'01_異動主檔'!$E:$E,"精簡")</f>
        <v/>
      </c>
      <c r="I1471" s="8">
        <f>C1471+D1471+E1471+F1471+G1471+H1471</f>
        <v/>
      </c>
    </row>
    <row r="1472" ht="18" customHeight="1">
      <c r="A1472" s="5" t="inlineStr">
        <is>
          <t>海岸辦公室</t>
        </is>
      </c>
      <c r="B1472" s="6" t="n">
        <v>108</v>
      </c>
      <c r="C1472" s="8">
        <f>I1471</f>
        <v/>
      </c>
      <c r="D1472" s="4">
        <f>SUMIFS('01_異動主檔'!$F:$F,'01_異動主檔'!$B:$B,108,'01_異動主檔'!$D:$D,A1472,'01_異動主檔'!$E:$E,"移入")</f>
        <v/>
      </c>
      <c r="E1472" s="4">
        <f>-SUMIFS('01_異動主檔'!$F:$F,'01_異動主檔'!$B:$B,108,'01_異動主檔'!$D:$D,A1472,'01_異動主檔'!$E:$E,"移出")</f>
        <v/>
      </c>
      <c r="F1472" s="4">
        <f>SUMIFS('01_異動主檔'!$F:$F,'01_異動主檔'!$B:$B,108,'01_異動主檔'!$D:$D,A1472,'01_異動主檔'!$E:$E,"新增")</f>
        <v/>
      </c>
      <c r="G1472" s="4">
        <f>-SUMIFS('01_異動主檔'!$F:$F,'01_異動主檔'!$B:$B,108,'01_異動主檔'!$D:$D,A1472,'01_異動主檔'!$E:$E,"減列")</f>
        <v/>
      </c>
      <c r="H1472" s="4">
        <f>-SUMIFS('01_異動主檔'!$F:$F,'01_異動主檔'!$B:$B,108,'01_異動主檔'!$D:$D,A1472,'01_異動主檔'!$E:$E,"精簡")</f>
        <v/>
      </c>
      <c r="I1472" s="8">
        <f>C1472+D1472+E1472+F1472+G1472+H1472</f>
        <v/>
      </c>
    </row>
    <row r="1473" ht="18" customHeight="1">
      <c r="A1473" s="3" t="inlineStr">
        <is>
          <t>海岸辦公室</t>
        </is>
      </c>
      <c r="B1473" s="4" t="n">
        <v>109</v>
      </c>
      <c r="C1473" s="8">
        <f>I1472</f>
        <v/>
      </c>
      <c r="D1473" s="4">
        <f>SUMIFS('01_異動主檔'!$F:$F,'01_異動主檔'!$B:$B,109,'01_異動主檔'!$D:$D,A1473,'01_異動主檔'!$E:$E,"移入")</f>
        <v/>
      </c>
      <c r="E1473" s="4">
        <f>-SUMIFS('01_異動主檔'!$F:$F,'01_異動主檔'!$B:$B,109,'01_異動主檔'!$D:$D,A1473,'01_異動主檔'!$E:$E,"移出")</f>
        <v/>
      </c>
      <c r="F1473" s="4">
        <f>SUMIFS('01_異動主檔'!$F:$F,'01_異動主檔'!$B:$B,109,'01_異動主檔'!$D:$D,A1473,'01_異動主檔'!$E:$E,"新增")</f>
        <v/>
      </c>
      <c r="G1473" s="4">
        <f>-SUMIFS('01_異動主檔'!$F:$F,'01_異動主檔'!$B:$B,109,'01_異動主檔'!$D:$D,A1473,'01_異動主檔'!$E:$E,"減列")</f>
        <v/>
      </c>
      <c r="H1473" s="4">
        <f>-SUMIFS('01_異動主檔'!$F:$F,'01_異動主檔'!$B:$B,109,'01_異動主檔'!$D:$D,A1473,'01_異動主檔'!$E:$E,"精簡")</f>
        <v/>
      </c>
      <c r="I1473" s="8">
        <f>C1473+D1473+E1473+F1473+G1473+H1473</f>
        <v/>
      </c>
    </row>
    <row r="1474" ht="18" customHeight="1">
      <c r="A1474" s="5" t="inlineStr">
        <is>
          <t>海岸辦公室</t>
        </is>
      </c>
      <c r="B1474" s="6" t="n">
        <v>110</v>
      </c>
      <c r="C1474" s="8">
        <f>I1473</f>
        <v/>
      </c>
      <c r="D1474" s="4">
        <f>SUMIFS('01_異動主檔'!$F:$F,'01_異動主檔'!$B:$B,110,'01_異動主檔'!$D:$D,A1474,'01_異動主檔'!$E:$E,"移入")</f>
        <v/>
      </c>
      <c r="E1474" s="4">
        <f>-SUMIFS('01_異動主檔'!$F:$F,'01_異動主檔'!$B:$B,110,'01_異動主檔'!$D:$D,A1474,'01_異動主檔'!$E:$E,"移出")</f>
        <v/>
      </c>
      <c r="F1474" s="4">
        <f>SUMIFS('01_異動主檔'!$F:$F,'01_異動主檔'!$B:$B,110,'01_異動主檔'!$D:$D,A1474,'01_異動主檔'!$E:$E,"新增")</f>
        <v/>
      </c>
      <c r="G1474" s="4">
        <f>-SUMIFS('01_異動主檔'!$F:$F,'01_異動主檔'!$B:$B,110,'01_異動主檔'!$D:$D,A1474,'01_異動主檔'!$E:$E,"減列")</f>
        <v/>
      </c>
      <c r="H1474" s="4">
        <f>-SUMIFS('01_異動主檔'!$F:$F,'01_異動主檔'!$B:$B,110,'01_異動主檔'!$D:$D,A1474,'01_異動主檔'!$E:$E,"精簡")</f>
        <v/>
      </c>
      <c r="I1474" s="8">
        <f>C1474+D1474+E1474+F1474+G1474+H1474</f>
        <v/>
      </c>
    </row>
    <row r="1475" ht="18" customHeight="1">
      <c r="A1475" s="3" t="inlineStr">
        <is>
          <t>海岸辦公室</t>
        </is>
      </c>
      <c r="B1475" s="4" t="n">
        <v>111</v>
      </c>
      <c r="C1475" s="8">
        <f>I1474</f>
        <v/>
      </c>
      <c r="D1475" s="4">
        <f>SUMIFS('01_異動主檔'!$F:$F,'01_異動主檔'!$B:$B,111,'01_異動主檔'!$D:$D,A1475,'01_異動主檔'!$E:$E,"移入")</f>
        <v/>
      </c>
      <c r="E1475" s="4">
        <f>-SUMIFS('01_異動主檔'!$F:$F,'01_異動主檔'!$B:$B,111,'01_異動主檔'!$D:$D,A1475,'01_異動主檔'!$E:$E,"移出")</f>
        <v/>
      </c>
      <c r="F1475" s="4">
        <f>SUMIFS('01_異動主檔'!$F:$F,'01_異動主檔'!$B:$B,111,'01_異動主檔'!$D:$D,A1475,'01_異動主檔'!$E:$E,"新增")</f>
        <v/>
      </c>
      <c r="G1475" s="4">
        <f>-SUMIFS('01_異動主檔'!$F:$F,'01_異動主檔'!$B:$B,111,'01_異動主檔'!$D:$D,A1475,'01_異動主檔'!$E:$E,"減列")</f>
        <v/>
      </c>
      <c r="H1475" s="4">
        <f>-SUMIFS('01_異動主檔'!$F:$F,'01_異動主檔'!$B:$B,111,'01_異動主檔'!$D:$D,A1475,'01_異動主檔'!$E:$E,"精簡")</f>
        <v/>
      </c>
      <c r="I1475" s="8">
        <f>C1475+D1475+E1475+F1475+G1475+H1475</f>
        <v/>
      </c>
    </row>
    <row r="1476" ht="18" customHeight="1">
      <c r="A1476" s="5" t="inlineStr">
        <is>
          <t>海岸辦公室</t>
        </is>
      </c>
      <c r="B1476" s="6" t="n">
        <v>112</v>
      </c>
      <c r="C1476" s="8">
        <f>I1475</f>
        <v/>
      </c>
      <c r="D1476" s="4">
        <f>SUMIFS('01_異動主檔'!$F:$F,'01_異動主檔'!$B:$B,112,'01_異動主檔'!$D:$D,A1476,'01_異動主檔'!$E:$E,"移入")</f>
        <v/>
      </c>
      <c r="E1476" s="4">
        <f>-SUMIFS('01_異動主檔'!$F:$F,'01_異動主檔'!$B:$B,112,'01_異動主檔'!$D:$D,A1476,'01_異動主檔'!$E:$E,"移出")</f>
        <v/>
      </c>
      <c r="F1476" s="4">
        <f>SUMIFS('01_異動主檔'!$F:$F,'01_異動主檔'!$B:$B,112,'01_異動主檔'!$D:$D,A1476,'01_異動主檔'!$E:$E,"新增")</f>
        <v/>
      </c>
      <c r="G1476" s="4">
        <f>-SUMIFS('01_異動主檔'!$F:$F,'01_異動主檔'!$B:$B,112,'01_異動主檔'!$D:$D,A1476,'01_異動主檔'!$E:$E,"減列")</f>
        <v/>
      </c>
      <c r="H1476" s="4">
        <f>-SUMIFS('01_異動主檔'!$F:$F,'01_異動主檔'!$B:$B,112,'01_異動主檔'!$D:$D,A1476,'01_異動主檔'!$E:$E,"精簡")</f>
        <v/>
      </c>
      <c r="I1476" s="8">
        <f>C1476+D1476+E1476+F1476+G1476+H1476</f>
        <v/>
      </c>
    </row>
    <row r="1477" ht="18" customHeight="1">
      <c r="A1477" s="3" t="inlineStr">
        <is>
          <t>海岸辦公室</t>
        </is>
      </c>
      <c r="B1477" s="4" t="n">
        <v>113</v>
      </c>
      <c r="C1477" s="8">
        <f>I1476</f>
        <v/>
      </c>
      <c r="D1477" s="4">
        <f>SUMIFS('01_異動主檔'!$F:$F,'01_異動主檔'!$B:$B,113,'01_異動主檔'!$D:$D,A1477,'01_異動主檔'!$E:$E,"移入")</f>
        <v/>
      </c>
      <c r="E1477" s="4">
        <f>-SUMIFS('01_異動主檔'!$F:$F,'01_異動主檔'!$B:$B,113,'01_異動主檔'!$D:$D,A1477,'01_異動主檔'!$E:$E,"移出")</f>
        <v/>
      </c>
      <c r="F1477" s="4">
        <f>SUMIFS('01_異動主檔'!$F:$F,'01_異動主檔'!$B:$B,113,'01_異動主檔'!$D:$D,A1477,'01_異動主檔'!$E:$E,"新增")</f>
        <v/>
      </c>
      <c r="G1477" s="4">
        <f>-SUMIFS('01_異動主檔'!$F:$F,'01_異動主檔'!$B:$B,113,'01_異動主檔'!$D:$D,A1477,'01_異動主檔'!$E:$E,"減列")</f>
        <v/>
      </c>
      <c r="H1477" s="4">
        <f>-SUMIFS('01_異動主檔'!$F:$F,'01_異動主檔'!$B:$B,113,'01_異動主檔'!$D:$D,A1477,'01_異動主檔'!$E:$E,"精簡")</f>
        <v/>
      </c>
      <c r="I1477" s="8">
        <f>C1477+D1477+E1477+F1477+G1477+H1477</f>
        <v/>
      </c>
    </row>
    <row r="1478" ht="18" customHeight="1">
      <c r="A1478" s="5" t="inlineStr">
        <is>
          <t>海岸辦公室</t>
        </is>
      </c>
      <c r="B1478" s="6" t="n">
        <v>114</v>
      </c>
      <c r="C1478" s="8">
        <f>I1477</f>
        <v/>
      </c>
      <c r="D1478" s="4">
        <f>SUMIFS('01_異動主檔'!$F:$F,'01_異動主檔'!$B:$B,114,'01_異動主檔'!$D:$D,A1478,'01_異動主檔'!$E:$E,"移入")</f>
        <v/>
      </c>
      <c r="E1478" s="4">
        <f>-SUMIFS('01_異動主檔'!$F:$F,'01_異動主檔'!$B:$B,114,'01_異動主檔'!$D:$D,A1478,'01_異動主檔'!$E:$E,"移出")</f>
        <v/>
      </c>
      <c r="F1478" s="4">
        <f>SUMIFS('01_異動主檔'!$F:$F,'01_異動主檔'!$B:$B,114,'01_異動主檔'!$D:$D,A1478,'01_異動主檔'!$E:$E,"新增")</f>
        <v/>
      </c>
      <c r="G1478" s="4">
        <f>-SUMIFS('01_異動主檔'!$F:$F,'01_異動主檔'!$B:$B,114,'01_異動主檔'!$D:$D,A1478,'01_異動主檔'!$E:$E,"減列")</f>
        <v/>
      </c>
      <c r="H1478" s="4">
        <f>-SUMIFS('01_異動主檔'!$F:$F,'01_異動主檔'!$B:$B,114,'01_異動主檔'!$D:$D,A1478,'01_異動主檔'!$E:$E,"精簡")</f>
        <v/>
      </c>
      <c r="I1478" s="8">
        <f>C1478+D1478+E1478+F1478+G1478+H1478</f>
        <v/>
      </c>
    </row>
    <row r="1479" ht="18" customHeight="1">
      <c r="A1479" s="3" t="inlineStr">
        <is>
          <t>海岸辦公室</t>
        </is>
      </c>
      <c r="B1479" s="4" t="n">
        <v>115</v>
      </c>
      <c r="C1479" s="8">
        <f>I1478</f>
        <v/>
      </c>
      <c r="D1479" s="4">
        <f>SUMIFS('01_異動主檔'!$F:$F,'01_異動主檔'!$B:$B,115,'01_異動主檔'!$D:$D,A1479,'01_異動主檔'!$E:$E,"移入")</f>
        <v/>
      </c>
      <c r="E1479" s="4">
        <f>-SUMIFS('01_異動主檔'!$F:$F,'01_異動主檔'!$B:$B,115,'01_異動主檔'!$D:$D,A1479,'01_異動主檔'!$E:$E,"移出")</f>
        <v/>
      </c>
      <c r="F1479" s="4">
        <f>SUMIFS('01_異動主檔'!$F:$F,'01_異動主檔'!$B:$B,115,'01_異動主檔'!$D:$D,A1479,'01_異動主檔'!$E:$E,"新增")</f>
        <v/>
      </c>
      <c r="G1479" s="4">
        <f>-SUMIFS('01_異動主檔'!$F:$F,'01_異動主檔'!$B:$B,115,'01_異動主檔'!$D:$D,A1479,'01_異動主檔'!$E:$E,"減列")</f>
        <v/>
      </c>
      <c r="H1479" s="4">
        <f>-SUMIFS('01_異動主檔'!$F:$F,'01_異動主檔'!$B:$B,115,'01_異動主檔'!$D:$D,A1479,'01_異動主檔'!$E:$E,"精簡")</f>
        <v/>
      </c>
      <c r="I1479" s="8">
        <f>C1479+D1479+E1479+F1479+G1479+H1479</f>
        <v/>
      </c>
    </row>
    <row r="1480" ht="18" customHeight="1">
      <c r="A1480" s="5" t="inlineStr">
        <is>
          <t>海岸辦公室</t>
        </is>
      </c>
      <c r="B1480" s="6" t="n">
        <v>116</v>
      </c>
      <c r="C1480" s="8">
        <f>I1479</f>
        <v/>
      </c>
      <c r="D1480" s="4">
        <f>SUMIFS('01_異動主檔'!$F:$F,'01_異動主檔'!$B:$B,116,'01_異動主檔'!$D:$D,A1480,'01_異動主檔'!$E:$E,"移入")</f>
        <v/>
      </c>
      <c r="E1480" s="4">
        <f>-SUMIFS('01_異動主檔'!$F:$F,'01_異動主檔'!$B:$B,116,'01_異動主檔'!$D:$D,A1480,'01_異動主檔'!$E:$E,"移出")</f>
        <v/>
      </c>
      <c r="F1480" s="4">
        <f>SUMIFS('01_異動主檔'!$F:$F,'01_異動主檔'!$B:$B,116,'01_異動主檔'!$D:$D,A1480,'01_異動主檔'!$E:$E,"新增")</f>
        <v/>
      </c>
      <c r="G1480" s="4">
        <f>-SUMIFS('01_異動主檔'!$F:$F,'01_異動主檔'!$B:$B,116,'01_異動主檔'!$D:$D,A1480,'01_異動主檔'!$E:$E,"減列")</f>
        <v/>
      </c>
      <c r="H1480" s="4">
        <f>-SUMIFS('01_異動主檔'!$F:$F,'01_異動主檔'!$B:$B,116,'01_異動主檔'!$D:$D,A1480,'01_異動主檔'!$E:$E,"精簡")</f>
        <v/>
      </c>
      <c r="I1480" s="8">
        <f>C1480+D1480+E1480+F1480+G1480+H1480</f>
        <v/>
      </c>
    </row>
    <row r="1481" ht="18" customHeight="1">
      <c r="A1481" s="3" t="inlineStr">
        <is>
          <t>海岸辦公室</t>
        </is>
      </c>
      <c r="B1481" s="4" t="n">
        <v>117</v>
      </c>
      <c r="C1481" s="8">
        <f>I1480</f>
        <v/>
      </c>
      <c r="D1481" s="4">
        <f>SUMIFS('01_異動主檔'!$F:$F,'01_異動主檔'!$B:$B,117,'01_異動主檔'!$D:$D,A1481,'01_異動主檔'!$E:$E,"移入")</f>
        <v/>
      </c>
      <c r="E1481" s="4">
        <f>-SUMIFS('01_異動主檔'!$F:$F,'01_異動主檔'!$B:$B,117,'01_異動主檔'!$D:$D,A1481,'01_異動主檔'!$E:$E,"移出")</f>
        <v/>
      </c>
      <c r="F1481" s="4">
        <f>SUMIFS('01_異動主檔'!$F:$F,'01_異動主檔'!$B:$B,117,'01_異動主檔'!$D:$D,A1481,'01_異動主檔'!$E:$E,"新增")</f>
        <v/>
      </c>
      <c r="G1481" s="4">
        <f>-SUMIFS('01_異動主檔'!$F:$F,'01_異動主檔'!$B:$B,117,'01_異動主檔'!$D:$D,A1481,'01_異動主檔'!$E:$E,"減列")</f>
        <v/>
      </c>
      <c r="H1481" s="4">
        <f>-SUMIFS('01_異動主檔'!$F:$F,'01_異動主檔'!$B:$B,117,'01_異動主檔'!$D:$D,A1481,'01_異動主檔'!$E:$E,"精簡")</f>
        <v/>
      </c>
      <c r="I1481" s="8">
        <f>C1481+D1481+E1481+F1481+G1481+H1481</f>
        <v/>
      </c>
    </row>
    <row r="1482" ht="18" customHeight="1">
      <c r="A1482" s="5" t="inlineStr">
        <is>
          <t>海岸辦公室</t>
        </is>
      </c>
      <c r="B1482" s="6" t="n">
        <v>118</v>
      </c>
      <c r="C1482" s="8">
        <f>I1481</f>
        <v/>
      </c>
      <c r="D1482" s="4">
        <f>SUMIFS('01_異動主檔'!$F:$F,'01_異動主檔'!$B:$B,118,'01_異動主檔'!$D:$D,A1482,'01_異動主檔'!$E:$E,"移入")</f>
        <v/>
      </c>
      <c r="E1482" s="4">
        <f>-SUMIFS('01_異動主檔'!$F:$F,'01_異動主檔'!$B:$B,118,'01_異動主檔'!$D:$D,A1482,'01_異動主檔'!$E:$E,"移出")</f>
        <v/>
      </c>
      <c r="F1482" s="4">
        <f>SUMIFS('01_異動主檔'!$F:$F,'01_異動主檔'!$B:$B,118,'01_異動主檔'!$D:$D,A1482,'01_異動主檔'!$E:$E,"新增")</f>
        <v/>
      </c>
      <c r="G1482" s="4">
        <f>-SUMIFS('01_異動主檔'!$F:$F,'01_異動主檔'!$B:$B,118,'01_異動主檔'!$D:$D,A1482,'01_異動主檔'!$E:$E,"減列")</f>
        <v/>
      </c>
      <c r="H1482" s="4">
        <f>-SUMIFS('01_異動主檔'!$F:$F,'01_異動主檔'!$B:$B,118,'01_異動主檔'!$D:$D,A1482,'01_異動主檔'!$E:$E,"精簡")</f>
        <v/>
      </c>
      <c r="I1482" s="8">
        <f>C1482+D1482+E1482+F1482+G1482+H1482</f>
        <v/>
      </c>
    </row>
    <row r="1483" ht="18" customHeight="1">
      <c r="A1483" s="3" t="inlineStr">
        <is>
          <t>海岸辦公室</t>
        </is>
      </c>
      <c r="B1483" s="4" t="n">
        <v>119</v>
      </c>
      <c r="C1483" s="8">
        <f>I1482</f>
        <v/>
      </c>
      <c r="D1483" s="4">
        <f>SUMIFS('01_異動主檔'!$F:$F,'01_異動主檔'!$B:$B,119,'01_異動主檔'!$D:$D,A1483,'01_異動主檔'!$E:$E,"移入")</f>
        <v/>
      </c>
      <c r="E1483" s="4">
        <f>-SUMIFS('01_異動主檔'!$F:$F,'01_異動主檔'!$B:$B,119,'01_異動主檔'!$D:$D,A1483,'01_異動主檔'!$E:$E,"移出")</f>
        <v/>
      </c>
      <c r="F1483" s="4">
        <f>SUMIFS('01_異動主檔'!$F:$F,'01_異動主檔'!$B:$B,119,'01_異動主檔'!$D:$D,A1483,'01_異動主檔'!$E:$E,"新增")</f>
        <v/>
      </c>
      <c r="G1483" s="4">
        <f>-SUMIFS('01_異動主檔'!$F:$F,'01_異動主檔'!$B:$B,119,'01_異動主檔'!$D:$D,A1483,'01_異動主檔'!$E:$E,"減列")</f>
        <v/>
      </c>
      <c r="H1483" s="4">
        <f>-SUMIFS('01_異動主檔'!$F:$F,'01_異動主檔'!$B:$B,119,'01_異動主檔'!$D:$D,A1483,'01_異動主檔'!$E:$E,"精簡")</f>
        <v/>
      </c>
      <c r="I1483" s="8">
        <f>C1483+D1483+E1483+F1483+G1483+H1483</f>
        <v/>
      </c>
    </row>
    <row r="1484" ht="18" customHeight="1">
      <c r="A1484" s="5" t="inlineStr">
        <is>
          <t>海岸辦公室</t>
        </is>
      </c>
      <c r="B1484" s="6" t="n">
        <v>120</v>
      </c>
      <c r="C1484" s="8">
        <f>I1483</f>
        <v/>
      </c>
      <c r="D1484" s="4">
        <f>SUMIFS('01_異動主檔'!$F:$F,'01_異動主檔'!$B:$B,120,'01_異動主檔'!$D:$D,A1484,'01_異動主檔'!$E:$E,"移入")</f>
        <v/>
      </c>
      <c r="E1484" s="4">
        <f>-SUMIFS('01_異動主檔'!$F:$F,'01_異動主檔'!$B:$B,120,'01_異動主檔'!$D:$D,A1484,'01_異動主檔'!$E:$E,"移出")</f>
        <v/>
      </c>
      <c r="F1484" s="4">
        <f>SUMIFS('01_異動主檔'!$F:$F,'01_異動主檔'!$B:$B,120,'01_異動主檔'!$D:$D,A1484,'01_異動主檔'!$E:$E,"新增")</f>
        <v/>
      </c>
      <c r="G1484" s="4">
        <f>-SUMIFS('01_異動主檔'!$F:$F,'01_異動主檔'!$B:$B,120,'01_異動主檔'!$D:$D,A1484,'01_異動主檔'!$E:$E,"減列")</f>
        <v/>
      </c>
      <c r="H1484" s="4">
        <f>-SUMIFS('01_異動主檔'!$F:$F,'01_異動主檔'!$B:$B,120,'01_異動主檔'!$D:$D,A1484,'01_異動主檔'!$E:$E,"精簡")</f>
        <v/>
      </c>
      <c r="I1484" s="8">
        <f>C1484+D1484+E1484+F1484+G1484+H1484</f>
        <v/>
      </c>
    </row>
    <row r="1485" ht="18" customHeight="1">
      <c r="A1485" s="3" t="inlineStr">
        <is>
          <t>海岸辦公室</t>
        </is>
      </c>
      <c r="B1485" s="4" t="n">
        <v>121</v>
      </c>
      <c r="C1485" s="8">
        <f>I1484</f>
        <v/>
      </c>
      <c r="D1485" s="4">
        <f>SUMIFS('01_異動主檔'!$F:$F,'01_異動主檔'!$B:$B,121,'01_異動主檔'!$D:$D,A1485,'01_異動主檔'!$E:$E,"移入")</f>
        <v/>
      </c>
      <c r="E1485" s="4">
        <f>-SUMIFS('01_異動主檔'!$F:$F,'01_異動主檔'!$B:$B,121,'01_異動主檔'!$D:$D,A1485,'01_異動主檔'!$E:$E,"移出")</f>
        <v/>
      </c>
      <c r="F1485" s="4">
        <f>SUMIFS('01_異動主檔'!$F:$F,'01_異動主檔'!$B:$B,121,'01_異動主檔'!$D:$D,A1485,'01_異動主檔'!$E:$E,"新增")</f>
        <v/>
      </c>
      <c r="G1485" s="4">
        <f>-SUMIFS('01_異動主檔'!$F:$F,'01_異動主檔'!$B:$B,121,'01_異動主檔'!$D:$D,A1485,'01_異動主檔'!$E:$E,"減列")</f>
        <v/>
      </c>
      <c r="H1485" s="4">
        <f>-SUMIFS('01_異動主檔'!$F:$F,'01_異動主檔'!$B:$B,121,'01_異動主檔'!$D:$D,A1485,'01_異動主檔'!$E:$E,"精簡")</f>
        <v/>
      </c>
      <c r="I1485" s="8">
        <f>C1485+D1485+E1485+F1485+G1485+H1485</f>
        <v/>
      </c>
    </row>
    <row r="1486" ht="18" customHeight="1">
      <c r="A1486" s="5" t="inlineStr">
        <is>
          <t>海岸辦公室</t>
        </is>
      </c>
      <c r="B1486" s="6" t="n">
        <v>122</v>
      </c>
      <c r="C1486" s="8">
        <f>I1485</f>
        <v/>
      </c>
      <c r="D1486" s="4">
        <f>SUMIFS('01_異動主檔'!$F:$F,'01_異動主檔'!$B:$B,122,'01_異動主檔'!$D:$D,A1486,'01_異動主檔'!$E:$E,"移入")</f>
        <v/>
      </c>
      <c r="E1486" s="4">
        <f>-SUMIFS('01_異動主檔'!$F:$F,'01_異動主檔'!$B:$B,122,'01_異動主檔'!$D:$D,A1486,'01_異動主檔'!$E:$E,"移出")</f>
        <v/>
      </c>
      <c r="F1486" s="4">
        <f>SUMIFS('01_異動主檔'!$F:$F,'01_異動主檔'!$B:$B,122,'01_異動主檔'!$D:$D,A1486,'01_異動主檔'!$E:$E,"新增")</f>
        <v/>
      </c>
      <c r="G1486" s="4">
        <f>-SUMIFS('01_異動主檔'!$F:$F,'01_異動主檔'!$B:$B,122,'01_異動主檔'!$D:$D,A1486,'01_異動主檔'!$E:$E,"減列")</f>
        <v/>
      </c>
      <c r="H1486" s="4">
        <f>-SUMIFS('01_異動主檔'!$F:$F,'01_異動主檔'!$B:$B,122,'01_異動主檔'!$D:$D,A1486,'01_異動主檔'!$E:$E,"精簡")</f>
        <v/>
      </c>
      <c r="I1486" s="8">
        <f>C1486+D1486+E1486+F1486+G1486+H1486</f>
        <v/>
      </c>
    </row>
    <row r="1487" ht="18" customHeight="1">
      <c r="A1487" s="3" t="inlineStr">
        <is>
          <t>海岸辦公室</t>
        </is>
      </c>
      <c r="B1487" s="4" t="n">
        <v>123</v>
      </c>
      <c r="C1487" s="8">
        <f>I1486</f>
        <v/>
      </c>
      <c r="D1487" s="4">
        <f>SUMIFS('01_異動主檔'!$F:$F,'01_異動主檔'!$B:$B,123,'01_異動主檔'!$D:$D,A1487,'01_異動主檔'!$E:$E,"移入")</f>
        <v/>
      </c>
      <c r="E1487" s="4">
        <f>-SUMIFS('01_異動主檔'!$F:$F,'01_異動主檔'!$B:$B,123,'01_異動主檔'!$D:$D,A1487,'01_異動主檔'!$E:$E,"移出")</f>
        <v/>
      </c>
      <c r="F1487" s="4">
        <f>SUMIFS('01_異動主檔'!$F:$F,'01_異動主檔'!$B:$B,123,'01_異動主檔'!$D:$D,A1487,'01_異動主檔'!$E:$E,"新增")</f>
        <v/>
      </c>
      <c r="G1487" s="4">
        <f>-SUMIFS('01_異動主檔'!$F:$F,'01_異動主檔'!$B:$B,123,'01_異動主檔'!$D:$D,A1487,'01_異動主檔'!$E:$E,"減列")</f>
        <v/>
      </c>
      <c r="H1487" s="4">
        <f>-SUMIFS('01_異動主檔'!$F:$F,'01_異動主檔'!$B:$B,123,'01_異動主檔'!$D:$D,A1487,'01_異動主檔'!$E:$E,"精簡")</f>
        <v/>
      </c>
      <c r="I1487" s="8">
        <f>C1487+D1487+E1487+F1487+G1487+H1487</f>
        <v/>
      </c>
    </row>
    <row r="1488" ht="18" customHeight="1">
      <c r="A1488" s="5" t="inlineStr">
        <is>
          <t>海岸辦公室</t>
        </is>
      </c>
      <c r="B1488" s="6" t="n">
        <v>124</v>
      </c>
      <c r="C1488" s="8">
        <f>I1487</f>
        <v/>
      </c>
      <c r="D1488" s="4">
        <f>SUMIFS('01_異動主檔'!$F:$F,'01_異動主檔'!$B:$B,124,'01_異動主檔'!$D:$D,A1488,'01_異動主檔'!$E:$E,"移入")</f>
        <v/>
      </c>
      <c r="E1488" s="4">
        <f>-SUMIFS('01_異動主檔'!$F:$F,'01_異動主檔'!$B:$B,124,'01_異動主檔'!$D:$D,A1488,'01_異動主檔'!$E:$E,"移出")</f>
        <v/>
      </c>
      <c r="F1488" s="4">
        <f>SUMIFS('01_異動主檔'!$F:$F,'01_異動主檔'!$B:$B,124,'01_異動主檔'!$D:$D,A1488,'01_異動主檔'!$E:$E,"新增")</f>
        <v/>
      </c>
      <c r="G1488" s="4">
        <f>-SUMIFS('01_異動主檔'!$F:$F,'01_異動主檔'!$B:$B,124,'01_異動主檔'!$D:$D,A1488,'01_異動主檔'!$E:$E,"減列")</f>
        <v/>
      </c>
      <c r="H1488" s="4">
        <f>-SUMIFS('01_異動主檔'!$F:$F,'01_異動主檔'!$B:$B,124,'01_異動主檔'!$D:$D,A1488,'01_異動主檔'!$E:$E,"精簡")</f>
        <v/>
      </c>
      <c r="I1488" s="8">
        <f>C1488+D1488+E1488+F1488+G1488+H1488</f>
        <v/>
      </c>
    </row>
    <row r="1489" ht="18" customHeight="1">
      <c r="A1489" s="3" t="inlineStr">
        <is>
          <t>海岸辦公室</t>
        </is>
      </c>
      <c r="B1489" s="4" t="n">
        <v>125</v>
      </c>
      <c r="C1489" s="8">
        <f>I1488</f>
        <v/>
      </c>
      <c r="D1489" s="4">
        <f>SUMIFS('01_異動主檔'!$F:$F,'01_異動主檔'!$B:$B,125,'01_異動主檔'!$D:$D,A1489,'01_異動主檔'!$E:$E,"移入")</f>
        <v/>
      </c>
      <c r="E1489" s="4">
        <f>-SUMIFS('01_異動主檔'!$F:$F,'01_異動主檔'!$B:$B,125,'01_異動主檔'!$D:$D,A1489,'01_異動主檔'!$E:$E,"移出")</f>
        <v/>
      </c>
      <c r="F1489" s="4">
        <f>SUMIFS('01_異動主檔'!$F:$F,'01_異動主檔'!$B:$B,125,'01_異動主檔'!$D:$D,A1489,'01_異動主檔'!$E:$E,"新增")</f>
        <v/>
      </c>
      <c r="G1489" s="4">
        <f>-SUMIFS('01_異動主檔'!$F:$F,'01_異動主檔'!$B:$B,125,'01_異動主檔'!$D:$D,A1489,'01_異動主檔'!$E:$E,"減列")</f>
        <v/>
      </c>
      <c r="H1489" s="4">
        <f>-SUMIFS('01_異動主檔'!$F:$F,'01_異動主檔'!$B:$B,125,'01_異動主檔'!$D:$D,A1489,'01_異動主檔'!$E:$E,"精簡")</f>
        <v/>
      </c>
      <c r="I1489" s="8">
        <f>C1489+D1489+E1489+F1489+G1489+H1489</f>
        <v/>
      </c>
    </row>
    <row r="1490" ht="18" customHeight="1">
      <c r="A1490" s="5" t="inlineStr">
        <is>
          <t>城區辦公室</t>
        </is>
      </c>
      <c r="B1490" s="6" t="n">
        <v>99</v>
      </c>
      <c r="C1490" s="8">
        <f>'02_年初員額設定'!B60</f>
        <v/>
      </c>
      <c r="D1490" s="4">
        <f>SUMIFS('01_異動主檔'!$F:$F,'01_異動主檔'!$B:$B,99,'01_異動主檔'!$D:$D,A1490,'01_異動主檔'!$E:$E,"移入")</f>
        <v/>
      </c>
      <c r="E1490" s="4">
        <f>-SUMIFS('01_異動主檔'!$F:$F,'01_異動主檔'!$B:$B,99,'01_異動主檔'!$D:$D,A1490,'01_異動主檔'!$E:$E,"移出")</f>
        <v/>
      </c>
      <c r="F1490" s="4">
        <f>SUMIFS('01_異動主檔'!$F:$F,'01_異動主檔'!$B:$B,99,'01_異動主檔'!$D:$D,A1490,'01_異動主檔'!$E:$E,"新增")</f>
        <v/>
      </c>
      <c r="G1490" s="4">
        <f>-SUMIFS('01_異動主檔'!$F:$F,'01_異動主檔'!$B:$B,99,'01_異動主檔'!$D:$D,A1490,'01_異動主檔'!$E:$E,"減列")</f>
        <v/>
      </c>
      <c r="H1490" s="4">
        <f>-SUMIFS('01_異動主檔'!$F:$F,'01_異動主檔'!$B:$B,99,'01_異動主檔'!$D:$D,A1490,'01_異動主檔'!$E:$E,"精簡")</f>
        <v/>
      </c>
      <c r="I1490" s="8">
        <f>C1490+D1490+E1490+F1490+G1490+H1490</f>
        <v/>
      </c>
    </row>
    <row r="1491" ht="18" customHeight="1">
      <c r="A1491" s="3" t="inlineStr">
        <is>
          <t>城區辦公室</t>
        </is>
      </c>
      <c r="B1491" s="4" t="n">
        <v>100</v>
      </c>
      <c r="C1491" s="8">
        <f>I1490</f>
        <v/>
      </c>
      <c r="D1491" s="4">
        <f>SUMIFS('01_異動主檔'!$F:$F,'01_異動主檔'!$B:$B,100,'01_異動主檔'!$D:$D,A1491,'01_異動主檔'!$E:$E,"移入")</f>
        <v/>
      </c>
      <c r="E1491" s="4">
        <f>-SUMIFS('01_異動主檔'!$F:$F,'01_異動主檔'!$B:$B,100,'01_異動主檔'!$D:$D,A1491,'01_異動主檔'!$E:$E,"移出")</f>
        <v/>
      </c>
      <c r="F1491" s="4">
        <f>SUMIFS('01_異動主檔'!$F:$F,'01_異動主檔'!$B:$B,100,'01_異動主檔'!$D:$D,A1491,'01_異動主檔'!$E:$E,"新增")</f>
        <v/>
      </c>
      <c r="G1491" s="4">
        <f>-SUMIFS('01_異動主檔'!$F:$F,'01_異動主檔'!$B:$B,100,'01_異動主檔'!$D:$D,A1491,'01_異動主檔'!$E:$E,"減列")</f>
        <v/>
      </c>
      <c r="H1491" s="4">
        <f>-SUMIFS('01_異動主檔'!$F:$F,'01_異動主檔'!$B:$B,100,'01_異動主檔'!$D:$D,A1491,'01_異動主檔'!$E:$E,"精簡")</f>
        <v/>
      </c>
      <c r="I1491" s="8">
        <f>C1491+D1491+E1491+F1491+G1491+H1491</f>
        <v/>
      </c>
    </row>
    <row r="1492" ht="18" customHeight="1">
      <c r="A1492" s="5" t="inlineStr">
        <is>
          <t>城區辦公室</t>
        </is>
      </c>
      <c r="B1492" s="6" t="n">
        <v>101</v>
      </c>
      <c r="C1492" s="8">
        <f>I1491</f>
        <v/>
      </c>
      <c r="D1492" s="4">
        <f>SUMIFS('01_異動主檔'!$F:$F,'01_異動主檔'!$B:$B,101,'01_異動主檔'!$D:$D,A1492,'01_異動主檔'!$E:$E,"移入")</f>
        <v/>
      </c>
      <c r="E1492" s="4">
        <f>-SUMIFS('01_異動主檔'!$F:$F,'01_異動主檔'!$B:$B,101,'01_異動主檔'!$D:$D,A1492,'01_異動主檔'!$E:$E,"移出")</f>
        <v/>
      </c>
      <c r="F1492" s="4">
        <f>SUMIFS('01_異動主檔'!$F:$F,'01_異動主檔'!$B:$B,101,'01_異動主檔'!$D:$D,A1492,'01_異動主檔'!$E:$E,"新增")</f>
        <v/>
      </c>
      <c r="G1492" s="4">
        <f>-SUMIFS('01_異動主檔'!$F:$F,'01_異動主檔'!$B:$B,101,'01_異動主檔'!$D:$D,A1492,'01_異動主檔'!$E:$E,"減列")</f>
        <v/>
      </c>
      <c r="H1492" s="4">
        <f>-SUMIFS('01_異動主檔'!$F:$F,'01_異動主檔'!$B:$B,101,'01_異動主檔'!$D:$D,A1492,'01_異動主檔'!$E:$E,"精簡")</f>
        <v/>
      </c>
      <c r="I1492" s="8">
        <f>C1492+D1492+E1492+F1492+G1492+H1492</f>
        <v/>
      </c>
    </row>
    <row r="1493" ht="18" customHeight="1">
      <c r="A1493" s="3" t="inlineStr">
        <is>
          <t>城區辦公室</t>
        </is>
      </c>
      <c r="B1493" s="4" t="n">
        <v>102</v>
      </c>
      <c r="C1493" s="8">
        <f>I1492</f>
        <v/>
      </c>
      <c r="D1493" s="4">
        <f>SUMIFS('01_異動主檔'!$F:$F,'01_異動主檔'!$B:$B,102,'01_異動主檔'!$D:$D,A1493,'01_異動主檔'!$E:$E,"移入")</f>
        <v/>
      </c>
      <c r="E1493" s="4">
        <f>-SUMIFS('01_異動主檔'!$F:$F,'01_異動主檔'!$B:$B,102,'01_異動主檔'!$D:$D,A1493,'01_異動主檔'!$E:$E,"移出")</f>
        <v/>
      </c>
      <c r="F1493" s="4">
        <f>SUMIFS('01_異動主檔'!$F:$F,'01_異動主檔'!$B:$B,102,'01_異動主檔'!$D:$D,A1493,'01_異動主檔'!$E:$E,"新增")</f>
        <v/>
      </c>
      <c r="G1493" s="4">
        <f>-SUMIFS('01_異動主檔'!$F:$F,'01_異動主檔'!$B:$B,102,'01_異動主檔'!$D:$D,A1493,'01_異動主檔'!$E:$E,"減列")</f>
        <v/>
      </c>
      <c r="H1493" s="4">
        <f>-SUMIFS('01_異動主檔'!$F:$F,'01_異動主檔'!$B:$B,102,'01_異動主檔'!$D:$D,A1493,'01_異動主檔'!$E:$E,"精簡")</f>
        <v/>
      </c>
      <c r="I1493" s="8">
        <f>C1493+D1493+E1493+F1493+G1493+H1493</f>
        <v/>
      </c>
    </row>
    <row r="1494" ht="18" customHeight="1">
      <c r="A1494" s="5" t="inlineStr">
        <is>
          <t>城區辦公室</t>
        </is>
      </c>
      <c r="B1494" s="6" t="n">
        <v>103</v>
      </c>
      <c r="C1494" s="8">
        <f>I1493</f>
        <v/>
      </c>
      <c r="D1494" s="4">
        <f>SUMIFS('01_異動主檔'!$F:$F,'01_異動主檔'!$B:$B,103,'01_異動主檔'!$D:$D,A1494,'01_異動主檔'!$E:$E,"移入")</f>
        <v/>
      </c>
      <c r="E1494" s="4">
        <f>-SUMIFS('01_異動主檔'!$F:$F,'01_異動主檔'!$B:$B,103,'01_異動主檔'!$D:$D,A1494,'01_異動主檔'!$E:$E,"移出")</f>
        <v/>
      </c>
      <c r="F1494" s="4">
        <f>SUMIFS('01_異動主檔'!$F:$F,'01_異動主檔'!$B:$B,103,'01_異動主檔'!$D:$D,A1494,'01_異動主檔'!$E:$E,"新增")</f>
        <v/>
      </c>
      <c r="G1494" s="4">
        <f>-SUMIFS('01_異動主檔'!$F:$F,'01_異動主檔'!$B:$B,103,'01_異動主檔'!$D:$D,A1494,'01_異動主檔'!$E:$E,"減列")</f>
        <v/>
      </c>
      <c r="H1494" s="4">
        <f>-SUMIFS('01_異動主檔'!$F:$F,'01_異動主檔'!$B:$B,103,'01_異動主檔'!$D:$D,A1494,'01_異動主檔'!$E:$E,"精簡")</f>
        <v/>
      </c>
      <c r="I1494" s="8">
        <f>C1494+D1494+E1494+F1494+G1494+H1494</f>
        <v/>
      </c>
    </row>
    <row r="1495" ht="18" customHeight="1">
      <c r="A1495" s="3" t="inlineStr">
        <is>
          <t>城區辦公室</t>
        </is>
      </c>
      <c r="B1495" s="4" t="n">
        <v>104</v>
      </c>
      <c r="C1495" s="8">
        <f>I1494</f>
        <v/>
      </c>
      <c r="D1495" s="4">
        <f>SUMIFS('01_異動主檔'!$F:$F,'01_異動主檔'!$B:$B,104,'01_異動主檔'!$D:$D,A1495,'01_異動主檔'!$E:$E,"移入")</f>
        <v/>
      </c>
      <c r="E1495" s="4">
        <f>-SUMIFS('01_異動主檔'!$F:$F,'01_異動主檔'!$B:$B,104,'01_異動主檔'!$D:$D,A1495,'01_異動主檔'!$E:$E,"移出")</f>
        <v/>
      </c>
      <c r="F1495" s="4">
        <f>SUMIFS('01_異動主檔'!$F:$F,'01_異動主檔'!$B:$B,104,'01_異動主檔'!$D:$D,A1495,'01_異動主檔'!$E:$E,"新增")</f>
        <v/>
      </c>
      <c r="G1495" s="4">
        <f>-SUMIFS('01_異動主檔'!$F:$F,'01_異動主檔'!$B:$B,104,'01_異動主檔'!$D:$D,A1495,'01_異動主檔'!$E:$E,"減列")</f>
        <v/>
      </c>
      <c r="H1495" s="4">
        <f>-SUMIFS('01_異動主檔'!$F:$F,'01_異動主檔'!$B:$B,104,'01_異動主檔'!$D:$D,A1495,'01_異動主檔'!$E:$E,"精簡")</f>
        <v/>
      </c>
      <c r="I1495" s="8">
        <f>C1495+D1495+E1495+F1495+G1495+H1495</f>
        <v/>
      </c>
    </row>
    <row r="1496" ht="18" customHeight="1">
      <c r="A1496" s="5" t="inlineStr">
        <is>
          <t>城區辦公室</t>
        </is>
      </c>
      <c r="B1496" s="6" t="n">
        <v>105</v>
      </c>
      <c r="C1496" s="8">
        <f>I1495</f>
        <v/>
      </c>
      <c r="D1496" s="4">
        <f>SUMIFS('01_異動主檔'!$F:$F,'01_異動主檔'!$B:$B,105,'01_異動主檔'!$D:$D,A1496,'01_異動主檔'!$E:$E,"移入")</f>
        <v/>
      </c>
      <c r="E1496" s="4">
        <f>-SUMIFS('01_異動主檔'!$F:$F,'01_異動主檔'!$B:$B,105,'01_異動主檔'!$D:$D,A1496,'01_異動主檔'!$E:$E,"移出")</f>
        <v/>
      </c>
      <c r="F1496" s="4">
        <f>SUMIFS('01_異動主檔'!$F:$F,'01_異動主檔'!$B:$B,105,'01_異動主檔'!$D:$D,A1496,'01_異動主檔'!$E:$E,"新增")</f>
        <v/>
      </c>
      <c r="G1496" s="4">
        <f>-SUMIFS('01_異動主檔'!$F:$F,'01_異動主檔'!$B:$B,105,'01_異動主檔'!$D:$D,A1496,'01_異動主檔'!$E:$E,"減列")</f>
        <v/>
      </c>
      <c r="H1496" s="4">
        <f>-SUMIFS('01_異動主檔'!$F:$F,'01_異動主檔'!$B:$B,105,'01_異動主檔'!$D:$D,A1496,'01_異動主檔'!$E:$E,"精簡")</f>
        <v/>
      </c>
      <c r="I1496" s="8">
        <f>C1496+D1496+E1496+F1496+G1496+H1496</f>
        <v/>
      </c>
    </row>
    <row r="1497" ht="18" customHeight="1">
      <c r="A1497" s="3" t="inlineStr">
        <is>
          <t>城區辦公室</t>
        </is>
      </c>
      <c r="B1497" s="4" t="n">
        <v>106</v>
      </c>
      <c r="C1497" s="8">
        <f>I1496</f>
        <v/>
      </c>
      <c r="D1497" s="4">
        <f>SUMIFS('01_異動主檔'!$F:$F,'01_異動主檔'!$B:$B,106,'01_異動主檔'!$D:$D,A1497,'01_異動主檔'!$E:$E,"移入")</f>
        <v/>
      </c>
      <c r="E1497" s="4">
        <f>-SUMIFS('01_異動主檔'!$F:$F,'01_異動主檔'!$B:$B,106,'01_異動主檔'!$D:$D,A1497,'01_異動主檔'!$E:$E,"移出")</f>
        <v/>
      </c>
      <c r="F1497" s="4">
        <f>SUMIFS('01_異動主檔'!$F:$F,'01_異動主檔'!$B:$B,106,'01_異動主檔'!$D:$D,A1497,'01_異動主檔'!$E:$E,"新增")</f>
        <v/>
      </c>
      <c r="G1497" s="4">
        <f>-SUMIFS('01_異動主檔'!$F:$F,'01_異動主檔'!$B:$B,106,'01_異動主檔'!$D:$D,A1497,'01_異動主檔'!$E:$E,"減列")</f>
        <v/>
      </c>
      <c r="H1497" s="4">
        <f>-SUMIFS('01_異動主檔'!$F:$F,'01_異動主檔'!$B:$B,106,'01_異動主檔'!$D:$D,A1497,'01_異動主檔'!$E:$E,"精簡")</f>
        <v/>
      </c>
      <c r="I1497" s="8">
        <f>C1497+D1497+E1497+F1497+G1497+H1497</f>
        <v/>
      </c>
    </row>
    <row r="1498" ht="18" customHeight="1">
      <c r="A1498" s="5" t="inlineStr">
        <is>
          <t>城區辦公室</t>
        </is>
      </c>
      <c r="B1498" s="6" t="n">
        <v>107</v>
      </c>
      <c r="C1498" s="8">
        <f>I1497</f>
        <v/>
      </c>
      <c r="D1498" s="4">
        <f>SUMIFS('01_異動主檔'!$F:$F,'01_異動主檔'!$B:$B,107,'01_異動主檔'!$D:$D,A1498,'01_異動主檔'!$E:$E,"移入")</f>
        <v/>
      </c>
      <c r="E1498" s="4">
        <f>-SUMIFS('01_異動主檔'!$F:$F,'01_異動主檔'!$B:$B,107,'01_異動主檔'!$D:$D,A1498,'01_異動主檔'!$E:$E,"移出")</f>
        <v/>
      </c>
      <c r="F1498" s="4">
        <f>SUMIFS('01_異動主檔'!$F:$F,'01_異動主檔'!$B:$B,107,'01_異動主檔'!$D:$D,A1498,'01_異動主檔'!$E:$E,"新增")</f>
        <v/>
      </c>
      <c r="G1498" s="4">
        <f>-SUMIFS('01_異動主檔'!$F:$F,'01_異動主檔'!$B:$B,107,'01_異動主檔'!$D:$D,A1498,'01_異動主檔'!$E:$E,"減列")</f>
        <v/>
      </c>
      <c r="H1498" s="4">
        <f>-SUMIFS('01_異動主檔'!$F:$F,'01_異動主檔'!$B:$B,107,'01_異動主檔'!$D:$D,A1498,'01_異動主檔'!$E:$E,"精簡")</f>
        <v/>
      </c>
      <c r="I1498" s="8">
        <f>C1498+D1498+E1498+F1498+G1498+H1498</f>
        <v/>
      </c>
    </row>
    <row r="1499" ht="18" customHeight="1">
      <c r="A1499" s="3" t="inlineStr">
        <is>
          <t>城區辦公室</t>
        </is>
      </c>
      <c r="B1499" s="4" t="n">
        <v>108</v>
      </c>
      <c r="C1499" s="8">
        <f>I1498</f>
        <v/>
      </c>
      <c r="D1499" s="4">
        <f>SUMIFS('01_異動主檔'!$F:$F,'01_異動主檔'!$B:$B,108,'01_異動主檔'!$D:$D,A1499,'01_異動主檔'!$E:$E,"移入")</f>
        <v/>
      </c>
      <c r="E1499" s="4">
        <f>-SUMIFS('01_異動主檔'!$F:$F,'01_異動主檔'!$B:$B,108,'01_異動主檔'!$D:$D,A1499,'01_異動主檔'!$E:$E,"移出")</f>
        <v/>
      </c>
      <c r="F1499" s="4">
        <f>SUMIFS('01_異動主檔'!$F:$F,'01_異動主檔'!$B:$B,108,'01_異動主檔'!$D:$D,A1499,'01_異動主檔'!$E:$E,"新增")</f>
        <v/>
      </c>
      <c r="G1499" s="4">
        <f>-SUMIFS('01_異動主檔'!$F:$F,'01_異動主檔'!$B:$B,108,'01_異動主檔'!$D:$D,A1499,'01_異動主檔'!$E:$E,"減列")</f>
        <v/>
      </c>
      <c r="H1499" s="4">
        <f>-SUMIFS('01_異動主檔'!$F:$F,'01_異動主檔'!$B:$B,108,'01_異動主檔'!$D:$D,A1499,'01_異動主檔'!$E:$E,"精簡")</f>
        <v/>
      </c>
      <c r="I1499" s="8">
        <f>C1499+D1499+E1499+F1499+G1499+H1499</f>
        <v/>
      </c>
    </row>
    <row r="1500" ht="18" customHeight="1">
      <c r="A1500" s="5" t="inlineStr">
        <is>
          <t>城區辦公室</t>
        </is>
      </c>
      <c r="B1500" s="6" t="n">
        <v>109</v>
      </c>
      <c r="C1500" s="8">
        <f>I1499</f>
        <v/>
      </c>
      <c r="D1500" s="4">
        <f>SUMIFS('01_異動主檔'!$F:$F,'01_異動主檔'!$B:$B,109,'01_異動主檔'!$D:$D,A1500,'01_異動主檔'!$E:$E,"移入")</f>
        <v/>
      </c>
      <c r="E1500" s="4">
        <f>-SUMIFS('01_異動主檔'!$F:$F,'01_異動主檔'!$B:$B,109,'01_異動主檔'!$D:$D,A1500,'01_異動主檔'!$E:$E,"移出")</f>
        <v/>
      </c>
      <c r="F1500" s="4">
        <f>SUMIFS('01_異動主檔'!$F:$F,'01_異動主檔'!$B:$B,109,'01_異動主檔'!$D:$D,A1500,'01_異動主檔'!$E:$E,"新增")</f>
        <v/>
      </c>
      <c r="G1500" s="4">
        <f>-SUMIFS('01_異動主檔'!$F:$F,'01_異動主檔'!$B:$B,109,'01_異動主檔'!$D:$D,A1500,'01_異動主檔'!$E:$E,"減列")</f>
        <v/>
      </c>
      <c r="H1500" s="4">
        <f>-SUMIFS('01_異動主檔'!$F:$F,'01_異動主檔'!$B:$B,109,'01_異動主檔'!$D:$D,A1500,'01_異動主檔'!$E:$E,"精簡")</f>
        <v/>
      </c>
      <c r="I1500" s="8">
        <f>C1500+D1500+E1500+F1500+G1500+H1500</f>
        <v/>
      </c>
    </row>
    <row r="1501" ht="18" customHeight="1">
      <c r="A1501" s="3" t="inlineStr">
        <is>
          <t>城區辦公室</t>
        </is>
      </c>
      <c r="B1501" s="4" t="n">
        <v>110</v>
      </c>
      <c r="C1501" s="8">
        <f>I1500</f>
        <v/>
      </c>
      <c r="D1501" s="4">
        <f>SUMIFS('01_異動主檔'!$F:$F,'01_異動主檔'!$B:$B,110,'01_異動主檔'!$D:$D,A1501,'01_異動主檔'!$E:$E,"移入")</f>
        <v/>
      </c>
      <c r="E1501" s="4">
        <f>-SUMIFS('01_異動主檔'!$F:$F,'01_異動主檔'!$B:$B,110,'01_異動主檔'!$D:$D,A1501,'01_異動主檔'!$E:$E,"移出")</f>
        <v/>
      </c>
      <c r="F1501" s="4">
        <f>SUMIFS('01_異動主檔'!$F:$F,'01_異動主檔'!$B:$B,110,'01_異動主檔'!$D:$D,A1501,'01_異動主檔'!$E:$E,"新增")</f>
        <v/>
      </c>
      <c r="G1501" s="4">
        <f>-SUMIFS('01_異動主檔'!$F:$F,'01_異動主檔'!$B:$B,110,'01_異動主檔'!$D:$D,A1501,'01_異動主檔'!$E:$E,"減列")</f>
        <v/>
      </c>
      <c r="H1501" s="4">
        <f>-SUMIFS('01_異動主檔'!$F:$F,'01_異動主檔'!$B:$B,110,'01_異動主檔'!$D:$D,A1501,'01_異動主檔'!$E:$E,"精簡")</f>
        <v/>
      </c>
      <c r="I1501" s="8">
        <f>C1501+D1501+E1501+F1501+G1501+H1501</f>
        <v/>
      </c>
    </row>
    <row r="1502" ht="18" customHeight="1">
      <c r="A1502" s="5" t="inlineStr">
        <is>
          <t>城區辦公室</t>
        </is>
      </c>
      <c r="B1502" s="6" t="n">
        <v>111</v>
      </c>
      <c r="C1502" s="8">
        <f>I1501</f>
        <v/>
      </c>
      <c r="D1502" s="4">
        <f>SUMIFS('01_異動主檔'!$F:$F,'01_異動主檔'!$B:$B,111,'01_異動主檔'!$D:$D,A1502,'01_異動主檔'!$E:$E,"移入")</f>
        <v/>
      </c>
      <c r="E1502" s="4">
        <f>-SUMIFS('01_異動主檔'!$F:$F,'01_異動主檔'!$B:$B,111,'01_異動主檔'!$D:$D,A1502,'01_異動主檔'!$E:$E,"移出")</f>
        <v/>
      </c>
      <c r="F1502" s="4">
        <f>SUMIFS('01_異動主檔'!$F:$F,'01_異動主檔'!$B:$B,111,'01_異動主檔'!$D:$D,A1502,'01_異動主檔'!$E:$E,"新增")</f>
        <v/>
      </c>
      <c r="G1502" s="4">
        <f>-SUMIFS('01_異動主檔'!$F:$F,'01_異動主檔'!$B:$B,111,'01_異動主檔'!$D:$D,A1502,'01_異動主檔'!$E:$E,"減列")</f>
        <v/>
      </c>
      <c r="H1502" s="4">
        <f>-SUMIFS('01_異動主檔'!$F:$F,'01_異動主檔'!$B:$B,111,'01_異動主檔'!$D:$D,A1502,'01_異動主檔'!$E:$E,"精簡")</f>
        <v/>
      </c>
      <c r="I1502" s="8">
        <f>C1502+D1502+E1502+F1502+G1502+H1502</f>
        <v/>
      </c>
    </row>
    <row r="1503" ht="18" customHeight="1">
      <c r="A1503" s="3" t="inlineStr">
        <is>
          <t>城區辦公室</t>
        </is>
      </c>
      <c r="B1503" s="4" t="n">
        <v>112</v>
      </c>
      <c r="C1503" s="8">
        <f>I1502</f>
        <v/>
      </c>
      <c r="D1503" s="4">
        <f>SUMIFS('01_異動主檔'!$F:$F,'01_異動主檔'!$B:$B,112,'01_異動主檔'!$D:$D,A1503,'01_異動主檔'!$E:$E,"移入")</f>
        <v/>
      </c>
      <c r="E1503" s="4">
        <f>-SUMIFS('01_異動主檔'!$F:$F,'01_異動主檔'!$B:$B,112,'01_異動主檔'!$D:$D,A1503,'01_異動主檔'!$E:$E,"移出")</f>
        <v/>
      </c>
      <c r="F1503" s="4">
        <f>SUMIFS('01_異動主檔'!$F:$F,'01_異動主檔'!$B:$B,112,'01_異動主檔'!$D:$D,A1503,'01_異動主檔'!$E:$E,"新增")</f>
        <v/>
      </c>
      <c r="G1503" s="4">
        <f>-SUMIFS('01_異動主檔'!$F:$F,'01_異動主檔'!$B:$B,112,'01_異動主檔'!$D:$D,A1503,'01_異動主檔'!$E:$E,"減列")</f>
        <v/>
      </c>
      <c r="H1503" s="4">
        <f>-SUMIFS('01_異動主檔'!$F:$F,'01_異動主檔'!$B:$B,112,'01_異動主檔'!$D:$D,A1503,'01_異動主檔'!$E:$E,"精簡")</f>
        <v/>
      </c>
      <c r="I1503" s="8">
        <f>C1503+D1503+E1503+F1503+G1503+H1503</f>
        <v/>
      </c>
    </row>
    <row r="1504" ht="18" customHeight="1">
      <c r="A1504" s="5" t="inlineStr">
        <is>
          <t>城區辦公室</t>
        </is>
      </c>
      <c r="B1504" s="6" t="n">
        <v>113</v>
      </c>
      <c r="C1504" s="8">
        <f>I1503</f>
        <v/>
      </c>
      <c r="D1504" s="4">
        <f>SUMIFS('01_異動主檔'!$F:$F,'01_異動主檔'!$B:$B,113,'01_異動主檔'!$D:$D,A1504,'01_異動主檔'!$E:$E,"移入")</f>
        <v/>
      </c>
      <c r="E1504" s="4">
        <f>-SUMIFS('01_異動主檔'!$F:$F,'01_異動主檔'!$B:$B,113,'01_異動主檔'!$D:$D,A1504,'01_異動主檔'!$E:$E,"移出")</f>
        <v/>
      </c>
      <c r="F1504" s="4">
        <f>SUMIFS('01_異動主檔'!$F:$F,'01_異動主檔'!$B:$B,113,'01_異動主檔'!$D:$D,A1504,'01_異動主檔'!$E:$E,"新增")</f>
        <v/>
      </c>
      <c r="G1504" s="4">
        <f>-SUMIFS('01_異動主檔'!$F:$F,'01_異動主檔'!$B:$B,113,'01_異動主檔'!$D:$D,A1504,'01_異動主檔'!$E:$E,"減列")</f>
        <v/>
      </c>
      <c r="H1504" s="4">
        <f>-SUMIFS('01_異動主檔'!$F:$F,'01_異動主檔'!$B:$B,113,'01_異動主檔'!$D:$D,A1504,'01_異動主檔'!$E:$E,"精簡")</f>
        <v/>
      </c>
      <c r="I1504" s="8">
        <f>C1504+D1504+E1504+F1504+G1504+H1504</f>
        <v/>
      </c>
    </row>
    <row r="1505" ht="18" customHeight="1">
      <c r="A1505" s="3" t="inlineStr">
        <is>
          <t>城區辦公室</t>
        </is>
      </c>
      <c r="B1505" s="4" t="n">
        <v>114</v>
      </c>
      <c r="C1505" s="8">
        <f>I1504</f>
        <v/>
      </c>
      <c r="D1505" s="4">
        <f>SUMIFS('01_異動主檔'!$F:$F,'01_異動主檔'!$B:$B,114,'01_異動主檔'!$D:$D,A1505,'01_異動主檔'!$E:$E,"移入")</f>
        <v/>
      </c>
      <c r="E1505" s="4">
        <f>-SUMIFS('01_異動主檔'!$F:$F,'01_異動主檔'!$B:$B,114,'01_異動主檔'!$D:$D,A1505,'01_異動主檔'!$E:$E,"移出")</f>
        <v/>
      </c>
      <c r="F1505" s="4">
        <f>SUMIFS('01_異動主檔'!$F:$F,'01_異動主檔'!$B:$B,114,'01_異動主檔'!$D:$D,A1505,'01_異動主檔'!$E:$E,"新增")</f>
        <v/>
      </c>
      <c r="G1505" s="4">
        <f>-SUMIFS('01_異動主檔'!$F:$F,'01_異動主檔'!$B:$B,114,'01_異動主檔'!$D:$D,A1505,'01_異動主檔'!$E:$E,"減列")</f>
        <v/>
      </c>
      <c r="H1505" s="4">
        <f>-SUMIFS('01_異動主檔'!$F:$F,'01_異動主檔'!$B:$B,114,'01_異動主檔'!$D:$D,A1505,'01_異動主檔'!$E:$E,"精簡")</f>
        <v/>
      </c>
      <c r="I1505" s="8">
        <f>C1505+D1505+E1505+F1505+G1505+H1505</f>
        <v/>
      </c>
    </row>
    <row r="1506" ht="18" customHeight="1">
      <c r="A1506" s="5" t="inlineStr">
        <is>
          <t>城區辦公室</t>
        </is>
      </c>
      <c r="B1506" s="6" t="n">
        <v>115</v>
      </c>
      <c r="C1506" s="8">
        <f>I1505</f>
        <v/>
      </c>
      <c r="D1506" s="4">
        <f>SUMIFS('01_異動主檔'!$F:$F,'01_異動主檔'!$B:$B,115,'01_異動主檔'!$D:$D,A1506,'01_異動主檔'!$E:$E,"移入")</f>
        <v/>
      </c>
      <c r="E1506" s="4">
        <f>-SUMIFS('01_異動主檔'!$F:$F,'01_異動主檔'!$B:$B,115,'01_異動主檔'!$D:$D,A1506,'01_異動主檔'!$E:$E,"移出")</f>
        <v/>
      </c>
      <c r="F1506" s="4">
        <f>SUMIFS('01_異動主檔'!$F:$F,'01_異動主檔'!$B:$B,115,'01_異動主檔'!$D:$D,A1506,'01_異動主檔'!$E:$E,"新增")</f>
        <v/>
      </c>
      <c r="G1506" s="4">
        <f>-SUMIFS('01_異動主檔'!$F:$F,'01_異動主檔'!$B:$B,115,'01_異動主檔'!$D:$D,A1506,'01_異動主檔'!$E:$E,"減列")</f>
        <v/>
      </c>
      <c r="H1506" s="4">
        <f>-SUMIFS('01_異動主檔'!$F:$F,'01_異動主檔'!$B:$B,115,'01_異動主檔'!$D:$D,A1506,'01_異動主檔'!$E:$E,"精簡")</f>
        <v/>
      </c>
      <c r="I1506" s="8">
        <f>C1506+D1506+E1506+F1506+G1506+H1506</f>
        <v/>
      </c>
    </row>
    <row r="1507" ht="18" customHeight="1">
      <c r="A1507" s="3" t="inlineStr">
        <is>
          <t>城區辦公室</t>
        </is>
      </c>
      <c r="B1507" s="4" t="n">
        <v>116</v>
      </c>
      <c r="C1507" s="8">
        <f>I1506</f>
        <v/>
      </c>
      <c r="D1507" s="4">
        <f>SUMIFS('01_異動主檔'!$F:$F,'01_異動主檔'!$B:$B,116,'01_異動主檔'!$D:$D,A1507,'01_異動主檔'!$E:$E,"移入")</f>
        <v/>
      </c>
      <c r="E1507" s="4">
        <f>-SUMIFS('01_異動主檔'!$F:$F,'01_異動主檔'!$B:$B,116,'01_異動主檔'!$D:$D,A1507,'01_異動主檔'!$E:$E,"移出")</f>
        <v/>
      </c>
      <c r="F1507" s="4">
        <f>SUMIFS('01_異動主檔'!$F:$F,'01_異動主檔'!$B:$B,116,'01_異動主檔'!$D:$D,A1507,'01_異動主檔'!$E:$E,"新增")</f>
        <v/>
      </c>
      <c r="G1507" s="4">
        <f>-SUMIFS('01_異動主檔'!$F:$F,'01_異動主檔'!$B:$B,116,'01_異動主檔'!$D:$D,A1507,'01_異動主檔'!$E:$E,"減列")</f>
        <v/>
      </c>
      <c r="H1507" s="4">
        <f>-SUMIFS('01_異動主檔'!$F:$F,'01_異動主檔'!$B:$B,116,'01_異動主檔'!$D:$D,A1507,'01_異動主檔'!$E:$E,"精簡")</f>
        <v/>
      </c>
      <c r="I1507" s="8">
        <f>C1507+D1507+E1507+F1507+G1507+H1507</f>
        <v/>
      </c>
    </row>
    <row r="1508" ht="18" customHeight="1">
      <c r="A1508" s="5" t="inlineStr">
        <is>
          <t>城區辦公室</t>
        </is>
      </c>
      <c r="B1508" s="6" t="n">
        <v>117</v>
      </c>
      <c r="C1508" s="8">
        <f>I1507</f>
        <v/>
      </c>
      <c r="D1508" s="4">
        <f>SUMIFS('01_異動主檔'!$F:$F,'01_異動主檔'!$B:$B,117,'01_異動主檔'!$D:$D,A1508,'01_異動主檔'!$E:$E,"移入")</f>
        <v/>
      </c>
      <c r="E1508" s="4">
        <f>-SUMIFS('01_異動主檔'!$F:$F,'01_異動主檔'!$B:$B,117,'01_異動主檔'!$D:$D,A1508,'01_異動主檔'!$E:$E,"移出")</f>
        <v/>
      </c>
      <c r="F1508" s="4">
        <f>SUMIFS('01_異動主檔'!$F:$F,'01_異動主檔'!$B:$B,117,'01_異動主檔'!$D:$D,A1508,'01_異動主檔'!$E:$E,"新增")</f>
        <v/>
      </c>
      <c r="G1508" s="4">
        <f>-SUMIFS('01_異動主檔'!$F:$F,'01_異動主檔'!$B:$B,117,'01_異動主檔'!$D:$D,A1508,'01_異動主檔'!$E:$E,"減列")</f>
        <v/>
      </c>
      <c r="H1508" s="4">
        <f>-SUMIFS('01_異動主檔'!$F:$F,'01_異動主檔'!$B:$B,117,'01_異動主檔'!$D:$D,A1508,'01_異動主檔'!$E:$E,"精簡")</f>
        <v/>
      </c>
      <c r="I1508" s="8">
        <f>C1508+D1508+E1508+F1508+G1508+H1508</f>
        <v/>
      </c>
    </row>
    <row r="1509" ht="18" customHeight="1">
      <c r="A1509" s="3" t="inlineStr">
        <is>
          <t>城區辦公室</t>
        </is>
      </c>
      <c r="B1509" s="4" t="n">
        <v>118</v>
      </c>
      <c r="C1509" s="8">
        <f>I1508</f>
        <v/>
      </c>
      <c r="D1509" s="4">
        <f>SUMIFS('01_異動主檔'!$F:$F,'01_異動主檔'!$B:$B,118,'01_異動主檔'!$D:$D,A1509,'01_異動主檔'!$E:$E,"移入")</f>
        <v/>
      </c>
      <c r="E1509" s="4">
        <f>-SUMIFS('01_異動主檔'!$F:$F,'01_異動主檔'!$B:$B,118,'01_異動主檔'!$D:$D,A1509,'01_異動主檔'!$E:$E,"移出")</f>
        <v/>
      </c>
      <c r="F1509" s="4">
        <f>SUMIFS('01_異動主檔'!$F:$F,'01_異動主檔'!$B:$B,118,'01_異動主檔'!$D:$D,A1509,'01_異動主檔'!$E:$E,"新增")</f>
        <v/>
      </c>
      <c r="G1509" s="4">
        <f>-SUMIFS('01_異動主檔'!$F:$F,'01_異動主檔'!$B:$B,118,'01_異動主檔'!$D:$D,A1509,'01_異動主檔'!$E:$E,"減列")</f>
        <v/>
      </c>
      <c r="H1509" s="4">
        <f>-SUMIFS('01_異動主檔'!$F:$F,'01_異動主檔'!$B:$B,118,'01_異動主檔'!$D:$D,A1509,'01_異動主檔'!$E:$E,"精簡")</f>
        <v/>
      </c>
      <c r="I1509" s="8">
        <f>C1509+D1509+E1509+F1509+G1509+H1509</f>
        <v/>
      </c>
    </row>
    <row r="1510" ht="18" customHeight="1">
      <c r="A1510" s="5" t="inlineStr">
        <is>
          <t>城區辦公室</t>
        </is>
      </c>
      <c r="B1510" s="6" t="n">
        <v>119</v>
      </c>
      <c r="C1510" s="8">
        <f>I1509</f>
        <v/>
      </c>
      <c r="D1510" s="4">
        <f>SUMIFS('01_異動主檔'!$F:$F,'01_異動主檔'!$B:$B,119,'01_異動主檔'!$D:$D,A1510,'01_異動主檔'!$E:$E,"移入")</f>
        <v/>
      </c>
      <c r="E1510" s="4">
        <f>-SUMIFS('01_異動主檔'!$F:$F,'01_異動主檔'!$B:$B,119,'01_異動主檔'!$D:$D,A1510,'01_異動主檔'!$E:$E,"移出")</f>
        <v/>
      </c>
      <c r="F1510" s="4">
        <f>SUMIFS('01_異動主檔'!$F:$F,'01_異動主檔'!$B:$B,119,'01_異動主檔'!$D:$D,A1510,'01_異動主檔'!$E:$E,"新增")</f>
        <v/>
      </c>
      <c r="G1510" s="4">
        <f>-SUMIFS('01_異動主檔'!$F:$F,'01_異動主檔'!$B:$B,119,'01_異動主檔'!$D:$D,A1510,'01_異動主檔'!$E:$E,"減列")</f>
        <v/>
      </c>
      <c r="H1510" s="4">
        <f>-SUMIFS('01_異動主檔'!$F:$F,'01_異動主檔'!$B:$B,119,'01_異動主檔'!$D:$D,A1510,'01_異動主檔'!$E:$E,"精簡")</f>
        <v/>
      </c>
      <c r="I1510" s="8">
        <f>C1510+D1510+E1510+F1510+G1510+H1510</f>
        <v/>
      </c>
    </row>
    <row r="1511" ht="18" customHeight="1">
      <c r="A1511" s="3" t="inlineStr">
        <is>
          <t>城區辦公室</t>
        </is>
      </c>
      <c r="B1511" s="4" t="n">
        <v>120</v>
      </c>
      <c r="C1511" s="8">
        <f>I1510</f>
        <v/>
      </c>
      <c r="D1511" s="4">
        <f>SUMIFS('01_異動主檔'!$F:$F,'01_異動主檔'!$B:$B,120,'01_異動主檔'!$D:$D,A1511,'01_異動主檔'!$E:$E,"移入")</f>
        <v/>
      </c>
      <c r="E1511" s="4">
        <f>-SUMIFS('01_異動主檔'!$F:$F,'01_異動主檔'!$B:$B,120,'01_異動主檔'!$D:$D,A1511,'01_異動主檔'!$E:$E,"移出")</f>
        <v/>
      </c>
      <c r="F1511" s="4">
        <f>SUMIFS('01_異動主檔'!$F:$F,'01_異動主檔'!$B:$B,120,'01_異動主檔'!$D:$D,A1511,'01_異動主檔'!$E:$E,"新增")</f>
        <v/>
      </c>
      <c r="G1511" s="4">
        <f>-SUMIFS('01_異動主檔'!$F:$F,'01_異動主檔'!$B:$B,120,'01_異動主檔'!$D:$D,A1511,'01_異動主檔'!$E:$E,"減列")</f>
        <v/>
      </c>
      <c r="H1511" s="4">
        <f>-SUMIFS('01_異動主檔'!$F:$F,'01_異動主檔'!$B:$B,120,'01_異動主檔'!$D:$D,A1511,'01_異動主檔'!$E:$E,"精簡")</f>
        <v/>
      </c>
      <c r="I1511" s="8">
        <f>C1511+D1511+E1511+F1511+G1511+H1511</f>
        <v/>
      </c>
    </row>
    <row r="1512" ht="18" customHeight="1">
      <c r="A1512" s="5" t="inlineStr">
        <is>
          <t>城區辦公室</t>
        </is>
      </c>
      <c r="B1512" s="6" t="n">
        <v>121</v>
      </c>
      <c r="C1512" s="8">
        <f>I1511</f>
        <v/>
      </c>
      <c r="D1512" s="4">
        <f>SUMIFS('01_異動主檔'!$F:$F,'01_異動主檔'!$B:$B,121,'01_異動主檔'!$D:$D,A1512,'01_異動主檔'!$E:$E,"移入")</f>
        <v/>
      </c>
      <c r="E1512" s="4">
        <f>-SUMIFS('01_異動主檔'!$F:$F,'01_異動主檔'!$B:$B,121,'01_異動主檔'!$D:$D,A1512,'01_異動主檔'!$E:$E,"移出")</f>
        <v/>
      </c>
      <c r="F1512" s="4">
        <f>SUMIFS('01_異動主檔'!$F:$F,'01_異動主檔'!$B:$B,121,'01_異動主檔'!$D:$D,A1512,'01_異動主檔'!$E:$E,"新增")</f>
        <v/>
      </c>
      <c r="G1512" s="4">
        <f>-SUMIFS('01_異動主檔'!$F:$F,'01_異動主檔'!$B:$B,121,'01_異動主檔'!$D:$D,A1512,'01_異動主檔'!$E:$E,"減列")</f>
        <v/>
      </c>
      <c r="H1512" s="4">
        <f>-SUMIFS('01_異動主檔'!$F:$F,'01_異動主檔'!$B:$B,121,'01_異動主檔'!$D:$D,A1512,'01_異動主檔'!$E:$E,"精簡")</f>
        <v/>
      </c>
      <c r="I1512" s="8">
        <f>C1512+D1512+E1512+F1512+G1512+H1512</f>
        <v/>
      </c>
    </row>
    <row r="1513" ht="18" customHeight="1">
      <c r="A1513" s="3" t="inlineStr">
        <is>
          <t>城區辦公室</t>
        </is>
      </c>
      <c r="B1513" s="4" t="n">
        <v>122</v>
      </c>
      <c r="C1513" s="8">
        <f>I1512</f>
        <v/>
      </c>
      <c r="D1513" s="4">
        <f>SUMIFS('01_異動主檔'!$F:$F,'01_異動主檔'!$B:$B,122,'01_異動主檔'!$D:$D,A1513,'01_異動主檔'!$E:$E,"移入")</f>
        <v/>
      </c>
      <c r="E1513" s="4">
        <f>-SUMIFS('01_異動主檔'!$F:$F,'01_異動主檔'!$B:$B,122,'01_異動主檔'!$D:$D,A1513,'01_異動主檔'!$E:$E,"移出")</f>
        <v/>
      </c>
      <c r="F1513" s="4">
        <f>SUMIFS('01_異動主檔'!$F:$F,'01_異動主檔'!$B:$B,122,'01_異動主檔'!$D:$D,A1513,'01_異動主檔'!$E:$E,"新增")</f>
        <v/>
      </c>
      <c r="G1513" s="4">
        <f>-SUMIFS('01_異動主檔'!$F:$F,'01_異動主檔'!$B:$B,122,'01_異動主檔'!$D:$D,A1513,'01_異動主檔'!$E:$E,"減列")</f>
        <v/>
      </c>
      <c r="H1513" s="4">
        <f>-SUMIFS('01_異動主檔'!$F:$F,'01_異動主檔'!$B:$B,122,'01_異動主檔'!$D:$D,A1513,'01_異動主檔'!$E:$E,"精簡")</f>
        <v/>
      </c>
      <c r="I1513" s="8">
        <f>C1513+D1513+E1513+F1513+G1513+H1513</f>
        <v/>
      </c>
    </row>
    <row r="1514" ht="18" customHeight="1">
      <c r="A1514" s="5" t="inlineStr">
        <is>
          <t>城區辦公室</t>
        </is>
      </c>
      <c r="B1514" s="6" t="n">
        <v>123</v>
      </c>
      <c r="C1514" s="8">
        <f>I1513</f>
        <v/>
      </c>
      <c r="D1514" s="4">
        <f>SUMIFS('01_異動主檔'!$F:$F,'01_異動主檔'!$B:$B,123,'01_異動主檔'!$D:$D,A1514,'01_異動主檔'!$E:$E,"移入")</f>
        <v/>
      </c>
      <c r="E1514" s="4">
        <f>-SUMIFS('01_異動主檔'!$F:$F,'01_異動主檔'!$B:$B,123,'01_異動主檔'!$D:$D,A1514,'01_異動主檔'!$E:$E,"移出")</f>
        <v/>
      </c>
      <c r="F1514" s="4">
        <f>SUMIFS('01_異動主檔'!$F:$F,'01_異動主檔'!$B:$B,123,'01_異動主檔'!$D:$D,A1514,'01_異動主檔'!$E:$E,"新增")</f>
        <v/>
      </c>
      <c r="G1514" s="4">
        <f>-SUMIFS('01_異動主檔'!$F:$F,'01_異動主檔'!$B:$B,123,'01_異動主檔'!$D:$D,A1514,'01_異動主檔'!$E:$E,"減列")</f>
        <v/>
      </c>
      <c r="H1514" s="4">
        <f>-SUMIFS('01_異動主檔'!$F:$F,'01_異動主檔'!$B:$B,123,'01_異動主檔'!$D:$D,A1514,'01_異動主檔'!$E:$E,"精簡")</f>
        <v/>
      </c>
      <c r="I1514" s="8">
        <f>C1514+D1514+E1514+F1514+G1514+H1514</f>
        <v/>
      </c>
    </row>
    <row r="1515" ht="18" customHeight="1">
      <c r="A1515" s="3" t="inlineStr">
        <is>
          <t>城區辦公室</t>
        </is>
      </c>
      <c r="B1515" s="4" t="n">
        <v>124</v>
      </c>
      <c r="C1515" s="8">
        <f>I1514</f>
        <v/>
      </c>
      <c r="D1515" s="4">
        <f>SUMIFS('01_異動主檔'!$F:$F,'01_異動主檔'!$B:$B,124,'01_異動主檔'!$D:$D,A1515,'01_異動主檔'!$E:$E,"移入")</f>
        <v/>
      </c>
      <c r="E1515" s="4">
        <f>-SUMIFS('01_異動主檔'!$F:$F,'01_異動主檔'!$B:$B,124,'01_異動主檔'!$D:$D,A1515,'01_異動主檔'!$E:$E,"移出")</f>
        <v/>
      </c>
      <c r="F1515" s="4">
        <f>SUMIFS('01_異動主檔'!$F:$F,'01_異動主檔'!$B:$B,124,'01_異動主檔'!$D:$D,A1515,'01_異動主檔'!$E:$E,"新增")</f>
        <v/>
      </c>
      <c r="G1515" s="4">
        <f>-SUMIFS('01_異動主檔'!$F:$F,'01_異動主檔'!$B:$B,124,'01_異動主檔'!$D:$D,A1515,'01_異動主檔'!$E:$E,"減列")</f>
        <v/>
      </c>
      <c r="H1515" s="4">
        <f>-SUMIFS('01_異動主檔'!$F:$F,'01_異動主檔'!$B:$B,124,'01_異動主檔'!$D:$D,A1515,'01_異動主檔'!$E:$E,"精簡")</f>
        <v/>
      </c>
      <c r="I1515" s="8">
        <f>C1515+D1515+E1515+F1515+G1515+H1515</f>
        <v/>
      </c>
    </row>
    <row r="1516" ht="18" customHeight="1">
      <c r="A1516" s="5" t="inlineStr">
        <is>
          <t>城區辦公室</t>
        </is>
      </c>
      <c r="B1516" s="6" t="n">
        <v>125</v>
      </c>
      <c r="C1516" s="8">
        <f>I1515</f>
        <v/>
      </c>
      <c r="D1516" s="4">
        <f>SUMIFS('01_異動主檔'!$F:$F,'01_異動主檔'!$B:$B,125,'01_異動主檔'!$D:$D,A1516,'01_異動主檔'!$E:$E,"移入")</f>
        <v/>
      </c>
      <c r="E1516" s="4">
        <f>-SUMIFS('01_異動主檔'!$F:$F,'01_異動主檔'!$B:$B,125,'01_異動主檔'!$D:$D,A1516,'01_異動主檔'!$E:$E,"移出")</f>
        <v/>
      </c>
      <c r="F1516" s="4">
        <f>SUMIFS('01_異動主檔'!$F:$F,'01_異動主檔'!$B:$B,125,'01_異動主檔'!$D:$D,A1516,'01_異動主檔'!$E:$E,"新增")</f>
        <v/>
      </c>
      <c r="G1516" s="4">
        <f>-SUMIFS('01_異動主檔'!$F:$F,'01_異動主檔'!$B:$B,125,'01_異動主檔'!$D:$D,A1516,'01_異動主檔'!$E:$E,"減列")</f>
        <v/>
      </c>
      <c r="H1516" s="4">
        <f>-SUMIFS('01_異動主檔'!$F:$F,'01_異動主檔'!$B:$B,125,'01_異動主檔'!$D:$D,A1516,'01_異動主檔'!$E:$E,"精簡")</f>
        <v/>
      </c>
      <c r="I1516" s="8">
        <f>C1516+D1516+E1516+F1516+G1516+H1516</f>
        <v/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0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</cols>
  <sheetData>
    <row r="1">
      <c r="A1" s="1" t="inlineStr">
        <is>
          <t>📊 年初員額設定（99年度請手動輸入，100年度起公式自動帶入）</t>
        </is>
      </c>
    </row>
    <row r="2">
      <c r="A2" s="7" t="inlineStr">
        <is>
          <t>※ 黃色格子=需手動輸入｜綠色格子=公式自動計算（請勿修改）｜只有機關名稱，沒有代碼</t>
        </is>
      </c>
    </row>
    <row r="4">
      <c r="A4" s="2" t="inlineStr">
        <is>
          <t>機關名稱</t>
        </is>
      </c>
      <c r="B4" s="2" t="inlineStr">
        <is>
          <t>99年</t>
        </is>
      </c>
      <c r="C4" s="2" t="inlineStr">
        <is>
          <t>100年</t>
        </is>
      </c>
      <c r="D4" s="2" t="inlineStr">
        <is>
          <t>101年</t>
        </is>
      </c>
      <c r="E4" s="2" t="inlineStr">
        <is>
          <t>102年</t>
        </is>
      </c>
      <c r="F4" s="2" t="inlineStr">
        <is>
          <t>103年</t>
        </is>
      </c>
      <c r="G4" s="2" t="inlineStr">
        <is>
          <t>104年</t>
        </is>
      </c>
      <c r="H4" s="2" t="inlineStr">
        <is>
          <t>105年</t>
        </is>
      </c>
      <c r="I4" s="2" t="inlineStr">
        <is>
          <t>106年</t>
        </is>
      </c>
      <c r="J4" s="2" t="inlineStr">
        <is>
          <t>107年</t>
        </is>
      </c>
      <c r="K4" s="2" t="inlineStr">
        <is>
          <t>108年</t>
        </is>
      </c>
      <c r="L4" s="2" t="inlineStr">
        <is>
          <t>109年</t>
        </is>
      </c>
      <c r="M4" s="2" t="inlineStr">
        <is>
          <t>110年</t>
        </is>
      </c>
      <c r="N4" s="2" t="inlineStr">
        <is>
          <t>111年</t>
        </is>
      </c>
      <c r="O4" s="2" t="inlineStr">
        <is>
          <t>112年</t>
        </is>
      </c>
      <c r="P4" s="2" t="inlineStr">
        <is>
          <t>113年</t>
        </is>
      </c>
      <c r="Q4" s="2" t="inlineStr">
        <is>
          <t>114年</t>
        </is>
      </c>
      <c r="R4" s="2" t="inlineStr">
        <is>
          <t>115年</t>
        </is>
      </c>
      <c r="S4" s="2" t="inlineStr">
        <is>
          <t>116年</t>
        </is>
      </c>
      <c r="T4" s="2" t="inlineStr">
        <is>
          <t>117年</t>
        </is>
      </c>
      <c r="U4" s="2" t="inlineStr">
        <is>
          <t>118年</t>
        </is>
      </c>
      <c r="V4" s="2" t="inlineStr">
        <is>
          <t>119年</t>
        </is>
      </c>
      <c r="W4" s="2" t="inlineStr">
        <is>
          <t>120年</t>
        </is>
      </c>
      <c r="X4" s="2" t="inlineStr">
        <is>
          <t>121年</t>
        </is>
      </c>
      <c r="Y4" s="2" t="inlineStr">
        <is>
          <t>122年</t>
        </is>
      </c>
      <c r="Z4" s="2" t="inlineStr">
        <is>
          <t>123年</t>
        </is>
      </c>
      <c r="AA4" s="2" t="inlineStr">
        <is>
          <t>124年</t>
        </is>
      </c>
      <c r="AB4" s="2" t="inlineStr">
        <is>
          <t>125年</t>
        </is>
      </c>
    </row>
    <row r="5" ht="22" customHeight="1">
      <c r="A5" s="3" t="inlineStr">
        <is>
          <t>人事處</t>
        </is>
      </c>
      <c r="B5" s="9" t="n">
        <v>50</v>
      </c>
      <c r="C5" s="8">
        <f>'03_年度彙總'!C6</f>
        <v/>
      </c>
      <c r="D5" s="8">
        <f>'03_年度彙總'!C7</f>
        <v/>
      </c>
      <c r="E5" s="8">
        <f>'03_年度彙總'!C8</f>
        <v/>
      </c>
      <c r="F5" s="8">
        <f>'03_年度彙總'!C9</f>
        <v/>
      </c>
      <c r="G5" s="8">
        <f>'03_年度彙總'!C10</f>
        <v/>
      </c>
      <c r="H5" s="8">
        <f>'03_年度彙總'!C11</f>
        <v/>
      </c>
      <c r="I5" s="8">
        <f>'03_年度彙總'!C12</f>
        <v/>
      </c>
      <c r="J5" s="8">
        <f>'03_年度彙總'!C13</f>
        <v/>
      </c>
      <c r="K5" s="8">
        <f>'03_年度彙總'!C14</f>
        <v/>
      </c>
      <c r="L5" s="8">
        <f>'03_年度彙總'!C15</f>
        <v/>
      </c>
      <c r="M5" s="8">
        <f>'03_年度彙總'!C16</f>
        <v/>
      </c>
      <c r="N5" s="8">
        <f>'03_年度彙總'!C17</f>
        <v/>
      </c>
      <c r="O5" s="8">
        <f>'03_年度彙總'!C18</f>
        <v/>
      </c>
      <c r="P5" s="8">
        <f>'03_年度彙總'!C19</f>
        <v/>
      </c>
      <c r="Q5" s="8">
        <f>'03_年度彙總'!C20</f>
        <v/>
      </c>
      <c r="R5" s="8">
        <f>'03_年度彙總'!C21</f>
        <v/>
      </c>
      <c r="S5" s="8">
        <f>'03_年度彙總'!C22</f>
        <v/>
      </c>
      <c r="T5" s="8">
        <f>'03_年度彙總'!C23</f>
        <v/>
      </c>
      <c r="U5" s="8">
        <f>'03_年度彙總'!C24</f>
        <v/>
      </c>
      <c r="V5" s="8">
        <f>'03_年度彙總'!C25</f>
        <v/>
      </c>
      <c r="W5" s="8">
        <f>'03_年度彙總'!C26</f>
        <v/>
      </c>
      <c r="X5" s="8">
        <f>'03_年度彙總'!C27</f>
        <v/>
      </c>
      <c r="Y5" s="8">
        <f>'03_年度彙總'!C28</f>
        <v/>
      </c>
      <c r="Z5" s="8">
        <f>'03_年度彙總'!C29</f>
        <v/>
      </c>
      <c r="AA5" s="8">
        <f>'03_年度彙總'!C30</f>
        <v/>
      </c>
      <c r="AB5" s="8">
        <f>'03_年度彙總'!C31</f>
        <v/>
      </c>
    </row>
    <row r="6" ht="22" customHeight="1">
      <c r="A6" s="5" t="inlineStr">
        <is>
          <t>會計處</t>
        </is>
      </c>
      <c r="B6" s="9" t="n">
        <v>53</v>
      </c>
      <c r="C6" s="8">
        <f>'03_年度彙總'!C33</f>
        <v/>
      </c>
      <c r="D6" s="8">
        <f>'03_年度彙總'!C34</f>
        <v/>
      </c>
      <c r="E6" s="8">
        <f>'03_年度彙總'!C35</f>
        <v/>
      </c>
      <c r="F6" s="8">
        <f>'03_年度彙總'!C36</f>
        <v/>
      </c>
      <c r="G6" s="8">
        <f>'03_年度彙總'!C37</f>
        <v/>
      </c>
      <c r="H6" s="8">
        <f>'03_年度彙總'!C38</f>
        <v/>
      </c>
      <c r="I6" s="8">
        <f>'03_年度彙總'!C39</f>
        <v/>
      </c>
      <c r="J6" s="8">
        <f>'03_年度彙總'!C40</f>
        <v/>
      </c>
      <c r="K6" s="8">
        <f>'03_年度彙總'!C41</f>
        <v/>
      </c>
      <c r="L6" s="8">
        <f>'03_年度彙總'!C42</f>
        <v/>
      </c>
      <c r="M6" s="8">
        <f>'03_年度彙總'!C43</f>
        <v/>
      </c>
      <c r="N6" s="8">
        <f>'03_年度彙總'!C44</f>
        <v/>
      </c>
      <c r="O6" s="8">
        <f>'03_年度彙總'!C45</f>
        <v/>
      </c>
      <c r="P6" s="8">
        <f>'03_年度彙總'!C46</f>
        <v/>
      </c>
      <c r="Q6" s="8">
        <f>'03_年度彙總'!C47</f>
        <v/>
      </c>
      <c r="R6" s="8">
        <f>'03_年度彙總'!C48</f>
        <v/>
      </c>
      <c r="S6" s="8">
        <f>'03_年度彙總'!C49</f>
        <v/>
      </c>
      <c r="T6" s="8">
        <f>'03_年度彙總'!C50</f>
        <v/>
      </c>
      <c r="U6" s="8">
        <f>'03_年度彙總'!C51</f>
        <v/>
      </c>
      <c r="V6" s="8">
        <f>'03_年度彙總'!C52</f>
        <v/>
      </c>
      <c r="W6" s="8">
        <f>'03_年度彙總'!C53</f>
        <v/>
      </c>
      <c r="X6" s="8">
        <f>'03_年度彙總'!C54</f>
        <v/>
      </c>
      <c r="Y6" s="8">
        <f>'03_年度彙總'!C55</f>
        <v/>
      </c>
      <c r="Z6" s="8">
        <f>'03_年度彙總'!C56</f>
        <v/>
      </c>
      <c r="AA6" s="8">
        <f>'03_年度彙總'!C57</f>
        <v/>
      </c>
      <c r="AB6" s="8">
        <f>'03_年度彙總'!C58</f>
        <v/>
      </c>
    </row>
    <row r="7" ht="22" customHeight="1">
      <c r="A7" s="3" t="inlineStr">
        <is>
          <t>政風處</t>
        </is>
      </c>
      <c r="B7" s="9" t="n">
        <v>56</v>
      </c>
      <c r="C7" s="8">
        <f>'03_年度彙總'!C60</f>
        <v/>
      </c>
      <c r="D7" s="8">
        <f>'03_年度彙總'!C61</f>
        <v/>
      </c>
      <c r="E7" s="8">
        <f>'03_年度彙總'!C62</f>
        <v/>
      </c>
      <c r="F7" s="8">
        <f>'03_年度彙總'!C63</f>
        <v/>
      </c>
      <c r="G7" s="8">
        <f>'03_年度彙總'!C64</f>
        <v/>
      </c>
      <c r="H7" s="8">
        <f>'03_年度彙總'!C65</f>
        <v/>
      </c>
      <c r="I7" s="8">
        <f>'03_年度彙總'!C66</f>
        <v/>
      </c>
      <c r="J7" s="8">
        <f>'03_年度彙總'!C67</f>
        <v/>
      </c>
      <c r="K7" s="8">
        <f>'03_年度彙總'!C68</f>
        <v/>
      </c>
      <c r="L7" s="8">
        <f>'03_年度彙總'!C69</f>
        <v/>
      </c>
      <c r="M7" s="8">
        <f>'03_年度彙總'!C70</f>
        <v/>
      </c>
      <c r="N7" s="8">
        <f>'03_年度彙總'!C71</f>
        <v/>
      </c>
      <c r="O7" s="8">
        <f>'03_年度彙總'!C72</f>
        <v/>
      </c>
      <c r="P7" s="8">
        <f>'03_年度彙總'!C73</f>
        <v/>
      </c>
      <c r="Q7" s="8">
        <f>'03_年度彙總'!C74</f>
        <v/>
      </c>
      <c r="R7" s="8">
        <f>'03_年度彙總'!C75</f>
        <v/>
      </c>
      <c r="S7" s="8">
        <f>'03_年度彙總'!C76</f>
        <v/>
      </c>
      <c r="T7" s="8">
        <f>'03_年度彙總'!C77</f>
        <v/>
      </c>
      <c r="U7" s="8">
        <f>'03_年度彙總'!C78</f>
        <v/>
      </c>
      <c r="V7" s="8">
        <f>'03_年度彙總'!C79</f>
        <v/>
      </c>
      <c r="W7" s="8">
        <f>'03_年度彙總'!C80</f>
        <v/>
      </c>
      <c r="X7" s="8">
        <f>'03_年度彙總'!C81</f>
        <v/>
      </c>
      <c r="Y7" s="8">
        <f>'03_年度彙總'!C82</f>
        <v/>
      </c>
      <c r="Z7" s="8">
        <f>'03_年度彙總'!C83</f>
        <v/>
      </c>
      <c r="AA7" s="8">
        <f>'03_年度彙總'!C84</f>
        <v/>
      </c>
      <c r="AB7" s="8">
        <f>'03_年度彙總'!C85</f>
        <v/>
      </c>
    </row>
    <row r="8" ht="22" customHeight="1">
      <c r="A8" s="5" t="inlineStr">
        <is>
          <t>總務處</t>
        </is>
      </c>
      <c r="B8" s="9" t="n">
        <v>59</v>
      </c>
      <c r="C8" s="8">
        <f>'03_年度彙總'!C87</f>
        <v/>
      </c>
      <c r="D8" s="8">
        <f>'03_年度彙總'!C88</f>
        <v/>
      </c>
      <c r="E8" s="8">
        <f>'03_年度彙總'!C89</f>
        <v/>
      </c>
      <c r="F8" s="8">
        <f>'03_年度彙總'!C90</f>
        <v/>
      </c>
      <c r="G8" s="8">
        <f>'03_年度彙總'!C91</f>
        <v/>
      </c>
      <c r="H8" s="8">
        <f>'03_年度彙總'!C92</f>
        <v/>
      </c>
      <c r="I8" s="8">
        <f>'03_年度彙總'!C93</f>
        <v/>
      </c>
      <c r="J8" s="8">
        <f>'03_年度彙總'!C94</f>
        <v/>
      </c>
      <c r="K8" s="8">
        <f>'03_年度彙總'!C95</f>
        <v/>
      </c>
      <c r="L8" s="8">
        <f>'03_年度彙總'!C96</f>
        <v/>
      </c>
      <c r="M8" s="8">
        <f>'03_年度彙總'!C97</f>
        <v/>
      </c>
      <c r="N8" s="8">
        <f>'03_年度彙總'!C98</f>
        <v/>
      </c>
      <c r="O8" s="8">
        <f>'03_年度彙總'!C99</f>
        <v/>
      </c>
      <c r="P8" s="8">
        <f>'03_年度彙總'!C100</f>
        <v/>
      </c>
      <c r="Q8" s="8">
        <f>'03_年度彙總'!C101</f>
        <v/>
      </c>
      <c r="R8" s="8">
        <f>'03_年度彙總'!C102</f>
        <v/>
      </c>
      <c r="S8" s="8">
        <f>'03_年度彙總'!C103</f>
        <v/>
      </c>
      <c r="T8" s="8">
        <f>'03_年度彙總'!C104</f>
        <v/>
      </c>
      <c r="U8" s="8">
        <f>'03_年度彙總'!C105</f>
        <v/>
      </c>
      <c r="V8" s="8">
        <f>'03_年度彙總'!C106</f>
        <v/>
      </c>
      <c r="W8" s="8">
        <f>'03_年度彙總'!C107</f>
        <v/>
      </c>
      <c r="X8" s="8">
        <f>'03_年度彙總'!C108</f>
        <v/>
      </c>
      <c r="Y8" s="8">
        <f>'03_年度彙總'!C109</f>
        <v/>
      </c>
      <c r="Z8" s="8">
        <f>'03_年度彙總'!C110</f>
        <v/>
      </c>
      <c r="AA8" s="8">
        <f>'03_年度彙總'!C111</f>
        <v/>
      </c>
      <c r="AB8" s="8">
        <f>'03_年度彙總'!C112</f>
        <v/>
      </c>
    </row>
    <row r="9" ht="22" customHeight="1">
      <c r="A9" s="3" t="inlineStr">
        <is>
          <t>資訊處</t>
        </is>
      </c>
      <c r="B9" s="9" t="n">
        <v>62</v>
      </c>
      <c r="C9" s="8">
        <f>'03_年度彙總'!C114</f>
        <v/>
      </c>
      <c r="D9" s="8">
        <f>'03_年度彙總'!C115</f>
        <v/>
      </c>
      <c r="E9" s="8">
        <f>'03_年度彙總'!C116</f>
        <v/>
      </c>
      <c r="F9" s="8">
        <f>'03_年度彙總'!C117</f>
        <v/>
      </c>
      <c r="G9" s="8">
        <f>'03_年度彙總'!C118</f>
        <v/>
      </c>
      <c r="H9" s="8">
        <f>'03_年度彙總'!C119</f>
        <v/>
      </c>
      <c r="I9" s="8">
        <f>'03_年度彙總'!C120</f>
        <v/>
      </c>
      <c r="J9" s="8">
        <f>'03_年度彙總'!C121</f>
        <v/>
      </c>
      <c r="K9" s="8">
        <f>'03_年度彙總'!C122</f>
        <v/>
      </c>
      <c r="L9" s="8">
        <f>'03_年度彙總'!C123</f>
        <v/>
      </c>
      <c r="M9" s="8">
        <f>'03_年度彙總'!C124</f>
        <v/>
      </c>
      <c r="N9" s="8">
        <f>'03_年度彙總'!C125</f>
        <v/>
      </c>
      <c r="O9" s="8">
        <f>'03_年度彙總'!C126</f>
        <v/>
      </c>
      <c r="P9" s="8">
        <f>'03_年度彙總'!C127</f>
        <v/>
      </c>
      <c r="Q9" s="8">
        <f>'03_年度彙總'!C128</f>
        <v/>
      </c>
      <c r="R9" s="8">
        <f>'03_年度彙總'!C129</f>
        <v/>
      </c>
      <c r="S9" s="8">
        <f>'03_年度彙總'!C130</f>
        <v/>
      </c>
      <c r="T9" s="8">
        <f>'03_年度彙總'!C131</f>
        <v/>
      </c>
      <c r="U9" s="8">
        <f>'03_年度彙總'!C132</f>
        <v/>
      </c>
      <c r="V9" s="8">
        <f>'03_年度彙總'!C133</f>
        <v/>
      </c>
      <c r="W9" s="8">
        <f>'03_年度彙總'!C134</f>
        <v/>
      </c>
      <c r="X9" s="8">
        <f>'03_年度彙總'!C135</f>
        <v/>
      </c>
      <c r="Y9" s="8">
        <f>'03_年度彙總'!C136</f>
        <v/>
      </c>
      <c r="Z9" s="8">
        <f>'03_年度彙總'!C137</f>
        <v/>
      </c>
      <c r="AA9" s="8">
        <f>'03_年度彙總'!C138</f>
        <v/>
      </c>
      <c r="AB9" s="8">
        <f>'03_年度彙總'!C139</f>
        <v/>
      </c>
    </row>
    <row r="10" ht="22" customHeight="1">
      <c r="A10" s="5" t="inlineStr">
        <is>
          <t>法制處</t>
        </is>
      </c>
      <c r="B10" s="9" t="n">
        <v>65</v>
      </c>
      <c r="C10" s="8">
        <f>'03_年度彙總'!C141</f>
        <v/>
      </c>
      <c r="D10" s="8">
        <f>'03_年度彙總'!C142</f>
        <v/>
      </c>
      <c r="E10" s="8">
        <f>'03_年度彙總'!C143</f>
        <v/>
      </c>
      <c r="F10" s="8">
        <f>'03_年度彙總'!C144</f>
        <v/>
      </c>
      <c r="G10" s="8">
        <f>'03_年度彙總'!C145</f>
        <v/>
      </c>
      <c r="H10" s="8">
        <f>'03_年度彙總'!C146</f>
        <v/>
      </c>
      <c r="I10" s="8">
        <f>'03_年度彙總'!C147</f>
        <v/>
      </c>
      <c r="J10" s="8">
        <f>'03_年度彙總'!C148</f>
        <v/>
      </c>
      <c r="K10" s="8">
        <f>'03_年度彙總'!C149</f>
        <v/>
      </c>
      <c r="L10" s="8">
        <f>'03_年度彙總'!C150</f>
        <v/>
      </c>
      <c r="M10" s="8">
        <f>'03_年度彙總'!C151</f>
        <v/>
      </c>
      <c r="N10" s="8">
        <f>'03_年度彙總'!C152</f>
        <v/>
      </c>
      <c r="O10" s="8">
        <f>'03_年度彙總'!C153</f>
        <v/>
      </c>
      <c r="P10" s="8">
        <f>'03_年度彙總'!C154</f>
        <v/>
      </c>
      <c r="Q10" s="8">
        <f>'03_年度彙總'!C155</f>
        <v/>
      </c>
      <c r="R10" s="8">
        <f>'03_年度彙總'!C156</f>
        <v/>
      </c>
      <c r="S10" s="8">
        <f>'03_年度彙總'!C157</f>
        <v/>
      </c>
      <c r="T10" s="8">
        <f>'03_年度彙總'!C158</f>
        <v/>
      </c>
      <c r="U10" s="8">
        <f>'03_年度彙總'!C159</f>
        <v/>
      </c>
      <c r="V10" s="8">
        <f>'03_年度彙總'!C160</f>
        <v/>
      </c>
      <c r="W10" s="8">
        <f>'03_年度彙總'!C161</f>
        <v/>
      </c>
      <c r="X10" s="8">
        <f>'03_年度彙總'!C162</f>
        <v/>
      </c>
      <c r="Y10" s="8">
        <f>'03_年度彙總'!C163</f>
        <v/>
      </c>
      <c r="Z10" s="8">
        <f>'03_年度彙總'!C164</f>
        <v/>
      </c>
      <c r="AA10" s="8">
        <f>'03_年度彙總'!C165</f>
        <v/>
      </c>
      <c r="AB10" s="8">
        <f>'03_年度彙總'!C166</f>
        <v/>
      </c>
    </row>
    <row r="11" ht="22" customHeight="1">
      <c r="A11" s="3" t="inlineStr">
        <is>
          <t>秘書處</t>
        </is>
      </c>
      <c r="B11" s="9" t="n">
        <v>68</v>
      </c>
      <c r="C11" s="8">
        <f>'03_年度彙總'!C168</f>
        <v/>
      </c>
      <c r="D11" s="8">
        <f>'03_年度彙總'!C169</f>
        <v/>
      </c>
      <c r="E11" s="8">
        <f>'03_年度彙總'!C170</f>
        <v/>
      </c>
      <c r="F11" s="8">
        <f>'03_年度彙總'!C171</f>
        <v/>
      </c>
      <c r="G11" s="8">
        <f>'03_年度彙總'!C172</f>
        <v/>
      </c>
      <c r="H11" s="8">
        <f>'03_年度彙總'!C173</f>
        <v/>
      </c>
      <c r="I11" s="8">
        <f>'03_年度彙總'!C174</f>
        <v/>
      </c>
      <c r="J11" s="8">
        <f>'03_年度彙總'!C175</f>
        <v/>
      </c>
      <c r="K11" s="8">
        <f>'03_年度彙總'!C176</f>
        <v/>
      </c>
      <c r="L11" s="8">
        <f>'03_年度彙總'!C177</f>
        <v/>
      </c>
      <c r="M11" s="8">
        <f>'03_年度彙總'!C178</f>
        <v/>
      </c>
      <c r="N11" s="8">
        <f>'03_年度彙總'!C179</f>
        <v/>
      </c>
      <c r="O11" s="8">
        <f>'03_年度彙總'!C180</f>
        <v/>
      </c>
      <c r="P11" s="8">
        <f>'03_年度彙總'!C181</f>
        <v/>
      </c>
      <c r="Q11" s="8">
        <f>'03_年度彙總'!C182</f>
        <v/>
      </c>
      <c r="R11" s="8">
        <f>'03_年度彙總'!C183</f>
        <v/>
      </c>
      <c r="S11" s="8">
        <f>'03_年度彙總'!C184</f>
        <v/>
      </c>
      <c r="T11" s="8">
        <f>'03_年度彙總'!C185</f>
        <v/>
      </c>
      <c r="U11" s="8">
        <f>'03_年度彙總'!C186</f>
        <v/>
      </c>
      <c r="V11" s="8">
        <f>'03_年度彙總'!C187</f>
        <v/>
      </c>
      <c r="W11" s="8">
        <f>'03_年度彙總'!C188</f>
        <v/>
      </c>
      <c r="X11" s="8">
        <f>'03_年度彙總'!C189</f>
        <v/>
      </c>
      <c r="Y11" s="8">
        <f>'03_年度彙總'!C190</f>
        <v/>
      </c>
      <c r="Z11" s="8">
        <f>'03_年度彙總'!C191</f>
        <v/>
      </c>
      <c r="AA11" s="8">
        <f>'03_年度彙總'!C192</f>
        <v/>
      </c>
      <c r="AB11" s="8">
        <f>'03_年度彙總'!C193</f>
        <v/>
      </c>
    </row>
    <row r="12" ht="22" customHeight="1">
      <c r="A12" s="5" t="inlineStr">
        <is>
          <t>公關室</t>
        </is>
      </c>
      <c r="B12" s="9" t="n">
        <v>71</v>
      </c>
      <c r="C12" s="8">
        <f>'03_年度彙總'!C195</f>
        <v/>
      </c>
      <c r="D12" s="8">
        <f>'03_年度彙總'!C196</f>
        <v/>
      </c>
      <c r="E12" s="8">
        <f>'03_年度彙總'!C197</f>
        <v/>
      </c>
      <c r="F12" s="8">
        <f>'03_年度彙總'!C198</f>
        <v/>
      </c>
      <c r="G12" s="8">
        <f>'03_年度彙總'!C199</f>
        <v/>
      </c>
      <c r="H12" s="8">
        <f>'03_年度彙總'!C200</f>
        <v/>
      </c>
      <c r="I12" s="8">
        <f>'03_年度彙總'!C201</f>
        <v/>
      </c>
      <c r="J12" s="8">
        <f>'03_年度彙總'!C202</f>
        <v/>
      </c>
      <c r="K12" s="8">
        <f>'03_年度彙總'!C203</f>
        <v/>
      </c>
      <c r="L12" s="8">
        <f>'03_年度彙總'!C204</f>
        <v/>
      </c>
      <c r="M12" s="8">
        <f>'03_年度彙總'!C205</f>
        <v/>
      </c>
      <c r="N12" s="8">
        <f>'03_年度彙總'!C206</f>
        <v/>
      </c>
      <c r="O12" s="8">
        <f>'03_年度彙總'!C207</f>
        <v/>
      </c>
      <c r="P12" s="8">
        <f>'03_年度彙總'!C208</f>
        <v/>
      </c>
      <c r="Q12" s="8">
        <f>'03_年度彙總'!C209</f>
        <v/>
      </c>
      <c r="R12" s="8">
        <f>'03_年度彙總'!C210</f>
        <v/>
      </c>
      <c r="S12" s="8">
        <f>'03_年度彙總'!C211</f>
        <v/>
      </c>
      <c r="T12" s="8">
        <f>'03_年度彙總'!C212</f>
        <v/>
      </c>
      <c r="U12" s="8">
        <f>'03_年度彙總'!C213</f>
        <v/>
      </c>
      <c r="V12" s="8">
        <f>'03_年度彙總'!C214</f>
        <v/>
      </c>
      <c r="W12" s="8">
        <f>'03_年度彙總'!C215</f>
        <v/>
      </c>
      <c r="X12" s="8">
        <f>'03_年度彙總'!C216</f>
        <v/>
      </c>
      <c r="Y12" s="8">
        <f>'03_年度彙總'!C217</f>
        <v/>
      </c>
      <c r="Z12" s="8">
        <f>'03_年度彙總'!C218</f>
        <v/>
      </c>
      <c r="AA12" s="8">
        <f>'03_年度彙總'!C219</f>
        <v/>
      </c>
      <c r="AB12" s="8">
        <f>'03_年度彙總'!C220</f>
        <v/>
      </c>
    </row>
    <row r="13" ht="22" customHeight="1">
      <c r="A13" s="3" t="inlineStr">
        <is>
          <t>第一組</t>
        </is>
      </c>
      <c r="B13" s="9" t="n">
        <v>74</v>
      </c>
      <c r="C13" s="8">
        <f>'03_年度彙總'!C222</f>
        <v/>
      </c>
      <c r="D13" s="8">
        <f>'03_年度彙總'!C223</f>
        <v/>
      </c>
      <c r="E13" s="8">
        <f>'03_年度彙總'!C224</f>
        <v/>
      </c>
      <c r="F13" s="8">
        <f>'03_年度彙總'!C225</f>
        <v/>
      </c>
      <c r="G13" s="8">
        <f>'03_年度彙總'!C226</f>
        <v/>
      </c>
      <c r="H13" s="8">
        <f>'03_年度彙總'!C227</f>
        <v/>
      </c>
      <c r="I13" s="8">
        <f>'03_年度彙總'!C228</f>
        <v/>
      </c>
      <c r="J13" s="8">
        <f>'03_年度彙總'!C229</f>
        <v/>
      </c>
      <c r="K13" s="8">
        <f>'03_年度彙總'!C230</f>
        <v/>
      </c>
      <c r="L13" s="8">
        <f>'03_年度彙總'!C231</f>
        <v/>
      </c>
      <c r="M13" s="8">
        <f>'03_年度彙總'!C232</f>
        <v/>
      </c>
      <c r="N13" s="8">
        <f>'03_年度彙總'!C233</f>
        <v/>
      </c>
      <c r="O13" s="8">
        <f>'03_年度彙總'!C234</f>
        <v/>
      </c>
      <c r="P13" s="8">
        <f>'03_年度彙總'!C235</f>
        <v/>
      </c>
      <c r="Q13" s="8">
        <f>'03_年度彙總'!C236</f>
        <v/>
      </c>
      <c r="R13" s="8">
        <f>'03_年度彙總'!C237</f>
        <v/>
      </c>
      <c r="S13" s="8">
        <f>'03_年度彙總'!C238</f>
        <v/>
      </c>
      <c r="T13" s="8">
        <f>'03_年度彙總'!C239</f>
        <v/>
      </c>
      <c r="U13" s="8">
        <f>'03_年度彙總'!C240</f>
        <v/>
      </c>
      <c r="V13" s="8">
        <f>'03_年度彙總'!C241</f>
        <v/>
      </c>
      <c r="W13" s="8">
        <f>'03_年度彙總'!C242</f>
        <v/>
      </c>
      <c r="X13" s="8">
        <f>'03_年度彙總'!C243</f>
        <v/>
      </c>
      <c r="Y13" s="8">
        <f>'03_年度彙總'!C244</f>
        <v/>
      </c>
      <c r="Z13" s="8">
        <f>'03_年度彙總'!C245</f>
        <v/>
      </c>
      <c r="AA13" s="8">
        <f>'03_年度彙總'!C246</f>
        <v/>
      </c>
      <c r="AB13" s="8">
        <f>'03_年度彙總'!C247</f>
        <v/>
      </c>
    </row>
    <row r="14" ht="22" customHeight="1">
      <c r="A14" s="5" t="inlineStr">
        <is>
          <t>第二組</t>
        </is>
      </c>
      <c r="B14" s="9" t="n">
        <v>77</v>
      </c>
      <c r="C14" s="8">
        <f>'03_年度彙總'!C249</f>
        <v/>
      </c>
      <c r="D14" s="8">
        <f>'03_年度彙總'!C250</f>
        <v/>
      </c>
      <c r="E14" s="8">
        <f>'03_年度彙總'!C251</f>
        <v/>
      </c>
      <c r="F14" s="8">
        <f>'03_年度彙總'!C252</f>
        <v/>
      </c>
      <c r="G14" s="8">
        <f>'03_年度彙總'!C253</f>
        <v/>
      </c>
      <c r="H14" s="8">
        <f>'03_年度彙總'!C254</f>
        <v/>
      </c>
      <c r="I14" s="8">
        <f>'03_年度彙總'!C255</f>
        <v/>
      </c>
      <c r="J14" s="8">
        <f>'03_年度彙總'!C256</f>
        <v/>
      </c>
      <c r="K14" s="8">
        <f>'03_年度彙總'!C257</f>
        <v/>
      </c>
      <c r="L14" s="8">
        <f>'03_年度彙總'!C258</f>
        <v/>
      </c>
      <c r="M14" s="8">
        <f>'03_年度彙總'!C259</f>
        <v/>
      </c>
      <c r="N14" s="8">
        <f>'03_年度彙總'!C260</f>
        <v/>
      </c>
      <c r="O14" s="8">
        <f>'03_年度彙總'!C261</f>
        <v/>
      </c>
      <c r="P14" s="8">
        <f>'03_年度彙總'!C262</f>
        <v/>
      </c>
      <c r="Q14" s="8">
        <f>'03_年度彙總'!C263</f>
        <v/>
      </c>
      <c r="R14" s="8">
        <f>'03_年度彙總'!C264</f>
        <v/>
      </c>
      <c r="S14" s="8">
        <f>'03_年度彙總'!C265</f>
        <v/>
      </c>
      <c r="T14" s="8">
        <f>'03_年度彙總'!C266</f>
        <v/>
      </c>
      <c r="U14" s="8">
        <f>'03_年度彙總'!C267</f>
        <v/>
      </c>
      <c r="V14" s="8">
        <f>'03_年度彙總'!C268</f>
        <v/>
      </c>
      <c r="W14" s="8">
        <f>'03_年度彙總'!C269</f>
        <v/>
      </c>
      <c r="X14" s="8">
        <f>'03_年度彙總'!C270</f>
        <v/>
      </c>
      <c r="Y14" s="8">
        <f>'03_年度彙總'!C271</f>
        <v/>
      </c>
      <c r="Z14" s="8">
        <f>'03_年度彙總'!C272</f>
        <v/>
      </c>
      <c r="AA14" s="8">
        <f>'03_年度彙總'!C273</f>
        <v/>
      </c>
      <c r="AB14" s="8">
        <f>'03_年度彙總'!C274</f>
        <v/>
      </c>
    </row>
    <row r="15" ht="22" customHeight="1">
      <c r="A15" s="3" t="inlineStr">
        <is>
          <t>第三組</t>
        </is>
      </c>
      <c r="B15" s="9" t="n">
        <v>80</v>
      </c>
      <c r="C15" s="8">
        <f>'03_年度彙總'!C276</f>
        <v/>
      </c>
      <c r="D15" s="8">
        <f>'03_年度彙總'!C277</f>
        <v/>
      </c>
      <c r="E15" s="8">
        <f>'03_年度彙總'!C278</f>
        <v/>
      </c>
      <c r="F15" s="8">
        <f>'03_年度彙總'!C279</f>
        <v/>
      </c>
      <c r="G15" s="8">
        <f>'03_年度彙總'!C280</f>
        <v/>
      </c>
      <c r="H15" s="8">
        <f>'03_年度彙總'!C281</f>
        <v/>
      </c>
      <c r="I15" s="8">
        <f>'03_年度彙總'!C282</f>
        <v/>
      </c>
      <c r="J15" s="8">
        <f>'03_年度彙總'!C283</f>
        <v/>
      </c>
      <c r="K15" s="8">
        <f>'03_年度彙總'!C284</f>
        <v/>
      </c>
      <c r="L15" s="8">
        <f>'03_年度彙總'!C285</f>
        <v/>
      </c>
      <c r="M15" s="8">
        <f>'03_年度彙總'!C286</f>
        <v/>
      </c>
      <c r="N15" s="8">
        <f>'03_年度彙總'!C287</f>
        <v/>
      </c>
      <c r="O15" s="8">
        <f>'03_年度彙總'!C288</f>
        <v/>
      </c>
      <c r="P15" s="8">
        <f>'03_年度彙總'!C289</f>
        <v/>
      </c>
      <c r="Q15" s="8">
        <f>'03_年度彙總'!C290</f>
        <v/>
      </c>
      <c r="R15" s="8">
        <f>'03_年度彙總'!C291</f>
        <v/>
      </c>
      <c r="S15" s="8">
        <f>'03_年度彙總'!C292</f>
        <v/>
      </c>
      <c r="T15" s="8">
        <f>'03_年度彙總'!C293</f>
        <v/>
      </c>
      <c r="U15" s="8">
        <f>'03_年度彙總'!C294</f>
        <v/>
      </c>
      <c r="V15" s="8">
        <f>'03_年度彙總'!C295</f>
        <v/>
      </c>
      <c r="W15" s="8">
        <f>'03_年度彙總'!C296</f>
        <v/>
      </c>
      <c r="X15" s="8">
        <f>'03_年度彙總'!C297</f>
        <v/>
      </c>
      <c r="Y15" s="8">
        <f>'03_年度彙總'!C298</f>
        <v/>
      </c>
      <c r="Z15" s="8">
        <f>'03_年度彙總'!C299</f>
        <v/>
      </c>
      <c r="AA15" s="8">
        <f>'03_年度彙總'!C300</f>
        <v/>
      </c>
      <c r="AB15" s="8">
        <f>'03_年度彙總'!C301</f>
        <v/>
      </c>
    </row>
    <row r="16" ht="22" customHeight="1">
      <c r="A16" s="5" t="inlineStr">
        <is>
          <t>第四組</t>
        </is>
      </c>
      <c r="B16" s="9" t="n">
        <v>83</v>
      </c>
      <c r="C16" s="8">
        <f>'03_年度彙總'!C303</f>
        <v/>
      </c>
      <c r="D16" s="8">
        <f>'03_年度彙總'!C304</f>
        <v/>
      </c>
      <c r="E16" s="8">
        <f>'03_年度彙總'!C305</f>
        <v/>
      </c>
      <c r="F16" s="8">
        <f>'03_年度彙總'!C306</f>
        <v/>
      </c>
      <c r="G16" s="8">
        <f>'03_年度彙總'!C307</f>
        <v/>
      </c>
      <c r="H16" s="8">
        <f>'03_年度彙總'!C308</f>
        <v/>
      </c>
      <c r="I16" s="8">
        <f>'03_年度彙總'!C309</f>
        <v/>
      </c>
      <c r="J16" s="8">
        <f>'03_年度彙總'!C310</f>
        <v/>
      </c>
      <c r="K16" s="8">
        <f>'03_年度彙總'!C311</f>
        <v/>
      </c>
      <c r="L16" s="8">
        <f>'03_年度彙總'!C312</f>
        <v/>
      </c>
      <c r="M16" s="8">
        <f>'03_年度彙總'!C313</f>
        <v/>
      </c>
      <c r="N16" s="8">
        <f>'03_年度彙總'!C314</f>
        <v/>
      </c>
      <c r="O16" s="8">
        <f>'03_年度彙總'!C315</f>
        <v/>
      </c>
      <c r="P16" s="8">
        <f>'03_年度彙總'!C316</f>
        <v/>
      </c>
      <c r="Q16" s="8">
        <f>'03_年度彙總'!C317</f>
        <v/>
      </c>
      <c r="R16" s="8">
        <f>'03_年度彙總'!C318</f>
        <v/>
      </c>
      <c r="S16" s="8">
        <f>'03_年度彙總'!C319</f>
        <v/>
      </c>
      <c r="T16" s="8">
        <f>'03_年度彙總'!C320</f>
        <v/>
      </c>
      <c r="U16" s="8">
        <f>'03_年度彙總'!C321</f>
        <v/>
      </c>
      <c r="V16" s="8">
        <f>'03_年度彙總'!C322</f>
        <v/>
      </c>
      <c r="W16" s="8">
        <f>'03_年度彙總'!C323</f>
        <v/>
      </c>
      <c r="X16" s="8">
        <f>'03_年度彙總'!C324</f>
        <v/>
      </c>
      <c r="Y16" s="8">
        <f>'03_年度彙總'!C325</f>
        <v/>
      </c>
      <c r="Z16" s="8">
        <f>'03_年度彙總'!C326</f>
        <v/>
      </c>
      <c r="AA16" s="8">
        <f>'03_年度彙總'!C327</f>
        <v/>
      </c>
      <c r="AB16" s="8">
        <f>'03_年度彙總'!C328</f>
        <v/>
      </c>
    </row>
    <row r="17" ht="22" customHeight="1">
      <c r="A17" s="3" t="inlineStr">
        <is>
          <t>第五組</t>
        </is>
      </c>
      <c r="B17" s="9" t="n">
        <v>86</v>
      </c>
      <c r="C17" s="8">
        <f>'03_年度彙總'!C330</f>
        <v/>
      </c>
      <c r="D17" s="8">
        <f>'03_年度彙總'!C331</f>
        <v/>
      </c>
      <c r="E17" s="8">
        <f>'03_年度彙總'!C332</f>
        <v/>
      </c>
      <c r="F17" s="8">
        <f>'03_年度彙總'!C333</f>
        <v/>
      </c>
      <c r="G17" s="8">
        <f>'03_年度彙總'!C334</f>
        <v/>
      </c>
      <c r="H17" s="8">
        <f>'03_年度彙總'!C335</f>
        <v/>
      </c>
      <c r="I17" s="8">
        <f>'03_年度彙總'!C336</f>
        <v/>
      </c>
      <c r="J17" s="8">
        <f>'03_年度彙總'!C337</f>
        <v/>
      </c>
      <c r="K17" s="8">
        <f>'03_年度彙總'!C338</f>
        <v/>
      </c>
      <c r="L17" s="8">
        <f>'03_年度彙總'!C339</f>
        <v/>
      </c>
      <c r="M17" s="8">
        <f>'03_年度彙總'!C340</f>
        <v/>
      </c>
      <c r="N17" s="8">
        <f>'03_年度彙總'!C341</f>
        <v/>
      </c>
      <c r="O17" s="8">
        <f>'03_年度彙總'!C342</f>
        <v/>
      </c>
      <c r="P17" s="8">
        <f>'03_年度彙總'!C343</f>
        <v/>
      </c>
      <c r="Q17" s="8">
        <f>'03_年度彙總'!C344</f>
        <v/>
      </c>
      <c r="R17" s="8">
        <f>'03_年度彙總'!C345</f>
        <v/>
      </c>
      <c r="S17" s="8">
        <f>'03_年度彙總'!C346</f>
        <v/>
      </c>
      <c r="T17" s="8">
        <f>'03_年度彙總'!C347</f>
        <v/>
      </c>
      <c r="U17" s="8">
        <f>'03_年度彙總'!C348</f>
        <v/>
      </c>
      <c r="V17" s="8">
        <f>'03_年度彙總'!C349</f>
        <v/>
      </c>
      <c r="W17" s="8">
        <f>'03_年度彙總'!C350</f>
        <v/>
      </c>
      <c r="X17" s="8">
        <f>'03_年度彙總'!C351</f>
        <v/>
      </c>
      <c r="Y17" s="8">
        <f>'03_年度彙總'!C352</f>
        <v/>
      </c>
      <c r="Z17" s="8">
        <f>'03_年度彙總'!C353</f>
        <v/>
      </c>
      <c r="AA17" s="8">
        <f>'03_年度彙總'!C354</f>
        <v/>
      </c>
      <c r="AB17" s="8">
        <f>'03_年度彙總'!C355</f>
        <v/>
      </c>
    </row>
    <row r="18" ht="22" customHeight="1">
      <c r="A18" s="5" t="inlineStr">
        <is>
          <t>第六組</t>
        </is>
      </c>
      <c r="B18" s="9" t="n">
        <v>89</v>
      </c>
      <c r="C18" s="8">
        <f>'03_年度彙總'!C357</f>
        <v/>
      </c>
      <c r="D18" s="8">
        <f>'03_年度彙總'!C358</f>
        <v/>
      </c>
      <c r="E18" s="8">
        <f>'03_年度彙總'!C359</f>
        <v/>
      </c>
      <c r="F18" s="8">
        <f>'03_年度彙總'!C360</f>
        <v/>
      </c>
      <c r="G18" s="8">
        <f>'03_年度彙總'!C361</f>
        <v/>
      </c>
      <c r="H18" s="8">
        <f>'03_年度彙總'!C362</f>
        <v/>
      </c>
      <c r="I18" s="8">
        <f>'03_年度彙總'!C363</f>
        <v/>
      </c>
      <c r="J18" s="8">
        <f>'03_年度彙總'!C364</f>
        <v/>
      </c>
      <c r="K18" s="8">
        <f>'03_年度彙總'!C365</f>
        <v/>
      </c>
      <c r="L18" s="8">
        <f>'03_年度彙總'!C366</f>
        <v/>
      </c>
      <c r="M18" s="8">
        <f>'03_年度彙總'!C367</f>
        <v/>
      </c>
      <c r="N18" s="8">
        <f>'03_年度彙總'!C368</f>
        <v/>
      </c>
      <c r="O18" s="8">
        <f>'03_年度彙總'!C369</f>
        <v/>
      </c>
      <c r="P18" s="8">
        <f>'03_年度彙總'!C370</f>
        <v/>
      </c>
      <c r="Q18" s="8">
        <f>'03_年度彙總'!C371</f>
        <v/>
      </c>
      <c r="R18" s="8">
        <f>'03_年度彙總'!C372</f>
        <v/>
      </c>
      <c r="S18" s="8">
        <f>'03_年度彙總'!C373</f>
        <v/>
      </c>
      <c r="T18" s="8">
        <f>'03_年度彙總'!C374</f>
        <v/>
      </c>
      <c r="U18" s="8">
        <f>'03_年度彙總'!C375</f>
        <v/>
      </c>
      <c r="V18" s="8">
        <f>'03_年度彙總'!C376</f>
        <v/>
      </c>
      <c r="W18" s="8">
        <f>'03_年度彙總'!C377</f>
        <v/>
      </c>
      <c r="X18" s="8">
        <f>'03_年度彙總'!C378</f>
        <v/>
      </c>
      <c r="Y18" s="8">
        <f>'03_年度彙總'!C379</f>
        <v/>
      </c>
      <c r="Z18" s="8">
        <f>'03_年度彙總'!C380</f>
        <v/>
      </c>
      <c r="AA18" s="8">
        <f>'03_年度彙總'!C381</f>
        <v/>
      </c>
      <c r="AB18" s="8">
        <f>'03_年度彙總'!C382</f>
        <v/>
      </c>
    </row>
    <row r="19" ht="22" customHeight="1">
      <c r="A19" s="3" t="inlineStr">
        <is>
          <t>第七組</t>
        </is>
      </c>
      <c r="B19" s="9" t="n">
        <v>92</v>
      </c>
      <c r="C19" s="8">
        <f>'03_年度彙總'!C384</f>
        <v/>
      </c>
      <c r="D19" s="8">
        <f>'03_年度彙總'!C385</f>
        <v/>
      </c>
      <c r="E19" s="8">
        <f>'03_年度彙總'!C386</f>
        <v/>
      </c>
      <c r="F19" s="8">
        <f>'03_年度彙總'!C387</f>
        <v/>
      </c>
      <c r="G19" s="8">
        <f>'03_年度彙總'!C388</f>
        <v/>
      </c>
      <c r="H19" s="8">
        <f>'03_年度彙總'!C389</f>
        <v/>
      </c>
      <c r="I19" s="8">
        <f>'03_年度彙總'!C390</f>
        <v/>
      </c>
      <c r="J19" s="8">
        <f>'03_年度彙總'!C391</f>
        <v/>
      </c>
      <c r="K19" s="8">
        <f>'03_年度彙總'!C392</f>
        <v/>
      </c>
      <c r="L19" s="8">
        <f>'03_年度彙總'!C393</f>
        <v/>
      </c>
      <c r="M19" s="8">
        <f>'03_年度彙總'!C394</f>
        <v/>
      </c>
      <c r="N19" s="8">
        <f>'03_年度彙總'!C395</f>
        <v/>
      </c>
      <c r="O19" s="8">
        <f>'03_年度彙總'!C396</f>
        <v/>
      </c>
      <c r="P19" s="8">
        <f>'03_年度彙總'!C397</f>
        <v/>
      </c>
      <c r="Q19" s="8">
        <f>'03_年度彙總'!C398</f>
        <v/>
      </c>
      <c r="R19" s="8">
        <f>'03_年度彙總'!C399</f>
        <v/>
      </c>
      <c r="S19" s="8">
        <f>'03_年度彙總'!C400</f>
        <v/>
      </c>
      <c r="T19" s="8">
        <f>'03_年度彙總'!C401</f>
        <v/>
      </c>
      <c r="U19" s="8">
        <f>'03_年度彙總'!C402</f>
        <v/>
      </c>
      <c r="V19" s="8">
        <f>'03_年度彙總'!C403</f>
        <v/>
      </c>
      <c r="W19" s="8">
        <f>'03_年度彙總'!C404</f>
        <v/>
      </c>
      <c r="X19" s="8">
        <f>'03_年度彙總'!C405</f>
        <v/>
      </c>
      <c r="Y19" s="8">
        <f>'03_年度彙總'!C406</f>
        <v/>
      </c>
      <c r="Z19" s="8">
        <f>'03_年度彙總'!C407</f>
        <v/>
      </c>
      <c r="AA19" s="8">
        <f>'03_年度彙總'!C408</f>
        <v/>
      </c>
      <c r="AB19" s="8">
        <f>'03_年度彙總'!C409</f>
        <v/>
      </c>
    </row>
    <row r="20" ht="22" customHeight="1">
      <c r="A20" s="5" t="inlineStr">
        <is>
          <t>第八組</t>
        </is>
      </c>
      <c r="B20" s="9" t="n"/>
      <c r="C20" s="8">
        <f>'03_年度彙總'!C411</f>
        <v/>
      </c>
      <c r="D20" s="8">
        <f>'03_年度彙總'!C412</f>
        <v/>
      </c>
      <c r="E20" s="8">
        <f>'03_年度彙總'!C413</f>
        <v/>
      </c>
      <c r="F20" s="8">
        <f>'03_年度彙總'!C414</f>
        <v/>
      </c>
      <c r="G20" s="8">
        <f>'03_年度彙總'!C415</f>
        <v/>
      </c>
      <c r="H20" s="8">
        <f>'03_年度彙總'!C416</f>
        <v/>
      </c>
      <c r="I20" s="8">
        <f>'03_年度彙總'!C417</f>
        <v/>
      </c>
      <c r="J20" s="8">
        <f>'03_年度彙總'!C418</f>
        <v/>
      </c>
      <c r="K20" s="8">
        <f>'03_年度彙總'!C419</f>
        <v/>
      </c>
      <c r="L20" s="8">
        <f>'03_年度彙總'!C420</f>
        <v/>
      </c>
      <c r="M20" s="8">
        <f>'03_年度彙總'!C421</f>
        <v/>
      </c>
      <c r="N20" s="8">
        <f>'03_年度彙總'!C422</f>
        <v/>
      </c>
      <c r="O20" s="8">
        <f>'03_年度彙總'!C423</f>
        <v/>
      </c>
      <c r="P20" s="8">
        <f>'03_年度彙總'!C424</f>
        <v/>
      </c>
      <c r="Q20" s="8">
        <f>'03_年度彙總'!C425</f>
        <v/>
      </c>
      <c r="R20" s="8">
        <f>'03_年度彙總'!C426</f>
        <v/>
      </c>
      <c r="S20" s="8">
        <f>'03_年度彙總'!C427</f>
        <v/>
      </c>
      <c r="T20" s="8">
        <f>'03_年度彙總'!C428</f>
        <v/>
      </c>
      <c r="U20" s="8">
        <f>'03_年度彙總'!C429</f>
        <v/>
      </c>
      <c r="V20" s="8">
        <f>'03_年度彙總'!C430</f>
        <v/>
      </c>
      <c r="W20" s="8">
        <f>'03_年度彙總'!C431</f>
        <v/>
      </c>
      <c r="X20" s="8">
        <f>'03_年度彙總'!C432</f>
        <v/>
      </c>
      <c r="Y20" s="8">
        <f>'03_年度彙總'!C433</f>
        <v/>
      </c>
      <c r="Z20" s="8">
        <f>'03_年度彙總'!C434</f>
        <v/>
      </c>
      <c r="AA20" s="8">
        <f>'03_年度彙總'!C435</f>
        <v/>
      </c>
      <c r="AB20" s="8">
        <f>'03_年度彙總'!C436</f>
        <v/>
      </c>
    </row>
    <row r="21" ht="22" customHeight="1">
      <c r="A21" s="3" t="inlineStr">
        <is>
          <t>台北分局</t>
        </is>
      </c>
      <c r="B21" s="9" t="n"/>
      <c r="C21" s="8">
        <f>'03_年度彙總'!C438</f>
        <v/>
      </c>
      <c r="D21" s="8">
        <f>'03_年度彙總'!C439</f>
        <v/>
      </c>
      <c r="E21" s="8">
        <f>'03_年度彙總'!C440</f>
        <v/>
      </c>
      <c r="F21" s="8">
        <f>'03_年度彙總'!C441</f>
        <v/>
      </c>
      <c r="G21" s="8">
        <f>'03_年度彙總'!C442</f>
        <v/>
      </c>
      <c r="H21" s="8">
        <f>'03_年度彙總'!C443</f>
        <v/>
      </c>
      <c r="I21" s="8">
        <f>'03_年度彙總'!C444</f>
        <v/>
      </c>
      <c r="J21" s="8">
        <f>'03_年度彙總'!C445</f>
        <v/>
      </c>
      <c r="K21" s="8">
        <f>'03_年度彙總'!C446</f>
        <v/>
      </c>
      <c r="L21" s="8">
        <f>'03_年度彙總'!C447</f>
        <v/>
      </c>
      <c r="M21" s="8">
        <f>'03_年度彙總'!C448</f>
        <v/>
      </c>
      <c r="N21" s="8">
        <f>'03_年度彙總'!C449</f>
        <v/>
      </c>
      <c r="O21" s="8">
        <f>'03_年度彙總'!C450</f>
        <v/>
      </c>
      <c r="P21" s="8">
        <f>'03_年度彙總'!C451</f>
        <v/>
      </c>
      <c r="Q21" s="8">
        <f>'03_年度彙總'!C452</f>
        <v/>
      </c>
      <c r="R21" s="8">
        <f>'03_年度彙總'!C453</f>
        <v/>
      </c>
      <c r="S21" s="8">
        <f>'03_年度彙總'!C454</f>
        <v/>
      </c>
      <c r="T21" s="8">
        <f>'03_年度彙總'!C455</f>
        <v/>
      </c>
      <c r="U21" s="8">
        <f>'03_年度彙總'!C456</f>
        <v/>
      </c>
      <c r="V21" s="8">
        <f>'03_年度彙總'!C457</f>
        <v/>
      </c>
      <c r="W21" s="8">
        <f>'03_年度彙總'!C458</f>
        <v/>
      </c>
      <c r="X21" s="8">
        <f>'03_年度彙總'!C459</f>
        <v/>
      </c>
      <c r="Y21" s="8">
        <f>'03_年度彙總'!C460</f>
        <v/>
      </c>
      <c r="Z21" s="8">
        <f>'03_年度彙總'!C461</f>
        <v/>
      </c>
      <c r="AA21" s="8">
        <f>'03_年度彙總'!C462</f>
        <v/>
      </c>
      <c r="AB21" s="8">
        <f>'03_年度彙總'!C463</f>
        <v/>
      </c>
    </row>
    <row r="22" ht="22" customHeight="1">
      <c r="A22" s="5" t="inlineStr">
        <is>
          <t>新北分局</t>
        </is>
      </c>
      <c r="B22" s="9" t="n"/>
      <c r="C22" s="8">
        <f>'03_年度彙總'!C465</f>
        <v/>
      </c>
      <c r="D22" s="8">
        <f>'03_年度彙總'!C466</f>
        <v/>
      </c>
      <c r="E22" s="8">
        <f>'03_年度彙總'!C467</f>
        <v/>
      </c>
      <c r="F22" s="8">
        <f>'03_年度彙總'!C468</f>
        <v/>
      </c>
      <c r="G22" s="8">
        <f>'03_年度彙總'!C469</f>
        <v/>
      </c>
      <c r="H22" s="8">
        <f>'03_年度彙總'!C470</f>
        <v/>
      </c>
      <c r="I22" s="8">
        <f>'03_年度彙總'!C471</f>
        <v/>
      </c>
      <c r="J22" s="8">
        <f>'03_年度彙總'!C472</f>
        <v/>
      </c>
      <c r="K22" s="8">
        <f>'03_年度彙總'!C473</f>
        <v/>
      </c>
      <c r="L22" s="8">
        <f>'03_年度彙總'!C474</f>
        <v/>
      </c>
      <c r="M22" s="8">
        <f>'03_年度彙總'!C475</f>
        <v/>
      </c>
      <c r="N22" s="8">
        <f>'03_年度彙總'!C476</f>
        <v/>
      </c>
      <c r="O22" s="8">
        <f>'03_年度彙總'!C477</f>
        <v/>
      </c>
      <c r="P22" s="8">
        <f>'03_年度彙總'!C478</f>
        <v/>
      </c>
      <c r="Q22" s="8">
        <f>'03_年度彙總'!C479</f>
        <v/>
      </c>
      <c r="R22" s="8">
        <f>'03_年度彙總'!C480</f>
        <v/>
      </c>
      <c r="S22" s="8">
        <f>'03_年度彙總'!C481</f>
        <v/>
      </c>
      <c r="T22" s="8">
        <f>'03_年度彙總'!C482</f>
        <v/>
      </c>
      <c r="U22" s="8">
        <f>'03_年度彙總'!C483</f>
        <v/>
      </c>
      <c r="V22" s="8">
        <f>'03_年度彙總'!C484</f>
        <v/>
      </c>
      <c r="W22" s="8">
        <f>'03_年度彙總'!C485</f>
        <v/>
      </c>
      <c r="X22" s="8">
        <f>'03_年度彙總'!C486</f>
        <v/>
      </c>
      <c r="Y22" s="8">
        <f>'03_年度彙總'!C487</f>
        <v/>
      </c>
      <c r="Z22" s="8">
        <f>'03_年度彙總'!C488</f>
        <v/>
      </c>
      <c r="AA22" s="8">
        <f>'03_年度彙總'!C489</f>
        <v/>
      </c>
      <c r="AB22" s="8">
        <f>'03_年度彙總'!C490</f>
        <v/>
      </c>
    </row>
    <row r="23" ht="22" customHeight="1">
      <c r="A23" s="3" t="inlineStr">
        <is>
          <t>桃園分局</t>
        </is>
      </c>
      <c r="B23" s="9" t="n"/>
      <c r="C23" s="8">
        <f>'03_年度彙總'!C492</f>
        <v/>
      </c>
      <c r="D23" s="8">
        <f>'03_年度彙總'!C493</f>
        <v/>
      </c>
      <c r="E23" s="8">
        <f>'03_年度彙總'!C494</f>
        <v/>
      </c>
      <c r="F23" s="8">
        <f>'03_年度彙總'!C495</f>
        <v/>
      </c>
      <c r="G23" s="8">
        <f>'03_年度彙總'!C496</f>
        <v/>
      </c>
      <c r="H23" s="8">
        <f>'03_年度彙總'!C497</f>
        <v/>
      </c>
      <c r="I23" s="8">
        <f>'03_年度彙總'!C498</f>
        <v/>
      </c>
      <c r="J23" s="8">
        <f>'03_年度彙總'!C499</f>
        <v/>
      </c>
      <c r="K23" s="8">
        <f>'03_年度彙總'!C500</f>
        <v/>
      </c>
      <c r="L23" s="8">
        <f>'03_年度彙總'!C501</f>
        <v/>
      </c>
      <c r="M23" s="8">
        <f>'03_年度彙總'!C502</f>
        <v/>
      </c>
      <c r="N23" s="8">
        <f>'03_年度彙總'!C503</f>
        <v/>
      </c>
      <c r="O23" s="8">
        <f>'03_年度彙總'!C504</f>
        <v/>
      </c>
      <c r="P23" s="8">
        <f>'03_年度彙總'!C505</f>
        <v/>
      </c>
      <c r="Q23" s="8">
        <f>'03_年度彙總'!C506</f>
        <v/>
      </c>
      <c r="R23" s="8">
        <f>'03_年度彙總'!C507</f>
        <v/>
      </c>
      <c r="S23" s="8">
        <f>'03_年度彙總'!C508</f>
        <v/>
      </c>
      <c r="T23" s="8">
        <f>'03_年度彙總'!C509</f>
        <v/>
      </c>
      <c r="U23" s="8">
        <f>'03_年度彙總'!C510</f>
        <v/>
      </c>
      <c r="V23" s="8">
        <f>'03_年度彙總'!C511</f>
        <v/>
      </c>
      <c r="W23" s="8">
        <f>'03_年度彙總'!C512</f>
        <v/>
      </c>
      <c r="X23" s="8">
        <f>'03_年度彙總'!C513</f>
        <v/>
      </c>
      <c r="Y23" s="8">
        <f>'03_年度彙總'!C514</f>
        <v/>
      </c>
      <c r="Z23" s="8">
        <f>'03_年度彙總'!C515</f>
        <v/>
      </c>
      <c r="AA23" s="8">
        <f>'03_年度彙總'!C516</f>
        <v/>
      </c>
      <c r="AB23" s="8">
        <f>'03_年度彙總'!C517</f>
        <v/>
      </c>
    </row>
    <row r="24" ht="22" customHeight="1">
      <c r="A24" s="5" t="inlineStr">
        <is>
          <t>台中分局</t>
        </is>
      </c>
      <c r="B24" s="9" t="n"/>
      <c r="C24" s="8">
        <f>'03_年度彙總'!C519</f>
        <v/>
      </c>
      <c r="D24" s="8">
        <f>'03_年度彙總'!C520</f>
        <v/>
      </c>
      <c r="E24" s="8">
        <f>'03_年度彙總'!C521</f>
        <v/>
      </c>
      <c r="F24" s="8">
        <f>'03_年度彙總'!C522</f>
        <v/>
      </c>
      <c r="G24" s="8">
        <f>'03_年度彙總'!C523</f>
        <v/>
      </c>
      <c r="H24" s="8">
        <f>'03_年度彙總'!C524</f>
        <v/>
      </c>
      <c r="I24" s="8">
        <f>'03_年度彙總'!C525</f>
        <v/>
      </c>
      <c r="J24" s="8">
        <f>'03_年度彙總'!C526</f>
        <v/>
      </c>
      <c r="K24" s="8">
        <f>'03_年度彙總'!C527</f>
        <v/>
      </c>
      <c r="L24" s="8">
        <f>'03_年度彙總'!C528</f>
        <v/>
      </c>
      <c r="M24" s="8">
        <f>'03_年度彙總'!C529</f>
        <v/>
      </c>
      <c r="N24" s="8">
        <f>'03_年度彙總'!C530</f>
        <v/>
      </c>
      <c r="O24" s="8">
        <f>'03_年度彙總'!C531</f>
        <v/>
      </c>
      <c r="P24" s="8">
        <f>'03_年度彙總'!C532</f>
        <v/>
      </c>
      <c r="Q24" s="8">
        <f>'03_年度彙總'!C533</f>
        <v/>
      </c>
      <c r="R24" s="8">
        <f>'03_年度彙總'!C534</f>
        <v/>
      </c>
      <c r="S24" s="8">
        <f>'03_年度彙總'!C535</f>
        <v/>
      </c>
      <c r="T24" s="8">
        <f>'03_年度彙總'!C536</f>
        <v/>
      </c>
      <c r="U24" s="8">
        <f>'03_年度彙總'!C537</f>
        <v/>
      </c>
      <c r="V24" s="8">
        <f>'03_年度彙總'!C538</f>
        <v/>
      </c>
      <c r="W24" s="8">
        <f>'03_年度彙總'!C539</f>
        <v/>
      </c>
      <c r="X24" s="8">
        <f>'03_年度彙總'!C540</f>
        <v/>
      </c>
      <c r="Y24" s="8">
        <f>'03_年度彙總'!C541</f>
        <v/>
      </c>
      <c r="Z24" s="8">
        <f>'03_年度彙總'!C542</f>
        <v/>
      </c>
      <c r="AA24" s="8">
        <f>'03_年度彙總'!C543</f>
        <v/>
      </c>
      <c r="AB24" s="8">
        <f>'03_年度彙總'!C544</f>
        <v/>
      </c>
    </row>
    <row r="25" ht="22" customHeight="1">
      <c r="A25" s="3" t="inlineStr">
        <is>
          <t>台南分局</t>
        </is>
      </c>
      <c r="B25" s="9" t="n"/>
      <c r="C25" s="8">
        <f>'03_年度彙總'!C546</f>
        <v/>
      </c>
      <c r="D25" s="8">
        <f>'03_年度彙總'!C547</f>
        <v/>
      </c>
      <c r="E25" s="8">
        <f>'03_年度彙總'!C548</f>
        <v/>
      </c>
      <c r="F25" s="8">
        <f>'03_年度彙總'!C549</f>
        <v/>
      </c>
      <c r="G25" s="8">
        <f>'03_年度彙總'!C550</f>
        <v/>
      </c>
      <c r="H25" s="8">
        <f>'03_年度彙總'!C551</f>
        <v/>
      </c>
      <c r="I25" s="8">
        <f>'03_年度彙總'!C552</f>
        <v/>
      </c>
      <c r="J25" s="8">
        <f>'03_年度彙總'!C553</f>
        <v/>
      </c>
      <c r="K25" s="8">
        <f>'03_年度彙總'!C554</f>
        <v/>
      </c>
      <c r="L25" s="8">
        <f>'03_年度彙總'!C555</f>
        <v/>
      </c>
      <c r="M25" s="8">
        <f>'03_年度彙總'!C556</f>
        <v/>
      </c>
      <c r="N25" s="8">
        <f>'03_年度彙總'!C557</f>
        <v/>
      </c>
      <c r="O25" s="8">
        <f>'03_年度彙總'!C558</f>
        <v/>
      </c>
      <c r="P25" s="8">
        <f>'03_年度彙總'!C559</f>
        <v/>
      </c>
      <c r="Q25" s="8">
        <f>'03_年度彙總'!C560</f>
        <v/>
      </c>
      <c r="R25" s="8">
        <f>'03_年度彙總'!C561</f>
        <v/>
      </c>
      <c r="S25" s="8">
        <f>'03_年度彙總'!C562</f>
        <v/>
      </c>
      <c r="T25" s="8">
        <f>'03_年度彙總'!C563</f>
        <v/>
      </c>
      <c r="U25" s="8">
        <f>'03_年度彙總'!C564</f>
        <v/>
      </c>
      <c r="V25" s="8">
        <f>'03_年度彙總'!C565</f>
        <v/>
      </c>
      <c r="W25" s="8">
        <f>'03_年度彙總'!C566</f>
        <v/>
      </c>
      <c r="X25" s="8">
        <f>'03_年度彙總'!C567</f>
        <v/>
      </c>
      <c r="Y25" s="8">
        <f>'03_年度彙總'!C568</f>
        <v/>
      </c>
      <c r="Z25" s="8">
        <f>'03_年度彙總'!C569</f>
        <v/>
      </c>
      <c r="AA25" s="8">
        <f>'03_年度彙總'!C570</f>
        <v/>
      </c>
      <c r="AB25" s="8">
        <f>'03_年度彙總'!C571</f>
        <v/>
      </c>
    </row>
    <row r="26" ht="22" customHeight="1">
      <c r="A26" s="5" t="inlineStr">
        <is>
          <t>高雄分局</t>
        </is>
      </c>
      <c r="B26" s="9" t="n"/>
      <c r="C26" s="8">
        <f>'03_年度彙總'!C573</f>
        <v/>
      </c>
      <c r="D26" s="8">
        <f>'03_年度彙總'!C574</f>
        <v/>
      </c>
      <c r="E26" s="8">
        <f>'03_年度彙總'!C575</f>
        <v/>
      </c>
      <c r="F26" s="8">
        <f>'03_年度彙總'!C576</f>
        <v/>
      </c>
      <c r="G26" s="8">
        <f>'03_年度彙總'!C577</f>
        <v/>
      </c>
      <c r="H26" s="8">
        <f>'03_年度彙總'!C578</f>
        <v/>
      </c>
      <c r="I26" s="8">
        <f>'03_年度彙總'!C579</f>
        <v/>
      </c>
      <c r="J26" s="8">
        <f>'03_年度彙總'!C580</f>
        <v/>
      </c>
      <c r="K26" s="8">
        <f>'03_年度彙總'!C581</f>
        <v/>
      </c>
      <c r="L26" s="8">
        <f>'03_年度彙總'!C582</f>
        <v/>
      </c>
      <c r="M26" s="8">
        <f>'03_年度彙總'!C583</f>
        <v/>
      </c>
      <c r="N26" s="8">
        <f>'03_年度彙總'!C584</f>
        <v/>
      </c>
      <c r="O26" s="8">
        <f>'03_年度彙總'!C585</f>
        <v/>
      </c>
      <c r="P26" s="8">
        <f>'03_年度彙總'!C586</f>
        <v/>
      </c>
      <c r="Q26" s="8">
        <f>'03_年度彙總'!C587</f>
        <v/>
      </c>
      <c r="R26" s="8">
        <f>'03_年度彙總'!C588</f>
        <v/>
      </c>
      <c r="S26" s="8">
        <f>'03_年度彙總'!C589</f>
        <v/>
      </c>
      <c r="T26" s="8">
        <f>'03_年度彙總'!C590</f>
        <v/>
      </c>
      <c r="U26" s="8">
        <f>'03_年度彙總'!C591</f>
        <v/>
      </c>
      <c r="V26" s="8">
        <f>'03_年度彙總'!C592</f>
        <v/>
      </c>
      <c r="W26" s="8">
        <f>'03_年度彙總'!C593</f>
        <v/>
      </c>
      <c r="X26" s="8">
        <f>'03_年度彙總'!C594</f>
        <v/>
      </c>
      <c r="Y26" s="8">
        <f>'03_年度彙總'!C595</f>
        <v/>
      </c>
      <c r="Z26" s="8">
        <f>'03_年度彙總'!C596</f>
        <v/>
      </c>
      <c r="AA26" s="8">
        <f>'03_年度彙總'!C597</f>
        <v/>
      </c>
      <c r="AB26" s="8">
        <f>'03_年度彙總'!C598</f>
        <v/>
      </c>
    </row>
    <row r="27" ht="22" customHeight="1">
      <c r="A27" s="3" t="inlineStr">
        <is>
          <t>基隆分局</t>
        </is>
      </c>
      <c r="B27" s="9" t="n"/>
      <c r="C27" s="8">
        <f>'03_年度彙總'!C600</f>
        <v/>
      </c>
      <c r="D27" s="8">
        <f>'03_年度彙總'!C601</f>
        <v/>
      </c>
      <c r="E27" s="8">
        <f>'03_年度彙總'!C602</f>
        <v/>
      </c>
      <c r="F27" s="8">
        <f>'03_年度彙總'!C603</f>
        <v/>
      </c>
      <c r="G27" s="8">
        <f>'03_年度彙總'!C604</f>
        <v/>
      </c>
      <c r="H27" s="8">
        <f>'03_年度彙總'!C605</f>
        <v/>
      </c>
      <c r="I27" s="8">
        <f>'03_年度彙總'!C606</f>
        <v/>
      </c>
      <c r="J27" s="8">
        <f>'03_年度彙總'!C607</f>
        <v/>
      </c>
      <c r="K27" s="8">
        <f>'03_年度彙總'!C608</f>
        <v/>
      </c>
      <c r="L27" s="8">
        <f>'03_年度彙總'!C609</f>
        <v/>
      </c>
      <c r="M27" s="8">
        <f>'03_年度彙總'!C610</f>
        <v/>
      </c>
      <c r="N27" s="8">
        <f>'03_年度彙總'!C611</f>
        <v/>
      </c>
      <c r="O27" s="8">
        <f>'03_年度彙總'!C612</f>
        <v/>
      </c>
      <c r="P27" s="8">
        <f>'03_年度彙總'!C613</f>
        <v/>
      </c>
      <c r="Q27" s="8">
        <f>'03_年度彙總'!C614</f>
        <v/>
      </c>
      <c r="R27" s="8">
        <f>'03_年度彙總'!C615</f>
        <v/>
      </c>
      <c r="S27" s="8">
        <f>'03_年度彙總'!C616</f>
        <v/>
      </c>
      <c r="T27" s="8">
        <f>'03_年度彙總'!C617</f>
        <v/>
      </c>
      <c r="U27" s="8">
        <f>'03_年度彙總'!C618</f>
        <v/>
      </c>
      <c r="V27" s="8">
        <f>'03_年度彙總'!C619</f>
        <v/>
      </c>
      <c r="W27" s="8">
        <f>'03_年度彙總'!C620</f>
        <v/>
      </c>
      <c r="X27" s="8">
        <f>'03_年度彙總'!C621</f>
        <v/>
      </c>
      <c r="Y27" s="8">
        <f>'03_年度彙總'!C622</f>
        <v/>
      </c>
      <c r="Z27" s="8">
        <f>'03_年度彙總'!C623</f>
        <v/>
      </c>
      <c r="AA27" s="8">
        <f>'03_年度彙總'!C624</f>
        <v/>
      </c>
      <c r="AB27" s="8">
        <f>'03_年度彙總'!C625</f>
        <v/>
      </c>
    </row>
    <row r="28" ht="22" customHeight="1">
      <c r="A28" s="5" t="inlineStr">
        <is>
          <t>花蓮分局</t>
        </is>
      </c>
      <c r="B28" s="9" t="n"/>
      <c r="C28" s="8">
        <f>'03_年度彙總'!C627</f>
        <v/>
      </c>
      <c r="D28" s="8">
        <f>'03_年度彙總'!C628</f>
        <v/>
      </c>
      <c r="E28" s="8">
        <f>'03_年度彙總'!C629</f>
        <v/>
      </c>
      <c r="F28" s="8">
        <f>'03_年度彙總'!C630</f>
        <v/>
      </c>
      <c r="G28" s="8">
        <f>'03_年度彙總'!C631</f>
        <v/>
      </c>
      <c r="H28" s="8">
        <f>'03_年度彙總'!C632</f>
        <v/>
      </c>
      <c r="I28" s="8">
        <f>'03_年度彙總'!C633</f>
        <v/>
      </c>
      <c r="J28" s="8">
        <f>'03_年度彙總'!C634</f>
        <v/>
      </c>
      <c r="K28" s="8">
        <f>'03_年度彙總'!C635</f>
        <v/>
      </c>
      <c r="L28" s="8">
        <f>'03_年度彙總'!C636</f>
        <v/>
      </c>
      <c r="M28" s="8">
        <f>'03_年度彙總'!C637</f>
        <v/>
      </c>
      <c r="N28" s="8">
        <f>'03_年度彙總'!C638</f>
        <v/>
      </c>
      <c r="O28" s="8">
        <f>'03_年度彙總'!C639</f>
        <v/>
      </c>
      <c r="P28" s="8">
        <f>'03_年度彙總'!C640</f>
        <v/>
      </c>
      <c r="Q28" s="8">
        <f>'03_年度彙總'!C641</f>
        <v/>
      </c>
      <c r="R28" s="8">
        <f>'03_年度彙總'!C642</f>
        <v/>
      </c>
      <c r="S28" s="8">
        <f>'03_年度彙總'!C643</f>
        <v/>
      </c>
      <c r="T28" s="8">
        <f>'03_年度彙總'!C644</f>
        <v/>
      </c>
      <c r="U28" s="8">
        <f>'03_年度彙總'!C645</f>
        <v/>
      </c>
      <c r="V28" s="8">
        <f>'03_年度彙總'!C646</f>
        <v/>
      </c>
      <c r="W28" s="8">
        <f>'03_年度彙總'!C647</f>
        <v/>
      </c>
      <c r="X28" s="8">
        <f>'03_年度彙總'!C648</f>
        <v/>
      </c>
      <c r="Y28" s="8">
        <f>'03_年度彙總'!C649</f>
        <v/>
      </c>
      <c r="Z28" s="8">
        <f>'03_年度彙總'!C650</f>
        <v/>
      </c>
      <c r="AA28" s="8">
        <f>'03_年度彙總'!C651</f>
        <v/>
      </c>
      <c r="AB28" s="8">
        <f>'03_年度彙總'!C652</f>
        <v/>
      </c>
    </row>
    <row r="29" ht="22" customHeight="1">
      <c r="A29" s="3" t="inlineStr">
        <is>
          <t>綜合規劃科</t>
        </is>
      </c>
      <c r="B29" s="9" t="n"/>
      <c r="C29" s="8">
        <f>'03_年度彙總'!C654</f>
        <v/>
      </c>
      <c r="D29" s="8">
        <f>'03_年度彙總'!C655</f>
        <v/>
      </c>
      <c r="E29" s="8">
        <f>'03_年度彙總'!C656</f>
        <v/>
      </c>
      <c r="F29" s="8">
        <f>'03_年度彙總'!C657</f>
        <v/>
      </c>
      <c r="G29" s="8">
        <f>'03_年度彙總'!C658</f>
        <v/>
      </c>
      <c r="H29" s="8">
        <f>'03_年度彙總'!C659</f>
        <v/>
      </c>
      <c r="I29" s="8">
        <f>'03_年度彙總'!C660</f>
        <v/>
      </c>
      <c r="J29" s="8">
        <f>'03_年度彙總'!C661</f>
        <v/>
      </c>
      <c r="K29" s="8">
        <f>'03_年度彙總'!C662</f>
        <v/>
      </c>
      <c r="L29" s="8">
        <f>'03_年度彙總'!C663</f>
        <v/>
      </c>
      <c r="M29" s="8">
        <f>'03_年度彙總'!C664</f>
        <v/>
      </c>
      <c r="N29" s="8">
        <f>'03_年度彙總'!C665</f>
        <v/>
      </c>
      <c r="O29" s="8">
        <f>'03_年度彙總'!C666</f>
        <v/>
      </c>
      <c r="P29" s="8">
        <f>'03_年度彙總'!C667</f>
        <v/>
      </c>
      <c r="Q29" s="8">
        <f>'03_年度彙總'!C668</f>
        <v/>
      </c>
      <c r="R29" s="8">
        <f>'03_年度彙總'!C669</f>
        <v/>
      </c>
      <c r="S29" s="8">
        <f>'03_年度彙總'!C670</f>
        <v/>
      </c>
      <c r="T29" s="8">
        <f>'03_年度彙總'!C671</f>
        <v/>
      </c>
      <c r="U29" s="8">
        <f>'03_年度彙總'!C672</f>
        <v/>
      </c>
      <c r="V29" s="8">
        <f>'03_年度彙總'!C673</f>
        <v/>
      </c>
      <c r="W29" s="8">
        <f>'03_年度彙總'!C674</f>
        <v/>
      </c>
      <c r="X29" s="8">
        <f>'03_年度彙總'!C675</f>
        <v/>
      </c>
      <c r="Y29" s="8">
        <f>'03_年度彙總'!C676</f>
        <v/>
      </c>
      <c r="Z29" s="8">
        <f>'03_年度彙總'!C677</f>
        <v/>
      </c>
      <c r="AA29" s="8">
        <f>'03_年度彙總'!C678</f>
        <v/>
      </c>
      <c r="AB29" s="8">
        <f>'03_年度彙總'!C679</f>
        <v/>
      </c>
    </row>
    <row r="30" ht="22" customHeight="1">
      <c r="A30" s="5" t="inlineStr">
        <is>
          <t>歲計科</t>
        </is>
      </c>
      <c r="B30" s="9" t="n"/>
      <c r="C30" s="8">
        <f>'03_年度彙總'!C681</f>
        <v/>
      </c>
      <c r="D30" s="8">
        <f>'03_年度彙總'!C682</f>
        <v/>
      </c>
      <c r="E30" s="8">
        <f>'03_年度彙總'!C683</f>
        <v/>
      </c>
      <c r="F30" s="8">
        <f>'03_年度彙總'!C684</f>
        <v/>
      </c>
      <c r="G30" s="8">
        <f>'03_年度彙總'!C685</f>
        <v/>
      </c>
      <c r="H30" s="8">
        <f>'03_年度彙總'!C686</f>
        <v/>
      </c>
      <c r="I30" s="8">
        <f>'03_年度彙總'!C687</f>
        <v/>
      </c>
      <c r="J30" s="8">
        <f>'03_年度彙總'!C688</f>
        <v/>
      </c>
      <c r="K30" s="8">
        <f>'03_年度彙總'!C689</f>
        <v/>
      </c>
      <c r="L30" s="8">
        <f>'03_年度彙總'!C690</f>
        <v/>
      </c>
      <c r="M30" s="8">
        <f>'03_年度彙總'!C691</f>
        <v/>
      </c>
      <c r="N30" s="8">
        <f>'03_年度彙總'!C692</f>
        <v/>
      </c>
      <c r="O30" s="8">
        <f>'03_年度彙總'!C693</f>
        <v/>
      </c>
      <c r="P30" s="8">
        <f>'03_年度彙總'!C694</f>
        <v/>
      </c>
      <c r="Q30" s="8">
        <f>'03_年度彙總'!C695</f>
        <v/>
      </c>
      <c r="R30" s="8">
        <f>'03_年度彙總'!C696</f>
        <v/>
      </c>
      <c r="S30" s="8">
        <f>'03_年度彙總'!C697</f>
        <v/>
      </c>
      <c r="T30" s="8">
        <f>'03_年度彙總'!C698</f>
        <v/>
      </c>
      <c r="U30" s="8">
        <f>'03_年度彙總'!C699</f>
        <v/>
      </c>
      <c r="V30" s="8">
        <f>'03_年度彙總'!C700</f>
        <v/>
      </c>
      <c r="W30" s="8">
        <f>'03_年度彙總'!C701</f>
        <v/>
      </c>
      <c r="X30" s="8">
        <f>'03_年度彙總'!C702</f>
        <v/>
      </c>
      <c r="Y30" s="8">
        <f>'03_年度彙總'!C703</f>
        <v/>
      </c>
      <c r="Z30" s="8">
        <f>'03_年度彙總'!C704</f>
        <v/>
      </c>
      <c r="AA30" s="8">
        <f>'03_年度彙總'!C705</f>
        <v/>
      </c>
      <c r="AB30" s="8">
        <f>'03_年度彙總'!C706</f>
        <v/>
      </c>
    </row>
    <row r="31" ht="22" customHeight="1">
      <c r="A31" s="3" t="inlineStr">
        <is>
          <t>統計科</t>
        </is>
      </c>
      <c r="B31" s="9" t="n"/>
      <c r="C31" s="8">
        <f>'03_年度彙總'!C708</f>
        <v/>
      </c>
      <c r="D31" s="8">
        <f>'03_年度彙總'!C709</f>
        <v/>
      </c>
      <c r="E31" s="8">
        <f>'03_年度彙總'!C710</f>
        <v/>
      </c>
      <c r="F31" s="8">
        <f>'03_年度彙總'!C711</f>
        <v/>
      </c>
      <c r="G31" s="8">
        <f>'03_年度彙總'!C712</f>
        <v/>
      </c>
      <c r="H31" s="8">
        <f>'03_年度彙總'!C713</f>
        <v/>
      </c>
      <c r="I31" s="8">
        <f>'03_年度彙總'!C714</f>
        <v/>
      </c>
      <c r="J31" s="8">
        <f>'03_年度彙總'!C715</f>
        <v/>
      </c>
      <c r="K31" s="8">
        <f>'03_年度彙總'!C716</f>
        <v/>
      </c>
      <c r="L31" s="8">
        <f>'03_年度彙總'!C717</f>
        <v/>
      </c>
      <c r="M31" s="8">
        <f>'03_年度彙總'!C718</f>
        <v/>
      </c>
      <c r="N31" s="8">
        <f>'03_年度彙總'!C719</f>
        <v/>
      </c>
      <c r="O31" s="8">
        <f>'03_年度彙總'!C720</f>
        <v/>
      </c>
      <c r="P31" s="8">
        <f>'03_年度彙總'!C721</f>
        <v/>
      </c>
      <c r="Q31" s="8">
        <f>'03_年度彙總'!C722</f>
        <v/>
      </c>
      <c r="R31" s="8">
        <f>'03_年度彙總'!C723</f>
        <v/>
      </c>
      <c r="S31" s="8">
        <f>'03_年度彙總'!C724</f>
        <v/>
      </c>
      <c r="T31" s="8">
        <f>'03_年度彙總'!C725</f>
        <v/>
      </c>
      <c r="U31" s="8">
        <f>'03_年度彙總'!C726</f>
        <v/>
      </c>
      <c r="V31" s="8">
        <f>'03_年度彙總'!C727</f>
        <v/>
      </c>
      <c r="W31" s="8">
        <f>'03_年度彙總'!C728</f>
        <v/>
      </c>
      <c r="X31" s="8">
        <f>'03_年度彙總'!C729</f>
        <v/>
      </c>
      <c r="Y31" s="8">
        <f>'03_年度彙總'!C730</f>
        <v/>
      </c>
      <c r="Z31" s="8">
        <f>'03_年度彙總'!C731</f>
        <v/>
      </c>
      <c r="AA31" s="8">
        <f>'03_年度彙總'!C732</f>
        <v/>
      </c>
      <c r="AB31" s="8">
        <f>'03_年度彙總'!C733</f>
        <v/>
      </c>
    </row>
    <row r="32" ht="22" customHeight="1">
      <c r="A32" s="5" t="inlineStr">
        <is>
          <t>文書科</t>
        </is>
      </c>
      <c r="B32" s="9" t="n"/>
      <c r="C32" s="8">
        <f>'03_年度彙總'!C735</f>
        <v/>
      </c>
      <c r="D32" s="8">
        <f>'03_年度彙總'!C736</f>
        <v/>
      </c>
      <c r="E32" s="8">
        <f>'03_年度彙總'!C737</f>
        <v/>
      </c>
      <c r="F32" s="8">
        <f>'03_年度彙總'!C738</f>
        <v/>
      </c>
      <c r="G32" s="8">
        <f>'03_年度彙總'!C739</f>
        <v/>
      </c>
      <c r="H32" s="8">
        <f>'03_年度彙總'!C740</f>
        <v/>
      </c>
      <c r="I32" s="8">
        <f>'03_年度彙總'!C741</f>
        <v/>
      </c>
      <c r="J32" s="8">
        <f>'03_年度彙總'!C742</f>
        <v/>
      </c>
      <c r="K32" s="8">
        <f>'03_年度彙總'!C743</f>
        <v/>
      </c>
      <c r="L32" s="8">
        <f>'03_年度彙總'!C744</f>
        <v/>
      </c>
      <c r="M32" s="8">
        <f>'03_年度彙總'!C745</f>
        <v/>
      </c>
      <c r="N32" s="8">
        <f>'03_年度彙總'!C746</f>
        <v/>
      </c>
      <c r="O32" s="8">
        <f>'03_年度彙總'!C747</f>
        <v/>
      </c>
      <c r="P32" s="8">
        <f>'03_年度彙總'!C748</f>
        <v/>
      </c>
      <c r="Q32" s="8">
        <f>'03_年度彙總'!C749</f>
        <v/>
      </c>
      <c r="R32" s="8">
        <f>'03_年度彙總'!C750</f>
        <v/>
      </c>
      <c r="S32" s="8">
        <f>'03_年度彙總'!C751</f>
        <v/>
      </c>
      <c r="T32" s="8">
        <f>'03_年度彙總'!C752</f>
        <v/>
      </c>
      <c r="U32" s="8">
        <f>'03_年度彙總'!C753</f>
        <v/>
      </c>
      <c r="V32" s="8">
        <f>'03_年度彙總'!C754</f>
        <v/>
      </c>
      <c r="W32" s="8">
        <f>'03_年度彙總'!C755</f>
        <v/>
      </c>
      <c r="X32" s="8">
        <f>'03_年度彙總'!C756</f>
        <v/>
      </c>
      <c r="Y32" s="8">
        <f>'03_年度彙總'!C757</f>
        <v/>
      </c>
      <c r="Z32" s="8">
        <f>'03_年度彙總'!C758</f>
        <v/>
      </c>
      <c r="AA32" s="8">
        <f>'03_年度彙總'!C759</f>
        <v/>
      </c>
      <c r="AB32" s="8">
        <f>'03_年度彙總'!C760</f>
        <v/>
      </c>
    </row>
    <row r="33" ht="22" customHeight="1">
      <c r="A33" s="3" t="inlineStr">
        <is>
          <t>出納科</t>
        </is>
      </c>
      <c r="B33" s="9" t="n"/>
      <c r="C33" s="8">
        <f>'03_年度彙總'!C762</f>
        <v/>
      </c>
      <c r="D33" s="8">
        <f>'03_年度彙總'!C763</f>
        <v/>
      </c>
      <c r="E33" s="8">
        <f>'03_年度彙總'!C764</f>
        <v/>
      </c>
      <c r="F33" s="8">
        <f>'03_年度彙總'!C765</f>
        <v/>
      </c>
      <c r="G33" s="8">
        <f>'03_年度彙總'!C766</f>
        <v/>
      </c>
      <c r="H33" s="8">
        <f>'03_年度彙總'!C767</f>
        <v/>
      </c>
      <c r="I33" s="8">
        <f>'03_年度彙總'!C768</f>
        <v/>
      </c>
      <c r="J33" s="8">
        <f>'03_年度彙總'!C769</f>
        <v/>
      </c>
      <c r="K33" s="8">
        <f>'03_年度彙總'!C770</f>
        <v/>
      </c>
      <c r="L33" s="8">
        <f>'03_年度彙總'!C771</f>
        <v/>
      </c>
      <c r="M33" s="8">
        <f>'03_年度彙總'!C772</f>
        <v/>
      </c>
      <c r="N33" s="8">
        <f>'03_年度彙總'!C773</f>
        <v/>
      </c>
      <c r="O33" s="8">
        <f>'03_年度彙總'!C774</f>
        <v/>
      </c>
      <c r="P33" s="8">
        <f>'03_年度彙總'!C775</f>
        <v/>
      </c>
      <c r="Q33" s="8">
        <f>'03_年度彙總'!C776</f>
        <v/>
      </c>
      <c r="R33" s="8">
        <f>'03_年度彙總'!C777</f>
        <v/>
      </c>
      <c r="S33" s="8">
        <f>'03_年度彙總'!C778</f>
        <v/>
      </c>
      <c r="T33" s="8">
        <f>'03_年度彙總'!C779</f>
        <v/>
      </c>
      <c r="U33" s="8">
        <f>'03_年度彙總'!C780</f>
        <v/>
      </c>
      <c r="V33" s="8">
        <f>'03_年度彙總'!C781</f>
        <v/>
      </c>
      <c r="W33" s="8">
        <f>'03_年度彙總'!C782</f>
        <v/>
      </c>
      <c r="X33" s="8">
        <f>'03_年度彙總'!C783</f>
        <v/>
      </c>
      <c r="Y33" s="8">
        <f>'03_年度彙總'!C784</f>
        <v/>
      </c>
      <c r="Z33" s="8">
        <f>'03_年度彙總'!C785</f>
        <v/>
      </c>
      <c r="AA33" s="8">
        <f>'03_年度彙總'!C786</f>
        <v/>
      </c>
      <c r="AB33" s="8">
        <f>'03_年度彙總'!C787</f>
        <v/>
      </c>
    </row>
    <row r="34" ht="22" customHeight="1">
      <c r="A34" s="5" t="inlineStr">
        <is>
          <t>採購科</t>
        </is>
      </c>
      <c r="B34" s="9" t="n"/>
      <c r="C34" s="8">
        <f>'03_年度彙總'!C789</f>
        <v/>
      </c>
      <c r="D34" s="8">
        <f>'03_年度彙總'!C790</f>
        <v/>
      </c>
      <c r="E34" s="8">
        <f>'03_年度彙總'!C791</f>
        <v/>
      </c>
      <c r="F34" s="8">
        <f>'03_年度彙總'!C792</f>
        <v/>
      </c>
      <c r="G34" s="8">
        <f>'03_年度彙總'!C793</f>
        <v/>
      </c>
      <c r="H34" s="8">
        <f>'03_年度彙總'!C794</f>
        <v/>
      </c>
      <c r="I34" s="8">
        <f>'03_年度彙總'!C795</f>
        <v/>
      </c>
      <c r="J34" s="8">
        <f>'03_年度彙總'!C796</f>
        <v/>
      </c>
      <c r="K34" s="8">
        <f>'03_年度彙總'!C797</f>
        <v/>
      </c>
      <c r="L34" s="8">
        <f>'03_年度彙總'!C798</f>
        <v/>
      </c>
      <c r="M34" s="8">
        <f>'03_年度彙總'!C799</f>
        <v/>
      </c>
      <c r="N34" s="8">
        <f>'03_年度彙總'!C800</f>
        <v/>
      </c>
      <c r="O34" s="8">
        <f>'03_年度彙總'!C801</f>
        <v/>
      </c>
      <c r="P34" s="8">
        <f>'03_年度彙總'!C802</f>
        <v/>
      </c>
      <c r="Q34" s="8">
        <f>'03_年度彙總'!C803</f>
        <v/>
      </c>
      <c r="R34" s="8">
        <f>'03_年度彙總'!C804</f>
        <v/>
      </c>
      <c r="S34" s="8">
        <f>'03_年度彙總'!C805</f>
        <v/>
      </c>
      <c r="T34" s="8">
        <f>'03_年度彙總'!C806</f>
        <v/>
      </c>
      <c r="U34" s="8">
        <f>'03_年度彙總'!C807</f>
        <v/>
      </c>
      <c r="V34" s="8">
        <f>'03_年度彙總'!C808</f>
        <v/>
      </c>
      <c r="W34" s="8">
        <f>'03_年度彙總'!C809</f>
        <v/>
      </c>
      <c r="X34" s="8">
        <f>'03_年度彙總'!C810</f>
        <v/>
      </c>
      <c r="Y34" s="8">
        <f>'03_年度彙總'!C811</f>
        <v/>
      </c>
      <c r="Z34" s="8">
        <f>'03_年度彙總'!C812</f>
        <v/>
      </c>
      <c r="AA34" s="8">
        <f>'03_年度彙總'!C813</f>
        <v/>
      </c>
      <c r="AB34" s="8">
        <f>'03_年度彙總'!C814</f>
        <v/>
      </c>
    </row>
    <row r="35" ht="22" customHeight="1">
      <c r="A35" s="3" t="inlineStr">
        <is>
          <t>稽查科</t>
        </is>
      </c>
      <c r="B35" s="9" t="n"/>
      <c r="C35" s="8">
        <f>'03_年度彙總'!C816</f>
        <v/>
      </c>
      <c r="D35" s="8">
        <f>'03_年度彙總'!C817</f>
        <v/>
      </c>
      <c r="E35" s="8">
        <f>'03_年度彙總'!C818</f>
        <v/>
      </c>
      <c r="F35" s="8">
        <f>'03_年度彙總'!C819</f>
        <v/>
      </c>
      <c r="G35" s="8">
        <f>'03_年度彙總'!C820</f>
        <v/>
      </c>
      <c r="H35" s="8">
        <f>'03_年度彙總'!C821</f>
        <v/>
      </c>
      <c r="I35" s="8">
        <f>'03_年度彙總'!C822</f>
        <v/>
      </c>
      <c r="J35" s="8">
        <f>'03_年度彙總'!C823</f>
        <v/>
      </c>
      <c r="K35" s="8">
        <f>'03_年度彙總'!C824</f>
        <v/>
      </c>
      <c r="L35" s="8">
        <f>'03_年度彙總'!C825</f>
        <v/>
      </c>
      <c r="M35" s="8">
        <f>'03_年度彙總'!C826</f>
        <v/>
      </c>
      <c r="N35" s="8">
        <f>'03_年度彙總'!C827</f>
        <v/>
      </c>
      <c r="O35" s="8">
        <f>'03_年度彙總'!C828</f>
        <v/>
      </c>
      <c r="P35" s="8">
        <f>'03_年度彙總'!C829</f>
        <v/>
      </c>
      <c r="Q35" s="8">
        <f>'03_年度彙總'!C830</f>
        <v/>
      </c>
      <c r="R35" s="8">
        <f>'03_年度彙總'!C831</f>
        <v/>
      </c>
      <c r="S35" s="8">
        <f>'03_年度彙總'!C832</f>
        <v/>
      </c>
      <c r="T35" s="8">
        <f>'03_年度彙總'!C833</f>
        <v/>
      </c>
      <c r="U35" s="8">
        <f>'03_年度彙總'!C834</f>
        <v/>
      </c>
      <c r="V35" s="8">
        <f>'03_年度彙總'!C835</f>
        <v/>
      </c>
      <c r="W35" s="8">
        <f>'03_年度彙總'!C836</f>
        <v/>
      </c>
      <c r="X35" s="8">
        <f>'03_年度彙總'!C837</f>
        <v/>
      </c>
      <c r="Y35" s="8">
        <f>'03_年度彙總'!C838</f>
        <v/>
      </c>
      <c r="Z35" s="8">
        <f>'03_年度彙總'!C839</f>
        <v/>
      </c>
      <c r="AA35" s="8">
        <f>'03_年度彙總'!C840</f>
        <v/>
      </c>
      <c r="AB35" s="8">
        <f>'03_年度彙總'!C841</f>
        <v/>
      </c>
    </row>
    <row r="36" ht="22" customHeight="1">
      <c r="A36" s="5" t="inlineStr">
        <is>
          <t>核稿科</t>
        </is>
      </c>
      <c r="B36" s="9" t="n"/>
      <c r="C36" s="8">
        <f>'03_年度彙總'!C843</f>
        <v/>
      </c>
      <c r="D36" s="8">
        <f>'03_年度彙總'!C844</f>
        <v/>
      </c>
      <c r="E36" s="8">
        <f>'03_年度彙總'!C845</f>
        <v/>
      </c>
      <c r="F36" s="8">
        <f>'03_年度彙總'!C846</f>
        <v/>
      </c>
      <c r="G36" s="8">
        <f>'03_年度彙總'!C847</f>
        <v/>
      </c>
      <c r="H36" s="8">
        <f>'03_年度彙總'!C848</f>
        <v/>
      </c>
      <c r="I36" s="8">
        <f>'03_年度彙總'!C849</f>
        <v/>
      </c>
      <c r="J36" s="8">
        <f>'03_年度彙總'!C850</f>
        <v/>
      </c>
      <c r="K36" s="8">
        <f>'03_年度彙總'!C851</f>
        <v/>
      </c>
      <c r="L36" s="8">
        <f>'03_年度彙總'!C852</f>
        <v/>
      </c>
      <c r="M36" s="8">
        <f>'03_年度彙總'!C853</f>
        <v/>
      </c>
      <c r="N36" s="8">
        <f>'03_年度彙總'!C854</f>
        <v/>
      </c>
      <c r="O36" s="8">
        <f>'03_年度彙總'!C855</f>
        <v/>
      </c>
      <c r="P36" s="8">
        <f>'03_年度彙總'!C856</f>
        <v/>
      </c>
      <c r="Q36" s="8">
        <f>'03_年度彙總'!C857</f>
        <v/>
      </c>
      <c r="R36" s="8">
        <f>'03_年度彙總'!C858</f>
        <v/>
      </c>
      <c r="S36" s="8">
        <f>'03_年度彙總'!C859</f>
        <v/>
      </c>
      <c r="T36" s="8">
        <f>'03_年度彙總'!C860</f>
        <v/>
      </c>
      <c r="U36" s="8">
        <f>'03_年度彙總'!C861</f>
        <v/>
      </c>
      <c r="V36" s="8">
        <f>'03_年度彙總'!C862</f>
        <v/>
      </c>
      <c r="W36" s="8">
        <f>'03_年度彙總'!C863</f>
        <v/>
      </c>
      <c r="X36" s="8">
        <f>'03_年度彙總'!C864</f>
        <v/>
      </c>
      <c r="Y36" s="8">
        <f>'03_年度彙總'!C865</f>
        <v/>
      </c>
      <c r="Z36" s="8">
        <f>'03_年度彙總'!C866</f>
        <v/>
      </c>
      <c r="AA36" s="8">
        <f>'03_年度彙總'!C867</f>
        <v/>
      </c>
      <c r="AB36" s="8">
        <f>'03_年度彙總'!C868</f>
        <v/>
      </c>
    </row>
    <row r="37" ht="22" customHeight="1">
      <c r="A37" s="3" t="inlineStr">
        <is>
          <t>訓練中心</t>
        </is>
      </c>
      <c r="B37" s="9" t="n"/>
      <c r="C37" s="8">
        <f>'03_年度彙總'!C870</f>
        <v/>
      </c>
      <c r="D37" s="8">
        <f>'03_年度彙總'!C871</f>
        <v/>
      </c>
      <c r="E37" s="8">
        <f>'03_年度彙總'!C872</f>
        <v/>
      </c>
      <c r="F37" s="8">
        <f>'03_年度彙總'!C873</f>
        <v/>
      </c>
      <c r="G37" s="8">
        <f>'03_年度彙總'!C874</f>
        <v/>
      </c>
      <c r="H37" s="8">
        <f>'03_年度彙總'!C875</f>
        <v/>
      </c>
      <c r="I37" s="8">
        <f>'03_年度彙總'!C876</f>
        <v/>
      </c>
      <c r="J37" s="8">
        <f>'03_年度彙總'!C877</f>
        <v/>
      </c>
      <c r="K37" s="8">
        <f>'03_年度彙總'!C878</f>
        <v/>
      </c>
      <c r="L37" s="8">
        <f>'03_年度彙總'!C879</f>
        <v/>
      </c>
      <c r="M37" s="8">
        <f>'03_年度彙總'!C880</f>
        <v/>
      </c>
      <c r="N37" s="8">
        <f>'03_年度彙總'!C881</f>
        <v/>
      </c>
      <c r="O37" s="8">
        <f>'03_年度彙總'!C882</f>
        <v/>
      </c>
      <c r="P37" s="8">
        <f>'03_年度彙總'!C883</f>
        <v/>
      </c>
      <c r="Q37" s="8">
        <f>'03_年度彙總'!C884</f>
        <v/>
      </c>
      <c r="R37" s="8">
        <f>'03_年度彙總'!C885</f>
        <v/>
      </c>
      <c r="S37" s="8">
        <f>'03_年度彙總'!C886</f>
        <v/>
      </c>
      <c r="T37" s="8">
        <f>'03_年度彙總'!C887</f>
        <v/>
      </c>
      <c r="U37" s="8">
        <f>'03_年度彙總'!C888</f>
        <v/>
      </c>
      <c r="V37" s="8">
        <f>'03_年度彙總'!C889</f>
        <v/>
      </c>
      <c r="W37" s="8">
        <f>'03_年度彙總'!C890</f>
        <v/>
      </c>
      <c r="X37" s="8">
        <f>'03_年度彙總'!C891</f>
        <v/>
      </c>
      <c r="Y37" s="8">
        <f>'03_年度彙總'!C892</f>
        <v/>
      </c>
      <c r="Z37" s="8">
        <f>'03_年度彙總'!C893</f>
        <v/>
      </c>
      <c r="AA37" s="8">
        <f>'03_年度彙總'!C894</f>
        <v/>
      </c>
      <c r="AB37" s="8">
        <f>'03_年度彙總'!C895</f>
        <v/>
      </c>
    </row>
    <row r="38" ht="22" customHeight="1">
      <c r="A38" s="5" t="inlineStr">
        <is>
          <t>研發中心</t>
        </is>
      </c>
      <c r="B38" s="9" t="n"/>
      <c r="C38" s="8">
        <f>'03_年度彙總'!C897</f>
        <v/>
      </c>
      <c r="D38" s="8">
        <f>'03_年度彙總'!C898</f>
        <v/>
      </c>
      <c r="E38" s="8">
        <f>'03_年度彙總'!C899</f>
        <v/>
      </c>
      <c r="F38" s="8">
        <f>'03_年度彙總'!C900</f>
        <v/>
      </c>
      <c r="G38" s="8">
        <f>'03_年度彙總'!C901</f>
        <v/>
      </c>
      <c r="H38" s="8">
        <f>'03_年度彙總'!C902</f>
        <v/>
      </c>
      <c r="I38" s="8">
        <f>'03_年度彙總'!C903</f>
        <v/>
      </c>
      <c r="J38" s="8">
        <f>'03_年度彙總'!C904</f>
        <v/>
      </c>
      <c r="K38" s="8">
        <f>'03_年度彙總'!C905</f>
        <v/>
      </c>
      <c r="L38" s="8">
        <f>'03_年度彙總'!C906</f>
        <v/>
      </c>
      <c r="M38" s="8">
        <f>'03_年度彙總'!C907</f>
        <v/>
      </c>
      <c r="N38" s="8">
        <f>'03_年度彙總'!C908</f>
        <v/>
      </c>
      <c r="O38" s="8">
        <f>'03_年度彙總'!C909</f>
        <v/>
      </c>
      <c r="P38" s="8">
        <f>'03_年度彙總'!C910</f>
        <v/>
      </c>
      <c r="Q38" s="8">
        <f>'03_年度彙總'!C911</f>
        <v/>
      </c>
      <c r="R38" s="8">
        <f>'03_年度彙總'!C912</f>
        <v/>
      </c>
      <c r="S38" s="8">
        <f>'03_年度彙總'!C913</f>
        <v/>
      </c>
      <c r="T38" s="8">
        <f>'03_年度彙總'!C914</f>
        <v/>
      </c>
      <c r="U38" s="8">
        <f>'03_年度彙總'!C915</f>
        <v/>
      </c>
      <c r="V38" s="8">
        <f>'03_年度彙總'!C916</f>
        <v/>
      </c>
      <c r="W38" s="8">
        <f>'03_年度彙總'!C917</f>
        <v/>
      </c>
      <c r="X38" s="8">
        <f>'03_年度彙總'!C918</f>
        <v/>
      </c>
      <c r="Y38" s="8">
        <f>'03_年度彙總'!C919</f>
        <v/>
      </c>
      <c r="Z38" s="8">
        <f>'03_年度彙總'!C920</f>
        <v/>
      </c>
      <c r="AA38" s="8">
        <f>'03_年度彙總'!C921</f>
        <v/>
      </c>
      <c r="AB38" s="8">
        <f>'03_年度彙總'!C922</f>
        <v/>
      </c>
    </row>
    <row r="39" ht="22" customHeight="1">
      <c r="A39" s="3" t="inlineStr">
        <is>
          <t>服務中心</t>
        </is>
      </c>
      <c r="B39" s="9" t="n"/>
      <c r="C39" s="8">
        <f>'03_年度彙總'!C924</f>
        <v/>
      </c>
      <c r="D39" s="8">
        <f>'03_年度彙總'!C925</f>
        <v/>
      </c>
      <c r="E39" s="8">
        <f>'03_年度彙總'!C926</f>
        <v/>
      </c>
      <c r="F39" s="8">
        <f>'03_年度彙總'!C927</f>
        <v/>
      </c>
      <c r="G39" s="8">
        <f>'03_年度彙總'!C928</f>
        <v/>
      </c>
      <c r="H39" s="8">
        <f>'03_年度彙總'!C929</f>
        <v/>
      </c>
      <c r="I39" s="8">
        <f>'03_年度彙總'!C930</f>
        <v/>
      </c>
      <c r="J39" s="8">
        <f>'03_年度彙總'!C931</f>
        <v/>
      </c>
      <c r="K39" s="8">
        <f>'03_年度彙總'!C932</f>
        <v/>
      </c>
      <c r="L39" s="8">
        <f>'03_年度彙總'!C933</f>
        <v/>
      </c>
      <c r="M39" s="8">
        <f>'03_年度彙總'!C934</f>
        <v/>
      </c>
      <c r="N39" s="8">
        <f>'03_年度彙總'!C935</f>
        <v/>
      </c>
      <c r="O39" s="8">
        <f>'03_年度彙總'!C936</f>
        <v/>
      </c>
      <c r="P39" s="8">
        <f>'03_年度彙總'!C937</f>
        <v/>
      </c>
      <c r="Q39" s="8">
        <f>'03_年度彙總'!C938</f>
        <v/>
      </c>
      <c r="R39" s="8">
        <f>'03_年度彙總'!C939</f>
        <v/>
      </c>
      <c r="S39" s="8">
        <f>'03_年度彙總'!C940</f>
        <v/>
      </c>
      <c r="T39" s="8">
        <f>'03_年度彙總'!C941</f>
        <v/>
      </c>
      <c r="U39" s="8">
        <f>'03_年度彙總'!C942</f>
        <v/>
      </c>
      <c r="V39" s="8">
        <f>'03_年度彙總'!C943</f>
        <v/>
      </c>
      <c r="W39" s="8">
        <f>'03_年度彙總'!C944</f>
        <v/>
      </c>
      <c r="X39" s="8">
        <f>'03_年度彙總'!C945</f>
        <v/>
      </c>
      <c r="Y39" s="8">
        <f>'03_年度彙總'!C946</f>
        <v/>
      </c>
      <c r="Z39" s="8">
        <f>'03_年度彙總'!C947</f>
        <v/>
      </c>
      <c r="AA39" s="8">
        <f>'03_年度彙總'!C948</f>
        <v/>
      </c>
      <c r="AB39" s="8">
        <f>'03_年度彙總'!C949</f>
        <v/>
      </c>
    </row>
    <row r="40" ht="22" customHeight="1">
      <c r="A40" s="5" t="inlineStr">
        <is>
          <t>管理中心</t>
        </is>
      </c>
      <c r="B40" s="9" t="n"/>
      <c r="C40" s="8">
        <f>'03_年度彙總'!C951</f>
        <v/>
      </c>
      <c r="D40" s="8">
        <f>'03_年度彙總'!C952</f>
        <v/>
      </c>
      <c r="E40" s="8">
        <f>'03_年度彙總'!C953</f>
        <v/>
      </c>
      <c r="F40" s="8">
        <f>'03_年度彙總'!C954</f>
        <v/>
      </c>
      <c r="G40" s="8">
        <f>'03_年度彙總'!C955</f>
        <v/>
      </c>
      <c r="H40" s="8">
        <f>'03_年度彙總'!C956</f>
        <v/>
      </c>
      <c r="I40" s="8">
        <f>'03_年度彙總'!C957</f>
        <v/>
      </c>
      <c r="J40" s="8">
        <f>'03_年度彙總'!C958</f>
        <v/>
      </c>
      <c r="K40" s="8">
        <f>'03_年度彙總'!C959</f>
        <v/>
      </c>
      <c r="L40" s="8">
        <f>'03_年度彙總'!C960</f>
        <v/>
      </c>
      <c r="M40" s="8">
        <f>'03_年度彙總'!C961</f>
        <v/>
      </c>
      <c r="N40" s="8">
        <f>'03_年度彙總'!C962</f>
        <v/>
      </c>
      <c r="O40" s="8">
        <f>'03_年度彙總'!C963</f>
        <v/>
      </c>
      <c r="P40" s="8">
        <f>'03_年度彙總'!C964</f>
        <v/>
      </c>
      <c r="Q40" s="8">
        <f>'03_年度彙總'!C965</f>
        <v/>
      </c>
      <c r="R40" s="8">
        <f>'03_年度彙總'!C966</f>
        <v/>
      </c>
      <c r="S40" s="8">
        <f>'03_年度彙總'!C967</f>
        <v/>
      </c>
      <c r="T40" s="8">
        <f>'03_年度彙總'!C968</f>
        <v/>
      </c>
      <c r="U40" s="8">
        <f>'03_年度彙總'!C969</f>
        <v/>
      </c>
      <c r="V40" s="8">
        <f>'03_年度彙總'!C970</f>
        <v/>
      </c>
      <c r="W40" s="8">
        <f>'03_年度彙總'!C971</f>
        <v/>
      </c>
      <c r="X40" s="8">
        <f>'03_年度彙總'!C972</f>
        <v/>
      </c>
      <c r="Y40" s="8">
        <f>'03_年度彙總'!C973</f>
        <v/>
      </c>
      <c r="Z40" s="8">
        <f>'03_年度彙總'!C974</f>
        <v/>
      </c>
      <c r="AA40" s="8">
        <f>'03_年度彙總'!C975</f>
        <v/>
      </c>
      <c r="AB40" s="8">
        <f>'03_年度彙總'!C976</f>
        <v/>
      </c>
    </row>
    <row r="41" ht="22" customHeight="1">
      <c r="A41" s="3" t="inlineStr">
        <is>
          <t>審查中心</t>
        </is>
      </c>
      <c r="B41" s="9" t="n"/>
      <c r="C41" s="8">
        <f>'03_年度彙總'!C978</f>
        <v/>
      </c>
      <c r="D41" s="8">
        <f>'03_年度彙總'!C979</f>
        <v/>
      </c>
      <c r="E41" s="8">
        <f>'03_年度彙總'!C980</f>
        <v/>
      </c>
      <c r="F41" s="8">
        <f>'03_年度彙總'!C981</f>
        <v/>
      </c>
      <c r="G41" s="8">
        <f>'03_年度彙總'!C982</f>
        <v/>
      </c>
      <c r="H41" s="8">
        <f>'03_年度彙總'!C983</f>
        <v/>
      </c>
      <c r="I41" s="8">
        <f>'03_年度彙總'!C984</f>
        <v/>
      </c>
      <c r="J41" s="8">
        <f>'03_年度彙總'!C985</f>
        <v/>
      </c>
      <c r="K41" s="8">
        <f>'03_年度彙總'!C986</f>
        <v/>
      </c>
      <c r="L41" s="8">
        <f>'03_年度彙總'!C987</f>
        <v/>
      </c>
      <c r="M41" s="8">
        <f>'03_年度彙總'!C988</f>
        <v/>
      </c>
      <c r="N41" s="8">
        <f>'03_年度彙總'!C989</f>
        <v/>
      </c>
      <c r="O41" s="8">
        <f>'03_年度彙總'!C990</f>
        <v/>
      </c>
      <c r="P41" s="8">
        <f>'03_年度彙總'!C991</f>
        <v/>
      </c>
      <c r="Q41" s="8">
        <f>'03_年度彙總'!C992</f>
        <v/>
      </c>
      <c r="R41" s="8">
        <f>'03_年度彙總'!C993</f>
        <v/>
      </c>
      <c r="S41" s="8">
        <f>'03_年度彙總'!C994</f>
        <v/>
      </c>
      <c r="T41" s="8">
        <f>'03_年度彙總'!C995</f>
        <v/>
      </c>
      <c r="U41" s="8">
        <f>'03_年度彙總'!C996</f>
        <v/>
      </c>
      <c r="V41" s="8">
        <f>'03_年度彙總'!C997</f>
        <v/>
      </c>
      <c r="W41" s="8">
        <f>'03_年度彙總'!C998</f>
        <v/>
      </c>
      <c r="X41" s="8">
        <f>'03_年度彙總'!C999</f>
        <v/>
      </c>
      <c r="Y41" s="8">
        <f>'03_年度彙總'!C1000</f>
        <v/>
      </c>
      <c r="Z41" s="8">
        <f>'03_年度彙總'!C1001</f>
        <v/>
      </c>
      <c r="AA41" s="8">
        <f>'03_年度彙總'!C1002</f>
        <v/>
      </c>
      <c r="AB41" s="8">
        <f>'03_年度彙總'!C1003</f>
        <v/>
      </c>
    </row>
    <row r="42" ht="22" customHeight="1">
      <c r="A42" s="5" t="inlineStr">
        <is>
          <t>監理中心</t>
        </is>
      </c>
      <c r="B42" s="9" t="n"/>
      <c r="C42" s="8">
        <f>'03_年度彙總'!C1005</f>
        <v/>
      </c>
      <c r="D42" s="8">
        <f>'03_年度彙總'!C1006</f>
        <v/>
      </c>
      <c r="E42" s="8">
        <f>'03_年度彙總'!C1007</f>
        <v/>
      </c>
      <c r="F42" s="8">
        <f>'03_年度彙總'!C1008</f>
        <v/>
      </c>
      <c r="G42" s="8">
        <f>'03_年度彙總'!C1009</f>
        <v/>
      </c>
      <c r="H42" s="8">
        <f>'03_年度彙總'!C1010</f>
        <v/>
      </c>
      <c r="I42" s="8">
        <f>'03_年度彙總'!C1011</f>
        <v/>
      </c>
      <c r="J42" s="8">
        <f>'03_年度彙總'!C1012</f>
        <v/>
      </c>
      <c r="K42" s="8">
        <f>'03_年度彙總'!C1013</f>
        <v/>
      </c>
      <c r="L42" s="8">
        <f>'03_年度彙總'!C1014</f>
        <v/>
      </c>
      <c r="M42" s="8">
        <f>'03_年度彙總'!C1015</f>
        <v/>
      </c>
      <c r="N42" s="8">
        <f>'03_年度彙總'!C1016</f>
        <v/>
      </c>
      <c r="O42" s="8">
        <f>'03_年度彙總'!C1017</f>
        <v/>
      </c>
      <c r="P42" s="8">
        <f>'03_年度彙總'!C1018</f>
        <v/>
      </c>
      <c r="Q42" s="8">
        <f>'03_年度彙總'!C1019</f>
        <v/>
      </c>
      <c r="R42" s="8">
        <f>'03_年度彙總'!C1020</f>
        <v/>
      </c>
      <c r="S42" s="8">
        <f>'03_年度彙總'!C1021</f>
        <v/>
      </c>
      <c r="T42" s="8">
        <f>'03_年度彙總'!C1022</f>
        <v/>
      </c>
      <c r="U42" s="8">
        <f>'03_年度彙總'!C1023</f>
        <v/>
      </c>
      <c r="V42" s="8">
        <f>'03_年度彙總'!C1024</f>
        <v/>
      </c>
      <c r="W42" s="8">
        <f>'03_年度彙總'!C1025</f>
        <v/>
      </c>
      <c r="X42" s="8">
        <f>'03_年度彙總'!C1026</f>
        <v/>
      </c>
      <c r="Y42" s="8">
        <f>'03_年度彙總'!C1027</f>
        <v/>
      </c>
      <c r="Z42" s="8">
        <f>'03_年度彙總'!C1028</f>
        <v/>
      </c>
      <c r="AA42" s="8">
        <f>'03_年度彙總'!C1029</f>
        <v/>
      </c>
      <c r="AB42" s="8">
        <f>'03_年度彙總'!C1030</f>
        <v/>
      </c>
    </row>
    <row r="43" ht="22" customHeight="1">
      <c r="A43" s="3" t="inlineStr">
        <is>
          <t>稽核中心</t>
        </is>
      </c>
      <c r="B43" s="9" t="n"/>
      <c r="C43" s="8">
        <f>'03_年度彙總'!C1032</f>
        <v/>
      </c>
      <c r="D43" s="8">
        <f>'03_年度彙總'!C1033</f>
        <v/>
      </c>
      <c r="E43" s="8">
        <f>'03_年度彙總'!C1034</f>
        <v/>
      </c>
      <c r="F43" s="8">
        <f>'03_年度彙總'!C1035</f>
        <v/>
      </c>
      <c r="G43" s="8">
        <f>'03_年度彙總'!C1036</f>
        <v/>
      </c>
      <c r="H43" s="8">
        <f>'03_年度彙總'!C1037</f>
        <v/>
      </c>
      <c r="I43" s="8">
        <f>'03_年度彙總'!C1038</f>
        <v/>
      </c>
      <c r="J43" s="8">
        <f>'03_年度彙總'!C1039</f>
        <v/>
      </c>
      <c r="K43" s="8">
        <f>'03_年度彙總'!C1040</f>
        <v/>
      </c>
      <c r="L43" s="8">
        <f>'03_年度彙總'!C1041</f>
        <v/>
      </c>
      <c r="M43" s="8">
        <f>'03_年度彙總'!C1042</f>
        <v/>
      </c>
      <c r="N43" s="8">
        <f>'03_年度彙總'!C1043</f>
        <v/>
      </c>
      <c r="O43" s="8">
        <f>'03_年度彙總'!C1044</f>
        <v/>
      </c>
      <c r="P43" s="8">
        <f>'03_年度彙總'!C1045</f>
        <v/>
      </c>
      <c r="Q43" s="8">
        <f>'03_年度彙總'!C1046</f>
        <v/>
      </c>
      <c r="R43" s="8">
        <f>'03_年度彙總'!C1047</f>
        <v/>
      </c>
      <c r="S43" s="8">
        <f>'03_年度彙總'!C1048</f>
        <v/>
      </c>
      <c r="T43" s="8">
        <f>'03_年度彙總'!C1049</f>
        <v/>
      </c>
      <c r="U43" s="8">
        <f>'03_年度彙總'!C1050</f>
        <v/>
      </c>
      <c r="V43" s="8">
        <f>'03_年度彙總'!C1051</f>
        <v/>
      </c>
      <c r="W43" s="8">
        <f>'03_年度彙總'!C1052</f>
        <v/>
      </c>
      <c r="X43" s="8">
        <f>'03_年度彙總'!C1053</f>
        <v/>
      </c>
      <c r="Y43" s="8">
        <f>'03_年度彙總'!C1054</f>
        <v/>
      </c>
      <c r="Z43" s="8">
        <f>'03_年度彙總'!C1055</f>
        <v/>
      </c>
      <c r="AA43" s="8">
        <f>'03_年度彙總'!C1056</f>
        <v/>
      </c>
      <c r="AB43" s="8">
        <f>'03_年度彙總'!C1057</f>
        <v/>
      </c>
    </row>
    <row r="44" ht="22" customHeight="1">
      <c r="A44" s="5" t="inlineStr">
        <is>
          <t>協調中心</t>
        </is>
      </c>
      <c r="B44" s="9" t="n"/>
      <c r="C44" s="8">
        <f>'03_年度彙總'!C1059</f>
        <v/>
      </c>
      <c r="D44" s="8">
        <f>'03_年度彙總'!C1060</f>
        <v/>
      </c>
      <c r="E44" s="8">
        <f>'03_年度彙總'!C1061</f>
        <v/>
      </c>
      <c r="F44" s="8">
        <f>'03_年度彙總'!C1062</f>
        <v/>
      </c>
      <c r="G44" s="8">
        <f>'03_年度彙總'!C1063</f>
        <v/>
      </c>
      <c r="H44" s="8">
        <f>'03_年度彙總'!C1064</f>
        <v/>
      </c>
      <c r="I44" s="8">
        <f>'03_年度彙總'!C1065</f>
        <v/>
      </c>
      <c r="J44" s="8">
        <f>'03_年度彙總'!C1066</f>
        <v/>
      </c>
      <c r="K44" s="8">
        <f>'03_年度彙總'!C1067</f>
        <v/>
      </c>
      <c r="L44" s="8">
        <f>'03_年度彙總'!C1068</f>
        <v/>
      </c>
      <c r="M44" s="8">
        <f>'03_年度彙總'!C1069</f>
        <v/>
      </c>
      <c r="N44" s="8">
        <f>'03_年度彙總'!C1070</f>
        <v/>
      </c>
      <c r="O44" s="8">
        <f>'03_年度彙總'!C1071</f>
        <v/>
      </c>
      <c r="P44" s="8">
        <f>'03_年度彙總'!C1072</f>
        <v/>
      </c>
      <c r="Q44" s="8">
        <f>'03_年度彙總'!C1073</f>
        <v/>
      </c>
      <c r="R44" s="8">
        <f>'03_年度彙總'!C1074</f>
        <v/>
      </c>
      <c r="S44" s="8">
        <f>'03_年度彙總'!C1075</f>
        <v/>
      </c>
      <c r="T44" s="8">
        <f>'03_年度彙總'!C1076</f>
        <v/>
      </c>
      <c r="U44" s="8">
        <f>'03_年度彙總'!C1077</f>
        <v/>
      </c>
      <c r="V44" s="8">
        <f>'03_年度彙總'!C1078</f>
        <v/>
      </c>
      <c r="W44" s="8">
        <f>'03_年度彙總'!C1079</f>
        <v/>
      </c>
      <c r="X44" s="8">
        <f>'03_年度彙總'!C1080</f>
        <v/>
      </c>
      <c r="Y44" s="8">
        <f>'03_年度彙總'!C1081</f>
        <v/>
      </c>
      <c r="Z44" s="8">
        <f>'03_年度彙總'!C1082</f>
        <v/>
      </c>
      <c r="AA44" s="8">
        <f>'03_年度彙總'!C1083</f>
        <v/>
      </c>
      <c r="AB44" s="8">
        <f>'03_年度彙總'!C1084</f>
        <v/>
      </c>
    </row>
    <row r="45" ht="22" customHeight="1">
      <c r="A45" s="3" t="inlineStr">
        <is>
          <t>企劃組</t>
        </is>
      </c>
      <c r="B45" s="9" t="n"/>
      <c r="C45" s="8">
        <f>'03_年度彙總'!C1086</f>
        <v/>
      </c>
      <c r="D45" s="8">
        <f>'03_年度彙總'!C1087</f>
        <v/>
      </c>
      <c r="E45" s="8">
        <f>'03_年度彙總'!C1088</f>
        <v/>
      </c>
      <c r="F45" s="8">
        <f>'03_年度彙總'!C1089</f>
        <v/>
      </c>
      <c r="G45" s="8">
        <f>'03_年度彙總'!C1090</f>
        <v/>
      </c>
      <c r="H45" s="8">
        <f>'03_年度彙總'!C1091</f>
        <v/>
      </c>
      <c r="I45" s="8">
        <f>'03_年度彙總'!C1092</f>
        <v/>
      </c>
      <c r="J45" s="8">
        <f>'03_年度彙總'!C1093</f>
        <v/>
      </c>
      <c r="K45" s="8">
        <f>'03_年度彙總'!C1094</f>
        <v/>
      </c>
      <c r="L45" s="8">
        <f>'03_年度彙總'!C1095</f>
        <v/>
      </c>
      <c r="M45" s="8">
        <f>'03_年度彙總'!C1096</f>
        <v/>
      </c>
      <c r="N45" s="8">
        <f>'03_年度彙總'!C1097</f>
        <v/>
      </c>
      <c r="O45" s="8">
        <f>'03_年度彙總'!C1098</f>
        <v/>
      </c>
      <c r="P45" s="8">
        <f>'03_年度彙總'!C1099</f>
        <v/>
      </c>
      <c r="Q45" s="8">
        <f>'03_年度彙總'!C1100</f>
        <v/>
      </c>
      <c r="R45" s="8">
        <f>'03_年度彙總'!C1101</f>
        <v/>
      </c>
      <c r="S45" s="8">
        <f>'03_年度彙總'!C1102</f>
        <v/>
      </c>
      <c r="T45" s="8">
        <f>'03_年度彙總'!C1103</f>
        <v/>
      </c>
      <c r="U45" s="8">
        <f>'03_年度彙總'!C1104</f>
        <v/>
      </c>
      <c r="V45" s="8">
        <f>'03_年度彙總'!C1105</f>
        <v/>
      </c>
      <c r="W45" s="8">
        <f>'03_年度彙總'!C1106</f>
        <v/>
      </c>
      <c r="X45" s="8">
        <f>'03_年度彙總'!C1107</f>
        <v/>
      </c>
      <c r="Y45" s="8">
        <f>'03_年度彙總'!C1108</f>
        <v/>
      </c>
      <c r="Z45" s="8">
        <f>'03_年度彙總'!C1109</f>
        <v/>
      </c>
      <c r="AA45" s="8">
        <f>'03_年度彙總'!C1110</f>
        <v/>
      </c>
      <c r="AB45" s="8">
        <f>'03_年度彙總'!C1111</f>
        <v/>
      </c>
    </row>
    <row r="46" ht="22" customHeight="1">
      <c r="A46" s="5" t="inlineStr">
        <is>
          <t>管理組</t>
        </is>
      </c>
      <c r="B46" s="9" t="n"/>
      <c r="C46" s="8">
        <f>'03_年度彙總'!C1113</f>
        <v/>
      </c>
      <c r="D46" s="8">
        <f>'03_年度彙總'!C1114</f>
        <v/>
      </c>
      <c r="E46" s="8">
        <f>'03_年度彙總'!C1115</f>
        <v/>
      </c>
      <c r="F46" s="8">
        <f>'03_年度彙總'!C1116</f>
        <v/>
      </c>
      <c r="G46" s="8">
        <f>'03_年度彙總'!C1117</f>
        <v/>
      </c>
      <c r="H46" s="8">
        <f>'03_年度彙總'!C1118</f>
        <v/>
      </c>
      <c r="I46" s="8">
        <f>'03_年度彙總'!C1119</f>
        <v/>
      </c>
      <c r="J46" s="8">
        <f>'03_年度彙總'!C1120</f>
        <v/>
      </c>
      <c r="K46" s="8">
        <f>'03_年度彙總'!C1121</f>
        <v/>
      </c>
      <c r="L46" s="8">
        <f>'03_年度彙總'!C1122</f>
        <v/>
      </c>
      <c r="M46" s="8">
        <f>'03_年度彙總'!C1123</f>
        <v/>
      </c>
      <c r="N46" s="8">
        <f>'03_年度彙總'!C1124</f>
        <v/>
      </c>
      <c r="O46" s="8">
        <f>'03_年度彙總'!C1125</f>
        <v/>
      </c>
      <c r="P46" s="8">
        <f>'03_年度彙總'!C1126</f>
        <v/>
      </c>
      <c r="Q46" s="8">
        <f>'03_年度彙總'!C1127</f>
        <v/>
      </c>
      <c r="R46" s="8">
        <f>'03_年度彙總'!C1128</f>
        <v/>
      </c>
      <c r="S46" s="8">
        <f>'03_年度彙總'!C1129</f>
        <v/>
      </c>
      <c r="T46" s="8">
        <f>'03_年度彙總'!C1130</f>
        <v/>
      </c>
      <c r="U46" s="8">
        <f>'03_年度彙總'!C1131</f>
        <v/>
      </c>
      <c r="V46" s="8">
        <f>'03_年度彙總'!C1132</f>
        <v/>
      </c>
      <c r="W46" s="8">
        <f>'03_年度彙總'!C1133</f>
        <v/>
      </c>
      <c r="X46" s="8">
        <f>'03_年度彙總'!C1134</f>
        <v/>
      </c>
      <c r="Y46" s="8">
        <f>'03_年度彙總'!C1135</f>
        <v/>
      </c>
      <c r="Z46" s="8">
        <f>'03_年度彙總'!C1136</f>
        <v/>
      </c>
      <c r="AA46" s="8">
        <f>'03_年度彙總'!C1137</f>
        <v/>
      </c>
      <c r="AB46" s="8">
        <f>'03_年度彙總'!C1138</f>
        <v/>
      </c>
    </row>
    <row r="47" ht="22" customHeight="1">
      <c r="A47" s="3" t="inlineStr">
        <is>
          <t>業務組</t>
        </is>
      </c>
      <c r="B47" s="9" t="n"/>
      <c r="C47" s="8">
        <f>'03_年度彙總'!C1140</f>
        <v/>
      </c>
      <c r="D47" s="8">
        <f>'03_年度彙總'!C1141</f>
        <v/>
      </c>
      <c r="E47" s="8">
        <f>'03_年度彙總'!C1142</f>
        <v/>
      </c>
      <c r="F47" s="8">
        <f>'03_年度彙總'!C1143</f>
        <v/>
      </c>
      <c r="G47" s="8">
        <f>'03_年度彙總'!C1144</f>
        <v/>
      </c>
      <c r="H47" s="8">
        <f>'03_年度彙總'!C1145</f>
        <v/>
      </c>
      <c r="I47" s="8">
        <f>'03_年度彙總'!C1146</f>
        <v/>
      </c>
      <c r="J47" s="8">
        <f>'03_年度彙總'!C1147</f>
        <v/>
      </c>
      <c r="K47" s="8">
        <f>'03_年度彙總'!C1148</f>
        <v/>
      </c>
      <c r="L47" s="8">
        <f>'03_年度彙總'!C1149</f>
        <v/>
      </c>
      <c r="M47" s="8">
        <f>'03_年度彙總'!C1150</f>
        <v/>
      </c>
      <c r="N47" s="8">
        <f>'03_年度彙總'!C1151</f>
        <v/>
      </c>
      <c r="O47" s="8">
        <f>'03_年度彙總'!C1152</f>
        <v/>
      </c>
      <c r="P47" s="8">
        <f>'03_年度彙總'!C1153</f>
        <v/>
      </c>
      <c r="Q47" s="8">
        <f>'03_年度彙總'!C1154</f>
        <v/>
      </c>
      <c r="R47" s="8">
        <f>'03_年度彙總'!C1155</f>
        <v/>
      </c>
      <c r="S47" s="8">
        <f>'03_年度彙總'!C1156</f>
        <v/>
      </c>
      <c r="T47" s="8">
        <f>'03_年度彙總'!C1157</f>
        <v/>
      </c>
      <c r="U47" s="8">
        <f>'03_年度彙總'!C1158</f>
        <v/>
      </c>
      <c r="V47" s="8">
        <f>'03_年度彙總'!C1159</f>
        <v/>
      </c>
      <c r="W47" s="8">
        <f>'03_年度彙總'!C1160</f>
        <v/>
      </c>
      <c r="X47" s="8">
        <f>'03_年度彙總'!C1161</f>
        <v/>
      </c>
      <c r="Y47" s="8">
        <f>'03_年度彙總'!C1162</f>
        <v/>
      </c>
      <c r="Z47" s="8">
        <f>'03_年度彙總'!C1163</f>
        <v/>
      </c>
      <c r="AA47" s="8">
        <f>'03_年度彙總'!C1164</f>
        <v/>
      </c>
      <c r="AB47" s="8">
        <f>'03_年度彙總'!C1165</f>
        <v/>
      </c>
    </row>
    <row r="48" ht="22" customHeight="1">
      <c r="A48" s="5" t="inlineStr">
        <is>
          <t>技術組</t>
        </is>
      </c>
      <c r="B48" s="9" t="n"/>
      <c r="C48" s="8">
        <f>'03_年度彙總'!C1167</f>
        <v/>
      </c>
      <c r="D48" s="8">
        <f>'03_年度彙總'!C1168</f>
        <v/>
      </c>
      <c r="E48" s="8">
        <f>'03_年度彙總'!C1169</f>
        <v/>
      </c>
      <c r="F48" s="8">
        <f>'03_年度彙總'!C1170</f>
        <v/>
      </c>
      <c r="G48" s="8">
        <f>'03_年度彙總'!C1171</f>
        <v/>
      </c>
      <c r="H48" s="8">
        <f>'03_年度彙總'!C1172</f>
        <v/>
      </c>
      <c r="I48" s="8">
        <f>'03_年度彙總'!C1173</f>
        <v/>
      </c>
      <c r="J48" s="8">
        <f>'03_年度彙總'!C1174</f>
        <v/>
      </c>
      <c r="K48" s="8">
        <f>'03_年度彙總'!C1175</f>
        <v/>
      </c>
      <c r="L48" s="8">
        <f>'03_年度彙總'!C1176</f>
        <v/>
      </c>
      <c r="M48" s="8">
        <f>'03_年度彙總'!C1177</f>
        <v/>
      </c>
      <c r="N48" s="8">
        <f>'03_年度彙總'!C1178</f>
        <v/>
      </c>
      <c r="O48" s="8">
        <f>'03_年度彙總'!C1179</f>
        <v/>
      </c>
      <c r="P48" s="8">
        <f>'03_年度彙總'!C1180</f>
        <v/>
      </c>
      <c r="Q48" s="8">
        <f>'03_年度彙總'!C1181</f>
        <v/>
      </c>
      <c r="R48" s="8">
        <f>'03_年度彙總'!C1182</f>
        <v/>
      </c>
      <c r="S48" s="8">
        <f>'03_年度彙總'!C1183</f>
        <v/>
      </c>
      <c r="T48" s="8">
        <f>'03_年度彙總'!C1184</f>
        <v/>
      </c>
      <c r="U48" s="8">
        <f>'03_年度彙總'!C1185</f>
        <v/>
      </c>
      <c r="V48" s="8">
        <f>'03_年度彙總'!C1186</f>
        <v/>
      </c>
      <c r="W48" s="8">
        <f>'03_年度彙總'!C1187</f>
        <v/>
      </c>
      <c r="X48" s="8">
        <f>'03_年度彙總'!C1188</f>
        <v/>
      </c>
      <c r="Y48" s="8">
        <f>'03_年度彙總'!C1189</f>
        <v/>
      </c>
      <c r="Z48" s="8">
        <f>'03_年度彙總'!C1190</f>
        <v/>
      </c>
      <c r="AA48" s="8">
        <f>'03_年度彙總'!C1191</f>
        <v/>
      </c>
      <c r="AB48" s="8">
        <f>'03_年度彙總'!C1192</f>
        <v/>
      </c>
    </row>
    <row r="49" ht="22" customHeight="1">
      <c r="A49" s="3" t="inlineStr">
        <is>
          <t>行政組</t>
        </is>
      </c>
      <c r="B49" s="9" t="n"/>
      <c r="C49" s="8">
        <f>'03_年度彙總'!C1194</f>
        <v/>
      </c>
      <c r="D49" s="8">
        <f>'03_年度彙總'!C1195</f>
        <v/>
      </c>
      <c r="E49" s="8">
        <f>'03_年度彙總'!C1196</f>
        <v/>
      </c>
      <c r="F49" s="8">
        <f>'03_年度彙總'!C1197</f>
        <v/>
      </c>
      <c r="G49" s="8">
        <f>'03_年度彙總'!C1198</f>
        <v/>
      </c>
      <c r="H49" s="8">
        <f>'03_年度彙總'!C1199</f>
        <v/>
      </c>
      <c r="I49" s="8">
        <f>'03_年度彙總'!C1200</f>
        <v/>
      </c>
      <c r="J49" s="8">
        <f>'03_年度彙總'!C1201</f>
        <v/>
      </c>
      <c r="K49" s="8">
        <f>'03_年度彙總'!C1202</f>
        <v/>
      </c>
      <c r="L49" s="8">
        <f>'03_年度彙總'!C1203</f>
        <v/>
      </c>
      <c r="M49" s="8">
        <f>'03_年度彙總'!C1204</f>
        <v/>
      </c>
      <c r="N49" s="8">
        <f>'03_年度彙總'!C1205</f>
        <v/>
      </c>
      <c r="O49" s="8">
        <f>'03_年度彙總'!C1206</f>
        <v/>
      </c>
      <c r="P49" s="8">
        <f>'03_年度彙總'!C1207</f>
        <v/>
      </c>
      <c r="Q49" s="8">
        <f>'03_年度彙總'!C1208</f>
        <v/>
      </c>
      <c r="R49" s="8">
        <f>'03_年度彙總'!C1209</f>
        <v/>
      </c>
      <c r="S49" s="8">
        <f>'03_年度彙總'!C1210</f>
        <v/>
      </c>
      <c r="T49" s="8">
        <f>'03_年度彙總'!C1211</f>
        <v/>
      </c>
      <c r="U49" s="8">
        <f>'03_年度彙總'!C1212</f>
        <v/>
      </c>
      <c r="V49" s="8">
        <f>'03_年度彙總'!C1213</f>
        <v/>
      </c>
      <c r="W49" s="8">
        <f>'03_年度彙總'!C1214</f>
        <v/>
      </c>
      <c r="X49" s="8">
        <f>'03_年度彙總'!C1215</f>
        <v/>
      </c>
      <c r="Y49" s="8">
        <f>'03_年度彙總'!C1216</f>
        <v/>
      </c>
      <c r="Z49" s="8">
        <f>'03_年度彙總'!C1217</f>
        <v/>
      </c>
      <c r="AA49" s="8">
        <f>'03_年度彙總'!C1218</f>
        <v/>
      </c>
      <c r="AB49" s="8">
        <f>'03_年度彙總'!C1219</f>
        <v/>
      </c>
    </row>
    <row r="50" ht="22" customHeight="1">
      <c r="A50" s="5" t="inlineStr">
        <is>
          <t>財務組</t>
        </is>
      </c>
      <c r="B50" s="9" t="n"/>
      <c r="C50" s="8">
        <f>'03_年度彙總'!C1221</f>
        <v/>
      </c>
      <c r="D50" s="8">
        <f>'03_年度彙總'!C1222</f>
        <v/>
      </c>
      <c r="E50" s="8">
        <f>'03_年度彙總'!C1223</f>
        <v/>
      </c>
      <c r="F50" s="8">
        <f>'03_年度彙總'!C1224</f>
        <v/>
      </c>
      <c r="G50" s="8">
        <f>'03_年度彙總'!C1225</f>
        <v/>
      </c>
      <c r="H50" s="8">
        <f>'03_年度彙總'!C1226</f>
        <v/>
      </c>
      <c r="I50" s="8">
        <f>'03_年度彙總'!C1227</f>
        <v/>
      </c>
      <c r="J50" s="8">
        <f>'03_年度彙總'!C1228</f>
        <v/>
      </c>
      <c r="K50" s="8">
        <f>'03_年度彙總'!C1229</f>
        <v/>
      </c>
      <c r="L50" s="8">
        <f>'03_年度彙總'!C1230</f>
        <v/>
      </c>
      <c r="M50" s="8">
        <f>'03_年度彙總'!C1231</f>
        <v/>
      </c>
      <c r="N50" s="8">
        <f>'03_年度彙總'!C1232</f>
        <v/>
      </c>
      <c r="O50" s="8">
        <f>'03_年度彙總'!C1233</f>
        <v/>
      </c>
      <c r="P50" s="8">
        <f>'03_年度彙總'!C1234</f>
        <v/>
      </c>
      <c r="Q50" s="8">
        <f>'03_年度彙總'!C1235</f>
        <v/>
      </c>
      <c r="R50" s="8">
        <f>'03_年度彙總'!C1236</f>
        <v/>
      </c>
      <c r="S50" s="8">
        <f>'03_年度彙總'!C1237</f>
        <v/>
      </c>
      <c r="T50" s="8">
        <f>'03_年度彙總'!C1238</f>
        <v/>
      </c>
      <c r="U50" s="8">
        <f>'03_年度彙總'!C1239</f>
        <v/>
      </c>
      <c r="V50" s="8">
        <f>'03_年度彙總'!C1240</f>
        <v/>
      </c>
      <c r="W50" s="8">
        <f>'03_年度彙總'!C1241</f>
        <v/>
      </c>
      <c r="X50" s="8">
        <f>'03_年度彙總'!C1242</f>
        <v/>
      </c>
      <c r="Y50" s="8">
        <f>'03_年度彙總'!C1243</f>
        <v/>
      </c>
      <c r="Z50" s="8">
        <f>'03_年度彙總'!C1244</f>
        <v/>
      </c>
      <c r="AA50" s="8">
        <f>'03_年度彙總'!C1245</f>
        <v/>
      </c>
      <c r="AB50" s="8">
        <f>'03_年度彙總'!C1246</f>
        <v/>
      </c>
    </row>
    <row r="51" ht="22" customHeight="1">
      <c r="A51" s="3" t="inlineStr">
        <is>
          <t>法規組</t>
        </is>
      </c>
      <c r="B51" s="9" t="n"/>
      <c r="C51" s="8">
        <f>'03_年度彙總'!C1248</f>
        <v/>
      </c>
      <c r="D51" s="8">
        <f>'03_年度彙總'!C1249</f>
        <v/>
      </c>
      <c r="E51" s="8">
        <f>'03_年度彙總'!C1250</f>
        <v/>
      </c>
      <c r="F51" s="8">
        <f>'03_年度彙總'!C1251</f>
        <v/>
      </c>
      <c r="G51" s="8">
        <f>'03_年度彙總'!C1252</f>
        <v/>
      </c>
      <c r="H51" s="8">
        <f>'03_年度彙總'!C1253</f>
        <v/>
      </c>
      <c r="I51" s="8">
        <f>'03_年度彙總'!C1254</f>
        <v/>
      </c>
      <c r="J51" s="8">
        <f>'03_年度彙總'!C1255</f>
        <v/>
      </c>
      <c r="K51" s="8">
        <f>'03_年度彙總'!C1256</f>
        <v/>
      </c>
      <c r="L51" s="8">
        <f>'03_年度彙總'!C1257</f>
        <v/>
      </c>
      <c r="M51" s="8">
        <f>'03_年度彙總'!C1258</f>
        <v/>
      </c>
      <c r="N51" s="8">
        <f>'03_年度彙總'!C1259</f>
        <v/>
      </c>
      <c r="O51" s="8">
        <f>'03_年度彙總'!C1260</f>
        <v/>
      </c>
      <c r="P51" s="8">
        <f>'03_年度彙總'!C1261</f>
        <v/>
      </c>
      <c r="Q51" s="8">
        <f>'03_年度彙總'!C1262</f>
        <v/>
      </c>
      <c r="R51" s="8">
        <f>'03_年度彙總'!C1263</f>
        <v/>
      </c>
      <c r="S51" s="8">
        <f>'03_年度彙總'!C1264</f>
        <v/>
      </c>
      <c r="T51" s="8">
        <f>'03_年度彙總'!C1265</f>
        <v/>
      </c>
      <c r="U51" s="8">
        <f>'03_年度彙總'!C1266</f>
        <v/>
      </c>
      <c r="V51" s="8">
        <f>'03_年度彙總'!C1267</f>
        <v/>
      </c>
      <c r="W51" s="8">
        <f>'03_年度彙總'!C1268</f>
        <v/>
      </c>
      <c r="X51" s="8">
        <f>'03_年度彙總'!C1269</f>
        <v/>
      </c>
      <c r="Y51" s="8">
        <f>'03_年度彙總'!C1270</f>
        <v/>
      </c>
      <c r="Z51" s="8">
        <f>'03_年度彙總'!C1271</f>
        <v/>
      </c>
      <c r="AA51" s="8">
        <f>'03_年度彙總'!C1272</f>
        <v/>
      </c>
      <c r="AB51" s="8">
        <f>'03_年度彙總'!C1273</f>
        <v/>
      </c>
    </row>
    <row r="52" ht="22" customHeight="1">
      <c r="A52" s="5" t="inlineStr">
        <is>
          <t>稽核組</t>
        </is>
      </c>
      <c r="B52" s="9" t="n"/>
      <c r="C52" s="8">
        <f>'03_年度彙總'!C1275</f>
        <v/>
      </c>
      <c r="D52" s="8">
        <f>'03_年度彙總'!C1276</f>
        <v/>
      </c>
      <c r="E52" s="8">
        <f>'03_年度彙總'!C1277</f>
        <v/>
      </c>
      <c r="F52" s="8">
        <f>'03_年度彙總'!C1278</f>
        <v/>
      </c>
      <c r="G52" s="8">
        <f>'03_年度彙總'!C1279</f>
        <v/>
      </c>
      <c r="H52" s="8">
        <f>'03_年度彙總'!C1280</f>
        <v/>
      </c>
      <c r="I52" s="8">
        <f>'03_年度彙總'!C1281</f>
        <v/>
      </c>
      <c r="J52" s="8">
        <f>'03_年度彙總'!C1282</f>
        <v/>
      </c>
      <c r="K52" s="8">
        <f>'03_年度彙總'!C1283</f>
        <v/>
      </c>
      <c r="L52" s="8">
        <f>'03_年度彙總'!C1284</f>
        <v/>
      </c>
      <c r="M52" s="8">
        <f>'03_年度彙總'!C1285</f>
        <v/>
      </c>
      <c r="N52" s="8">
        <f>'03_年度彙總'!C1286</f>
        <v/>
      </c>
      <c r="O52" s="8">
        <f>'03_年度彙總'!C1287</f>
        <v/>
      </c>
      <c r="P52" s="8">
        <f>'03_年度彙總'!C1288</f>
        <v/>
      </c>
      <c r="Q52" s="8">
        <f>'03_年度彙總'!C1289</f>
        <v/>
      </c>
      <c r="R52" s="8">
        <f>'03_年度彙總'!C1290</f>
        <v/>
      </c>
      <c r="S52" s="8">
        <f>'03_年度彙總'!C1291</f>
        <v/>
      </c>
      <c r="T52" s="8">
        <f>'03_年度彙總'!C1292</f>
        <v/>
      </c>
      <c r="U52" s="8">
        <f>'03_年度彙總'!C1293</f>
        <v/>
      </c>
      <c r="V52" s="8">
        <f>'03_年度彙總'!C1294</f>
        <v/>
      </c>
      <c r="W52" s="8">
        <f>'03_年度彙總'!C1295</f>
        <v/>
      </c>
      <c r="X52" s="8">
        <f>'03_年度彙總'!C1296</f>
        <v/>
      </c>
      <c r="Y52" s="8">
        <f>'03_年度彙總'!C1297</f>
        <v/>
      </c>
      <c r="Z52" s="8">
        <f>'03_年度彙總'!C1298</f>
        <v/>
      </c>
      <c r="AA52" s="8">
        <f>'03_年度彙總'!C1299</f>
        <v/>
      </c>
      <c r="AB52" s="8">
        <f>'03_年度彙總'!C1300</f>
        <v/>
      </c>
    </row>
    <row r="53" ht="22" customHeight="1">
      <c r="A53" s="3" t="inlineStr">
        <is>
          <t>中部辦公室</t>
        </is>
      </c>
      <c r="B53" s="9" t="n"/>
      <c r="C53" s="8">
        <f>'03_年度彙總'!C1302</f>
        <v/>
      </c>
      <c r="D53" s="8">
        <f>'03_年度彙總'!C1303</f>
        <v/>
      </c>
      <c r="E53" s="8">
        <f>'03_年度彙總'!C1304</f>
        <v/>
      </c>
      <c r="F53" s="8">
        <f>'03_年度彙總'!C1305</f>
        <v/>
      </c>
      <c r="G53" s="8">
        <f>'03_年度彙總'!C1306</f>
        <v/>
      </c>
      <c r="H53" s="8">
        <f>'03_年度彙總'!C1307</f>
        <v/>
      </c>
      <c r="I53" s="8">
        <f>'03_年度彙總'!C1308</f>
        <v/>
      </c>
      <c r="J53" s="8">
        <f>'03_年度彙總'!C1309</f>
        <v/>
      </c>
      <c r="K53" s="8">
        <f>'03_年度彙總'!C1310</f>
        <v/>
      </c>
      <c r="L53" s="8">
        <f>'03_年度彙總'!C1311</f>
        <v/>
      </c>
      <c r="M53" s="8">
        <f>'03_年度彙總'!C1312</f>
        <v/>
      </c>
      <c r="N53" s="8">
        <f>'03_年度彙總'!C1313</f>
        <v/>
      </c>
      <c r="O53" s="8">
        <f>'03_年度彙總'!C1314</f>
        <v/>
      </c>
      <c r="P53" s="8">
        <f>'03_年度彙總'!C1315</f>
        <v/>
      </c>
      <c r="Q53" s="8">
        <f>'03_年度彙總'!C1316</f>
        <v/>
      </c>
      <c r="R53" s="8">
        <f>'03_年度彙總'!C1317</f>
        <v/>
      </c>
      <c r="S53" s="8">
        <f>'03_年度彙總'!C1318</f>
        <v/>
      </c>
      <c r="T53" s="8">
        <f>'03_年度彙總'!C1319</f>
        <v/>
      </c>
      <c r="U53" s="8">
        <f>'03_年度彙總'!C1320</f>
        <v/>
      </c>
      <c r="V53" s="8">
        <f>'03_年度彙總'!C1321</f>
        <v/>
      </c>
      <c r="W53" s="8">
        <f>'03_年度彙總'!C1322</f>
        <v/>
      </c>
      <c r="X53" s="8">
        <f>'03_年度彙總'!C1323</f>
        <v/>
      </c>
      <c r="Y53" s="8">
        <f>'03_年度彙總'!C1324</f>
        <v/>
      </c>
      <c r="Z53" s="8">
        <f>'03_年度彙總'!C1325</f>
        <v/>
      </c>
      <c r="AA53" s="8">
        <f>'03_年度彙總'!C1326</f>
        <v/>
      </c>
      <c r="AB53" s="8">
        <f>'03_年度彙總'!C1327</f>
        <v/>
      </c>
    </row>
    <row r="54" ht="22" customHeight="1">
      <c r="A54" s="5" t="inlineStr">
        <is>
          <t>南部辦公室</t>
        </is>
      </c>
      <c r="B54" s="9" t="n"/>
      <c r="C54" s="8">
        <f>'03_年度彙總'!C1329</f>
        <v/>
      </c>
      <c r="D54" s="8">
        <f>'03_年度彙總'!C1330</f>
        <v/>
      </c>
      <c r="E54" s="8">
        <f>'03_年度彙總'!C1331</f>
        <v/>
      </c>
      <c r="F54" s="8">
        <f>'03_年度彙總'!C1332</f>
        <v/>
      </c>
      <c r="G54" s="8">
        <f>'03_年度彙總'!C1333</f>
        <v/>
      </c>
      <c r="H54" s="8">
        <f>'03_年度彙總'!C1334</f>
        <v/>
      </c>
      <c r="I54" s="8">
        <f>'03_年度彙總'!C1335</f>
        <v/>
      </c>
      <c r="J54" s="8">
        <f>'03_年度彙總'!C1336</f>
        <v/>
      </c>
      <c r="K54" s="8">
        <f>'03_年度彙總'!C1337</f>
        <v/>
      </c>
      <c r="L54" s="8">
        <f>'03_年度彙總'!C1338</f>
        <v/>
      </c>
      <c r="M54" s="8">
        <f>'03_年度彙總'!C1339</f>
        <v/>
      </c>
      <c r="N54" s="8">
        <f>'03_年度彙總'!C1340</f>
        <v/>
      </c>
      <c r="O54" s="8">
        <f>'03_年度彙總'!C1341</f>
        <v/>
      </c>
      <c r="P54" s="8">
        <f>'03_年度彙總'!C1342</f>
        <v/>
      </c>
      <c r="Q54" s="8">
        <f>'03_年度彙總'!C1343</f>
        <v/>
      </c>
      <c r="R54" s="8">
        <f>'03_年度彙總'!C1344</f>
        <v/>
      </c>
      <c r="S54" s="8">
        <f>'03_年度彙總'!C1345</f>
        <v/>
      </c>
      <c r="T54" s="8">
        <f>'03_年度彙總'!C1346</f>
        <v/>
      </c>
      <c r="U54" s="8">
        <f>'03_年度彙總'!C1347</f>
        <v/>
      </c>
      <c r="V54" s="8">
        <f>'03_年度彙總'!C1348</f>
        <v/>
      </c>
      <c r="W54" s="8">
        <f>'03_年度彙總'!C1349</f>
        <v/>
      </c>
      <c r="X54" s="8">
        <f>'03_年度彙總'!C1350</f>
        <v/>
      </c>
      <c r="Y54" s="8">
        <f>'03_年度彙總'!C1351</f>
        <v/>
      </c>
      <c r="Z54" s="8">
        <f>'03_年度彙總'!C1352</f>
        <v/>
      </c>
      <c r="AA54" s="8">
        <f>'03_年度彙總'!C1353</f>
        <v/>
      </c>
      <c r="AB54" s="8">
        <f>'03_年度彙總'!C1354</f>
        <v/>
      </c>
    </row>
    <row r="55" ht="22" customHeight="1">
      <c r="A55" s="3" t="inlineStr">
        <is>
          <t>東部辦公室</t>
        </is>
      </c>
      <c r="B55" s="9" t="n"/>
      <c r="C55" s="8">
        <f>'03_年度彙總'!C1356</f>
        <v/>
      </c>
      <c r="D55" s="8">
        <f>'03_年度彙總'!C1357</f>
        <v/>
      </c>
      <c r="E55" s="8">
        <f>'03_年度彙總'!C1358</f>
        <v/>
      </c>
      <c r="F55" s="8">
        <f>'03_年度彙總'!C1359</f>
        <v/>
      </c>
      <c r="G55" s="8">
        <f>'03_年度彙總'!C1360</f>
        <v/>
      </c>
      <c r="H55" s="8">
        <f>'03_年度彙總'!C1361</f>
        <v/>
      </c>
      <c r="I55" s="8">
        <f>'03_年度彙總'!C1362</f>
        <v/>
      </c>
      <c r="J55" s="8">
        <f>'03_年度彙總'!C1363</f>
        <v/>
      </c>
      <c r="K55" s="8">
        <f>'03_年度彙總'!C1364</f>
        <v/>
      </c>
      <c r="L55" s="8">
        <f>'03_年度彙總'!C1365</f>
        <v/>
      </c>
      <c r="M55" s="8">
        <f>'03_年度彙總'!C1366</f>
        <v/>
      </c>
      <c r="N55" s="8">
        <f>'03_年度彙總'!C1367</f>
        <v/>
      </c>
      <c r="O55" s="8">
        <f>'03_年度彙總'!C1368</f>
        <v/>
      </c>
      <c r="P55" s="8">
        <f>'03_年度彙總'!C1369</f>
        <v/>
      </c>
      <c r="Q55" s="8">
        <f>'03_年度彙總'!C1370</f>
        <v/>
      </c>
      <c r="R55" s="8">
        <f>'03_年度彙總'!C1371</f>
        <v/>
      </c>
      <c r="S55" s="8">
        <f>'03_年度彙總'!C1372</f>
        <v/>
      </c>
      <c r="T55" s="8">
        <f>'03_年度彙總'!C1373</f>
        <v/>
      </c>
      <c r="U55" s="8">
        <f>'03_年度彙總'!C1374</f>
        <v/>
      </c>
      <c r="V55" s="8">
        <f>'03_年度彙總'!C1375</f>
        <v/>
      </c>
      <c r="W55" s="8">
        <f>'03_年度彙總'!C1376</f>
        <v/>
      </c>
      <c r="X55" s="8">
        <f>'03_年度彙總'!C1377</f>
        <v/>
      </c>
      <c r="Y55" s="8">
        <f>'03_年度彙總'!C1378</f>
        <v/>
      </c>
      <c r="Z55" s="8">
        <f>'03_年度彙總'!C1379</f>
        <v/>
      </c>
      <c r="AA55" s="8">
        <f>'03_年度彙總'!C1380</f>
        <v/>
      </c>
      <c r="AB55" s="8">
        <f>'03_年度彙總'!C1381</f>
        <v/>
      </c>
    </row>
    <row r="56" ht="22" customHeight="1">
      <c r="A56" s="5" t="inlineStr">
        <is>
          <t>北部辦公室</t>
        </is>
      </c>
      <c r="B56" s="9" t="n"/>
      <c r="C56" s="8">
        <f>'03_年度彙總'!C1383</f>
        <v/>
      </c>
      <c r="D56" s="8">
        <f>'03_年度彙總'!C1384</f>
        <v/>
      </c>
      <c r="E56" s="8">
        <f>'03_年度彙總'!C1385</f>
        <v/>
      </c>
      <c r="F56" s="8">
        <f>'03_年度彙總'!C1386</f>
        <v/>
      </c>
      <c r="G56" s="8">
        <f>'03_年度彙總'!C1387</f>
        <v/>
      </c>
      <c r="H56" s="8">
        <f>'03_年度彙總'!C1388</f>
        <v/>
      </c>
      <c r="I56" s="8">
        <f>'03_年度彙總'!C1389</f>
        <v/>
      </c>
      <c r="J56" s="8">
        <f>'03_年度彙總'!C1390</f>
        <v/>
      </c>
      <c r="K56" s="8">
        <f>'03_年度彙總'!C1391</f>
        <v/>
      </c>
      <c r="L56" s="8">
        <f>'03_年度彙總'!C1392</f>
        <v/>
      </c>
      <c r="M56" s="8">
        <f>'03_年度彙總'!C1393</f>
        <v/>
      </c>
      <c r="N56" s="8">
        <f>'03_年度彙總'!C1394</f>
        <v/>
      </c>
      <c r="O56" s="8">
        <f>'03_年度彙總'!C1395</f>
        <v/>
      </c>
      <c r="P56" s="8">
        <f>'03_年度彙總'!C1396</f>
        <v/>
      </c>
      <c r="Q56" s="8">
        <f>'03_年度彙總'!C1397</f>
        <v/>
      </c>
      <c r="R56" s="8">
        <f>'03_年度彙總'!C1398</f>
        <v/>
      </c>
      <c r="S56" s="8">
        <f>'03_年度彙總'!C1399</f>
        <v/>
      </c>
      <c r="T56" s="8">
        <f>'03_年度彙總'!C1400</f>
        <v/>
      </c>
      <c r="U56" s="8">
        <f>'03_年度彙總'!C1401</f>
        <v/>
      </c>
      <c r="V56" s="8">
        <f>'03_年度彙總'!C1402</f>
        <v/>
      </c>
      <c r="W56" s="8">
        <f>'03_年度彙總'!C1403</f>
        <v/>
      </c>
      <c r="X56" s="8">
        <f>'03_年度彙總'!C1404</f>
        <v/>
      </c>
      <c r="Y56" s="8">
        <f>'03_年度彙總'!C1405</f>
        <v/>
      </c>
      <c r="Z56" s="8">
        <f>'03_年度彙總'!C1406</f>
        <v/>
      </c>
      <c r="AA56" s="8">
        <f>'03_年度彙總'!C1407</f>
        <v/>
      </c>
      <c r="AB56" s="8">
        <f>'03_年度彙總'!C1408</f>
        <v/>
      </c>
    </row>
    <row r="57" ht="22" customHeight="1">
      <c r="A57" s="3" t="inlineStr">
        <is>
          <t>離島辦公室</t>
        </is>
      </c>
      <c r="B57" s="9" t="n"/>
      <c r="C57" s="8">
        <f>'03_年度彙總'!C1410</f>
        <v/>
      </c>
      <c r="D57" s="8">
        <f>'03_年度彙總'!C1411</f>
        <v/>
      </c>
      <c r="E57" s="8">
        <f>'03_年度彙總'!C1412</f>
        <v/>
      </c>
      <c r="F57" s="8">
        <f>'03_年度彙總'!C1413</f>
        <v/>
      </c>
      <c r="G57" s="8">
        <f>'03_年度彙總'!C1414</f>
        <v/>
      </c>
      <c r="H57" s="8">
        <f>'03_年度彙總'!C1415</f>
        <v/>
      </c>
      <c r="I57" s="8">
        <f>'03_年度彙總'!C1416</f>
        <v/>
      </c>
      <c r="J57" s="8">
        <f>'03_年度彙總'!C1417</f>
        <v/>
      </c>
      <c r="K57" s="8">
        <f>'03_年度彙總'!C1418</f>
        <v/>
      </c>
      <c r="L57" s="8">
        <f>'03_年度彙總'!C1419</f>
        <v/>
      </c>
      <c r="M57" s="8">
        <f>'03_年度彙總'!C1420</f>
        <v/>
      </c>
      <c r="N57" s="8">
        <f>'03_年度彙總'!C1421</f>
        <v/>
      </c>
      <c r="O57" s="8">
        <f>'03_年度彙總'!C1422</f>
        <v/>
      </c>
      <c r="P57" s="8">
        <f>'03_年度彙總'!C1423</f>
        <v/>
      </c>
      <c r="Q57" s="8">
        <f>'03_年度彙總'!C1424</f>
        <v/>
      </c>
      <c r="R57" s="8">
        <f>'03_年度彙總'!C1425</f>
        <v/>
      </c>
      <c r="S57" s="8">
        <f>'03_年度彙總'!C1426</f>
        <v/>
      </c>
      <c r="T57" s="8">
        <f>'03_年度彙總'!C1427</f>
        <v/>
      </c>
      <c r="U57" s="8">
        <f>'03_年度彙總'!C1428</f>
        <v/>
      </c>
      <c r="V57" s="8">
        <f>'03_年度彙總'!C1429</f>
        <v/>
      </c>
      <c r="W57" s="8">
        <f>'03_年度彙總'!C1430</f>
        <v/>
      </c>
      <c r="X57" s="8">
        <f>'03_年度彙總'!C1431</f>
        <v/>
      </c>
      <c r="Y57" s="8">
        <f>'03_年度彙總'!C1432</f>
        <v/>
      </c>
      <c r="Z57" s="8">
        <f>'03_年度彙總'!C1433</f>
        <v/>
      </c>
      <c r="AA57" s="8">
        <f>'03_年度彙總'!C1434</f>
        <v/>
      </c>
      <c r="AB57" s="8">
        <f>'03_年度彙總'!C1435</f>
        <v/>
      </c>
    </row>
    <row r="58" ht="22" customHeight="1">
      <c r="A58" s="5" t="inlineStr">
        <is>
          <t>山區辦公室</t>
        </is>
      </c>
      <c r="B58" s="9" t="n"/>
      <c r="C58" s="8">
        <f>'03_年度彙總'!C1437</f>
        <v/>
      </c>
      <c r="D58" s="8">
        <f>'03_年度彙總'!C1438</f>
        <v/>
      </c>
      <c r="E58" s="8">
        <f>'03_年度彙總'!C1439</f>
        <v/>
      </c>
      <c r="F58" s="8">
        <f>'03_年度彙總'!C1440</f>
        <v/>
      </c>
      <c r="G58" s="8">
        <f>'03_年度彙總'!C1441</f>
        <v/>
      </c>
      <c r="H58" s="8">
        <f>'03_年度彙總'!C1442</f>
        <v/>
      </c>
      <c r="I58" s="8">
        <f>'03_年度彙總'!C1443</f>
        <v/>
      </c>
      <c r="J58" s="8">
        <f>'03_年度彙總'!C1444</f>
        <v/>
      </c>
      <c r="K58" s="8">
        <f>'03_年度彙總'!C1445</f>
        <v/>
      </c>
      <c r="L58" s="8">
        <f>'03_年度彙總'!C1446</f>
        <v/>
      </c>
      <c r="M58" s="8">
        <f>'03_年度彙總'!C1447</f>
        <v/>
      </c>
      <c r="N58" s="8">
        <f>'03_年度彙總'!C1448</f>
        <v/>
      </c>
      <c r="O58" s="8">
        <f>'03_年度彙總'!C1449</f>
        <v/>
      </c>
      <c r="P58" s="8">
        <f>'03_年度彙總'!C1450</f>
        <v/>
      </c>
      <c r="Q58" s="8">
        <f>'03_年度彙總'!C1451</f>
        <v/>
      </c>
      <c r="R58" s="8">
        <f>'03_年度彙總'!C1452</f>
        <v/>
      </c>
      <c r="S58" s="8">
        <f>'03_年度彙總'!C1453</f>
        <v/>
      </c>
      <c r="T58" s="8">
        <f>'03_年度彙總'!C1454</f>
        <v/>
      </c>
      <c r="U58" s="8">
        <f>'03_年度彙總'!C1455</f>
        <v/>
      </c>
      <c r="V58" s="8">
        <f>'03_年度彙總'!C1456</f>
        <v/>
      </c>
      <c r="W58" s="8">
        <f>'03_年度彙總'!C1457</f>
        <v/>
      </c>
      <c r="X58" s="8">
        <f>'03_年度彙總'!C1458</f>
        <v/>
      </c>
      <c r="Y58" s="8">
        <f>'03_年度彙總'!C1459</f>
        <v/>
      </c>
      <c r="Z58" s="8">
        <f>'03_年度彙總'!C1460</f>
        <v/>
      </c>
      <c r="AA58" s="8">
        <f>'03_年度彙總'!C1461</f>
        <v/>
      </c>
      <c r="AB58" s="8">
        <f>'03_年度彙總'!C1462</f>
        <v/>
      </c>
    </row>
    <row r="59" ht="22" customHeight="1">
      <c r="A59" s="3" t="inlineStr">
        <is>
          <t>海岸辦公室</t>
        </is>
      </c>
      <c r="B59" s="9" t="n"/>
      <c r="C59" s="8">
        <f>'03_年度彙總'!C1464</f>
        <v/>
      </c>
      <c r="D59" s="8">
        <f>'03_年度彙總'!C1465</f>
        <v/>
      </c>
      <c r="E59" s="8">
        <f>'03_年度彙總'!C1466</f>
        <v/>
      </c>
      <c r="F59" s="8">
        <f>'03_年度彙總'!C1467</f>
        <v/>
      </c>
      <c r="G59" s="8">
        <f>'03_年度彙總'!C1468</f>
        <v/>
      </c>
      <c r="H59" s="8">
        <f>'03_年度彙總'!C1469</f>
        <v/>
      </c>
      <c r="I59" s="8">
        <f>'03_年度彙總'!C1470</f>
        <v/>
      </c>
      <c r="J59" s="8">
        <f>'03_年度彙總'!C1471</f>
        <v/>
      </c>
      <c r="K59" s="8">
        <f>'03_年度彙總'!C1472</f>
        <v/>
      </c>
      <c r="L59" s="8">
        <f>'03_年度彙總'!C1473</f>
        <v/>
      </c>
      <c r="M59" s="8">
        <f>'03_年度彙總'!C1474</f>
        <v/>
      </c>
      <c r="N59" s="8">
        <f>'03_年度彙總'!C1475</f>
        <v/>
      </c>
      <c r="O59" s="8">
        <f>'03_年度彙總'!C1476</f>
        <v/>
      </c>
      <c r="P59" s="8">
        <f>'03_年度彙總'!C1477</f>
        <v/>
      </c>
      <c r="Q59" s="8">
        <f>'03_年度彙總'!C1478</f>
        <v/>
      </c>
      <c r="R59" s="8">
        <f>'03_年度彙總'!C1479</f>
        <v/>
      </c>
      <c r="S59" s="8">
        <f>'03_年度彙總'!C1480</f>
        <v/>
      </c>
      <c r="T59" s="8">
        <f>'03_年度彙總'!C1481</f>
        <v/>
      </c>
      <c r="U59" s="8">
        <f>'03_年度彙總'!C1482</f>
        <v/>
      </c>
      <c r="V59" s="8">
        <f>'03_年度彙總'!C1483</f>
        <v/>
      </c>
      <c r="W59" s="8">
        <f>'03_年度彙總'!C1484</f>
        <v/>
      </c>
      <c r="X59" s="8">
        <f>'03_年度彙總'!C1485</f>
        <v/>
      </c>
      <c r="Y59" s="8">
        <f>'03_年度彙總'!C1486</f>
        <v/>
      </c>
      <c r="Z59" s="8">
        <f>'03_年度彙總'!C1487</f>
        <v/>
      </c>
      <c r="AA59" s="8">
        <f>'03_年度彙總'!C1488</f>
        <v/>
      </c>
      <c r="AB59" s="8">
        <f>'03_年度彙總'!C1489</f>
        <v/>
      </c>
    </row>
    <row r="60" ht="22" customHeight="1">
      <c r="A60" s="5" t="inlineStr">
        <is>
          <t>城區辦公室</t>
        </is>
      </c>
      <c r="B60" s="9" t="n"/>
      <c r="C60" s="8">
        <f>'03_年度彙總'!C1491</f>
        <v/>
      </c>
      <c r="D60" s="8">
        <f>'03_年度彙總'!C1492</f>
        <v/>
      </c>
      <c r="E60" s="8">
        <f>'03_年度彙總'!C1493</f>
        <v/>
      </c>
      <c r="F60" s="8">
        <f>'03_年度彙總'!C1494</f>
        <v/>
      </c>
      <c r="G60" s="8">
        <f>'03_年度彙總'!C1495</f>
        <v/>
      </c>
      <c r="H60" s="8">
        <f>'03_年度彙總'!C1496</f>
        <v/>
      </c>
      <c r="I60" s="8">
        <f>'03_年度彙總'!C1497</f>
        <v/>
      </c>
      <c r="J60" s="8">
        <f>'03_年度彙總'!C1498</f>
        <v/>
      </c>
      <c r="K60" s="8">
        <f>'03_年度彙總'!C1499</f>
        <v/>
      </c>
      <c r="L60" s="8">
        <f>'03_年度彙總'!C1500</f>
        <v/>
      </c>
      <c r="M60" s="8">
        <f>'03_年度彙總'!C1501</f>
        <v/>
      </c>
      <c r="N60" s="8">
        <f>'03_年度彙總'!C1502</f>
        <v/>
      </c>
      <c r="O60" s="8">
        <f>'03_年度彙總'!C1503</f>
        <v/>
      </c>
      <c r="P60" s="8">
        <f>'03_年度彙總'!C1504</f>
        <v/>
      </c>
      <c r="Q60" s="8">
        <f>'03_年度彙總'!C1505</f>
        <v/>
      </c>
      <c r="R60" s="8">
        <f>'03_年度彙總'!C1506</f>
        <v/>
      </c>
      <c r="S60" s="8">
        <f>'03_年度彙總'!C1507</f>
        <v/>
      </c>
      <c r="T60" s="8">
        <f>'03_年度彙總'!C1508</f>
        <v/>
      </c>
      <c r="U60" s="8">
        <f>'03_年度彙總'!C1509</f>
        <v/>
      </c>
      <c r="V60" s="8">
        <f>'03_年度彙總'!C1510</f>
        <v/>
      </c>
      <c r="W60" s="8">
        <f>'03_年度彙總'!C1511</f>
        <v/>
      </c>
      <c r="X60" s="8">
        <f>'03_年度彙總'!C1512</f>
        <v/>
      </c>
      <c r="Y60" s="8">
        <f>'03_年度彙總'!C1513</f>
        <v/>
      </c>
      <c r="Z60" s="8">
        <f>'03_年度彙總'!C1514</f>
        <v/>
      </c>
      <c r="AA60" s="8">
        <f>'03_年度彙總'!C1515</f>
        <v/>
      </c>
      <c r="AB60" s="8">
        <f>'03_年度彙總'!C1516</f>
        <v/>
      </c>
    </row>
  </sheetData>
  <mergeCells count="2">
    <mergeCell ref="A1:AB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6" customWidth="1" min="4" max="4"/>
    <col width="12" customWidth="1" min="5" max="5"/>
    <col width="8" customWidth="1" min="6" max="6"/>
    <col width="18" customWidth="1" min="7" max="7"/>
    <col width="20" customWidth="1" min="8" max="8"/>
  </cols>
  <sheetData>
    <row r="1">
      <c r="A1" s="1" t="inlineStr">
        <is>
          <t>📋 異動明細（使用 Ctrl+Shift+L 篩選查詢）</t>
        </is>
      </c>
    </row>
    <row r="2">
      <c r="A2" s="10" t="inlineStr">
        <is>
          <t>【使用方法】</t>
        </is>
      </c>
    </row>
    <row r="3">
      <c r="A3" s="11" t="inlineStr">
        <is>
          <t>1. 選取任意資料格，按 Ctrl+Shift+L 開啟篩選</t>
        </is>
      </c>
    </row>
    <row r="4">
      <c r="A4" s="11" t="inlineStr">
        <is>
          <t>2. 點擊「機關名稱」欄的下拉箭頭，選擇要查詢的機關</t>
        </is>
      </c>
    </row>
    <row r="5">
      <c r="A5" s="11" t="inlineStr">
        <is>
          <t>3. 即可只看到該機關的所有異動記錄</t>
        </is>
      </c>
    </row>
    <row r="6">
      <c r="A6" s="11" t="inlineStr">
        <is>
          <t>4. 要取消篩選，再按一次 Ctrl+Shift+L</t>
        </is>
      </c>
    </row>
    <row r="7">
      <c r="A7" s="2" t="inlineStr">
        <is>
          <t>流水號</t>
        </is>
      </c>
      <c r="B7" s="2" t="inlineStr">
        <is>
          <t>年度</t>
        </is>
      </c>
      <c r="C7" s="2" t="inlineStr">
        <is>
          <t>修正日期</t>
        </is>
      </c>
      <c r="D7" s="2" t="inlineStr">
        <is>
          <t>機關名稱</t>
        </is>
      </c>
      <c r="E7" s="2" t="inlineStr">
        <is>
          <t>調整類型</t>
        </is>
      </c>
      <c r="F7" s="2" t="inlineStr">
        <is>
          <t>人數</t>
        </is>
      </c>
      <c r="G7" s="2" t="inlineStr">
        <is>
          <t>事由</t>
        </is>
      </c>
      <c r="H7" s="2" t="inlineStr">
        <is>
          <t>備註</t>
        </is>
      </c>
    </row>
    <row r="8">
      <c r="A8" s="3" t="n">
        <v>1</v>
      </c>
      <c r="B8" s="4" t="n">
        <v>99</v>
      </c>
      <c r="C8" s="4" t="inlineStr">
        <is>
          <t>99/01</t>
        </is>
      </c>
      <c r="D8" s="4" t="inlineStr">
        <is>
          <t>人事處</t>
        </is>
      </c>
      <c r="E8" s="4" t="inlineStr">
        <is>
          <t>移入</t>
        </is>
      </c>
      <c r="F8" s="4" t="n">
        <v>5</v>
      </c>
      <c r="G8" s="4" t="inlineStr">
        <is>
          <t>業務調整</t>
        </is>
      </c>
      <c r="H8" s="4" t="inlineStr"/>
    </row>
    <row r="9">
      <c r="A9" s="5" t="n">
        <v>2</v>
      </c>
      <c r="B9" s="6" t="n">
        <v>99</v>
      </c>
      <c r="C9" s="6" t="inlineStr">
        <is>
          <t>99/03</t>
        </is>
      </c>
      <c r="D9" s="6" t="inlineStr">
        <is>
          <t>人事處</t>
        </is>
      </c>
      <c r="E9" s="6" t="inlineStr">
        <is>
          <t>移出</t>
        </is>
      </c>
      <c r="F9" s="6" t="n">
        <v>2</v>
      </c>
      <c r="G9" s="6" t="inlineStr">
        <is>
          <t>屆齡退休</t>
        </is>
      </c>
      <c r="H9" s="6" t="inlineStr"/>
    </row>
    <row r="10">
      <c r="A10" s="3" t="n">
        <v>3</v>
      </c>
      <c r="B10" s="4" t="n">
        <v>99</v>
      </c>
      <c r="C10" s="4" t="inlineStr">
        <is>
          <t>99/06</t>
        </is>
      </c>
      <c r="D10" s="4" t="inlineStr">
        <is>
          <t>第一組</t>
        </is>
      </c>
      <c r="E10" s="4" t="inlineStr">
        <is>
          <t>新增</t>
        </is>
      </c>
      <c r="F10" s="4" t="n">
        <v>3</v>
      </c>
      <c r="G10" s="4" t="inlineStr">
        <is>
          <t>編制調整</t>
        </is>
      </c>
      <c r="H10" s="4" t="inlineStr">
        <is>
          <t>新增一個科室</t>
        </is>
      </c>
    </row>
    <row r="11">
      <c r="A11" s="5" t="n">
        <v>4</v>
      </c>
      <c r="B11" s="6" t="n">
        <v>99</v>
      </c>
      <c r="C11" s="6" t="inlineStr">
        <is>
          <t>99/09</t>
        </is>
      </c>
      <c r="D11" s="6" t="inlineStr">
        <is>
          <t>台北分局</t>
        </is>
      </c>
      <c r="E11" s="6" t="inlineStr">
        <is>
          <t>移入</t>
        </is>
      </c>
      <c r="F11" s="6" t="n">
        <v>4</v>
      </c>
      <c r="G11" s="6" t="inlineStr">
        <is>
          <t>業務移撥</t>
        </is>
      </c>
      <c r="H11" s="6" t="inlineStr"/>
    </row>
    <row r="12">
      <c r="A12" s="3" t="n">
        <v>5</v>
      </c>
      <c r="B12" s="4" t="n">
        <v>100</v>
      </c>
      <c r="C12" s="4" t="inlineStr">
        <is>
          <t>100/02</t>
        </is>
      </c>
      <c r="D12" s="4" t="inlineStr">
        <is>
          <t>人事處</t>
        </is>
      </c>
      <c r="E12" s="4" t="inlineStr">
        <is>
          <t>移入</t>
        </is>
      </c>
      <c r="F12" s="4" t="n">
        <v>2</v>
      </c>
      <c r="G12" s="4" t="inlineStr">
        <is>
          <t>考試分發</t>
        </is>
      </c>
      <c r="H12" s="4" t="inlineStr"/>
    </row>
    <row r="13">
      <c r="A13" s="5" t="n">
        <v>6</v>
      </c>
      <c r="B13" s="6" t="n">
        <v>100</v>
      </c>
      <c r="C13" s="6" t="inlineStr">
        <is>
          <t>100/05</t>
        </is>
      </c>
      <c r="D13" s="6" t="inlineStr">
        <is>
          <t>會計處</t>
        </is>
      </c>
      <c r="E13" s="6" t="inlineStr">
        <is>
          <t>減列</t>
        </is>
      </c>
      <c r="F13" s="6" t="n">
        <v>1</v>
      </c>
      <c r="G13" s="6" t="inlineStr">
        <is>
          <t>組織精簡</t>
        </is>
      </c>
      <c r="H13" s="6" t="inlineStr"/>
    </row>
    <row r="14">
      <c r="A14" s="3" t="n">
        <v>7</v>
      </c>
      <c r="B14" s="4" t="n">
        <v>100</v>
      </c>
      <c r="C14" s="4" t="inlineStr">
        <is>
          <t>100/08</t>
        </is>
      </c>
      <c r="D14" s="4" t="inlineStr">
        <is>
          <t>第二組</t>
        </is>
      </c>
      <c r="E14" s="4" t="inlineStr">
        <is>
          <t>移出</t>
        </is>
      </c>
      <c r="F14" s="4" t="n">
        <v>3</v>
      </c>
      <c r="G14" s="4" t="inlineStr">
        <is>
          <t>業務移撥</t>
        </is>
      </c>
      <c r="H14" s="4" t="inlineStr">
        <is>
          <t>調至其他單位</t>
        </is>
      </c>
    </row>
    <row r="15">
      <c r="A15" s="5" t="n">
        <v>8</v>
      </c>
      <c r="B15" s="6" t="n">
        <v>101</v>
      </c>
      <c r="C15" s="6" t="inlineStr">
        <is>
          <t>101/03</t>
        </is>
      </c>
      <c r="D15" s="6" t="inlineStr">
        <is>
          <t>人事處</t>
        </is>
      </c>
      <c r="E15" s="6" t="inlineStr">
        <is>
          <t>精簡</t>
        </is>
      </c>
      <c r="F15" s="6" t="n">
        <v>2</v>
      </c>
      <c r="G15" s="6" t="inlineStr">
        <is>
          <t>優退</t>
        </is>
      </c>
      <c r="H15" s="6" t="inlineStr"/>
    </row>
    <row r="16">
      <c r="A16" s="3" t="n">
        <v>9</v>
      </c>
      <c r="B16" s="4" t="n">
        <v>101</v>
      </c>
      <c r="C16" s="4" t="inlineStr">
        <is>
          <t>101/07</t>
        </is>
      </c>
      <c r="D16" s="4" t="inlineStr">
        <is>
          <t>新北分局</t>
        </is>
      </c>
      <c r="E16" s="4" t="inlineStr">
        <is>
          <t>新增</t>
        </is>
      </c>
      <c r="F16" s="4" t="n">
        <v>5</v>
      </c>
      <c r="G16" s="4" t="inlineStr">
        <is>
          <t>新設置</t>
        </is>
      </c>
      <c r="H16" s="4" t="inlineStr">
        <is>
          <t>新增分局</t>
        </is>
      </c>
    </row>
    <row r="17">
      <c r="A17" s="5" t="n">
        <v>10</v>
      </c>
      <c r="B17" s="6" t="n">
        <v>102</v>
      </c>
      <c r="C17" s="6" t="inlineStr">
        <is>
          <t>102/01</t>
        </is>
      </c>
      <c r="D17" s="6" t="inlineStr">
        <is>
          <t>政風處</t>
        </is>
      </c>
      <c r="E17" s="6" t="inlineStr">
        <is>
          <t>移入</t>
        </is>
      </c>
      <c r="F17" s="6" t="n">
        <v>3</v>
      </c>
      <c r="G17" s="6" t="inlineStr">
        <is>
          <t>業務調整</t>
        </is>
      </c>
      <c r="H17" s="6" t="inlineStr"/>
    </row>
    <row r="18">
      <c r="A18" s="3" t="n">
        <v>11</v>
      </c>
      <c r="B18" s="4" t="n">
        <v>103</v>
      </c>
      <c r="C18" s="4" t="inlineStr">
        <is>
          <t>103/04</t>
        </is>
      </c>
      <c r="D18" s="4" t="inlineStr">
        <is>
          <t>第一組</t>
        </is>
      </c>
      <c r="E18" s="4" t="inlineStr">
        <is>
          <t>移出</t>
        </is>
      </c>
      <c r="F18" s="4" t="n">
        <v>1</v>
      </c>
      <c r="G18" s="4" t="inlineStr">
        <is>
          <t>屆齡退休</t>
        </is>
      </c>
      <c r="H18" s="4" t="inlineStr"/>
    </row>
    <row r="19">
      <c r="A19" s="5" t="n">
        <v>12</v>
      </c>
      <c r="B19" s="6" t="n">
        <v>104</v>
      </c>
      <c r="C19" s="6" t="inlineStr">
        <is>
          <t>104/06</t>
        </is>
      </c>
      <c r="D19" s="6" t="inlineStr">
        <is>
          <t>人事處</t>
        </is>
      </c>
      <c r="E19" s="6" t="inlineStr">
        <is>
          <t>新增</t>
        </is>
      </c>
      <c r="F19" s="6" t="n">
        <v>4</v>
      </c>
      <c r="G19" s="6" t="inlineStr">
        <is>
          <t>編制調整</t>
        </is>
      </c>
      <c r="H19" s="6" t="inlineStr">
        <is>
          <t>業務擴張</t>
        </is>
      </c>
    </row>
    <row r="20">
      <c r="A20" s="3" t="n">
        <v>13</v>
      </c>
      <c r="B20" s="4" t="n">
        <v>105</v>
      </c>
      <c r="C20" s="4" t="inlineStr">
        <is>
          <t>105/02</t>
        </is>
      </c>
      <c r="D20" s="4" t="inlineStr">
        <is>
          <t>台北分局</t>
        </is>
      </c>
      <c r="E20" s="4" t="inlineStr">
        <is>
          <t>減列</t>
        </is>
      </c>
      <c r="F20" s="4" t="n">
        <v>2</v>
      </c>
      <c r="G20" s="4" t="inlineStr">
        <is>
          <t>組織整併</t>
        </is>
      </c>
      <c r="H20" s="4" t="inlineStr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6" customWidth="1" min="4" max="4"/>
    <col width="14" customWidth="1" min="5" max="5"/>
    <col width="10" customWidth="1" min="6" max="6"/>
    <col width="20" customWidth="1" min="7" max="7"/>
    <col width="22" customWidth="1" min="8" max="8"/>
  </cols>
  <sheetData>
    <row r="1">
      <c r="A1" s="1" t="inlineStr">
        <is>
          <t>🔍 篩選查詢（使用 Ctrl+Shift+L 篩選）</t>
        </is>
      </c>
    </row>
    <row r="2">
      <c r="A2" s="10" t="inlineStr">
        <is>
          <t>【使用方法】</t>
        </is>
      </c>
    </row>
    <row r="3">
      <c r="A3" s="11" t="inlineStr">
        <is>
          <t>1. 選取任意資料格，按 Ctrl+Shift+L 開啟篩選</t>
        </is>
      </c>
    </row>
    <row r="4">
      <c r="A4" s="11" t="inlineStr">
        <is>
          <t>2. 可依「年度」「機關名稱」「調整類型」同時篩選</t>
        </is>
      </c>
    </row>
    <row r="5">
      <c r="A5" s="11" t="inlineStr">
        <is>
          <t>3. 要清除所有篩選：Ctrl+Shift+L → 清除</t>
        </is>
      </c>
    </row>
    <row r="6">
      <c r="A6" s="2" t="inlineStr">
        <is>
          <t>流水號</t>
        </is>
      </c>
      <c r="B6" s="2" t="inlineStr">
        <is>
          <t>年度</t>
        </is>
      </c>
      <c r="C6" s="2" t="inlineStr">
        <is>
          <t>修正日期</t>
        </is>
      </c>
      <c r="D6" s="2" t="inlineStr">
        <is>
          <t>機關名稱</t>
        </is>
      </c>
      <c r="E6" s="2" t="inlineStr">
        <is>
          <t>調整類型</t>
        </is>
      </c>
      <c r="F6" s="2" t="inlineStr">
        <is>
          <t>人數</t>
        </is>
      </c>
      <c r="G6" s="2" t="inlineStr">
        <is>
          <t>事由</t>
        </is>
      </c>
      <c r="H6" s="2" t="inlineStr">
        <is>
          <t>備註</t>
        </is>
      </c>
    </row>
    <row r="7">
      <c r="A7" s="3" t="n">
        <v>1</v>
      </c>
      <c r="B7" s="4" t="n">
        <v>99</v>
      </c>
      <c r="C7" s="4" t="inlineStr">
        <is>
          <t>99/01</t>
        </is>
      </c>
      <c r="D7" s="4" t="inlineStr">
        <is>
          <t>人事處</t>
        </is>
      </c>
      <c r="E7" s="4" t="inlineStr">
        <is>
          <t>移入</t>
        </is>
      </c>
      <c r="F7" s="4" t="n">
        <v>5</v>
      </c>
      <c r="G7" s="4" t="inlineStr">
        <is>
          <t>業務調整</t>
        </is>
      </c>
      <c r="H7" s="4" t="inlineStr"/>
    </row>
    <row r="8">
      <c r="A8" s="5" t="n">
        <v>2</v>
      </c>
      <c r="B8" s="6" t="n">
        <v>99</v>
      </c>
      <c r="C8" s="6" t="inlineStr">
        <is>
          <t>99/03</t>
        </is>
      </c>
      <c r="D8" s="6" t="inlineStr">
        <is>
          <t>人事處</t>
        </is>
      </c>
      <c r="E8" s="6" t="inlineStr">
        <is>
          <t>移出</t>
        </is>
      </c>
      <c r="F8" s="6" t="n">
        <v>2</v>
      </c>
      <c r="G8" s="6" t="inlineStr">
        <is>
          <t>屆齡退休</t>
        </is>
      </c>
      <c r="H8" s="6" t="inlineStr"/>
    </row>
    <row r="9">
      <c r="A9" s="3" t="n">
        <v>3</v>
      </c>
      <c r="B9" s="4" t="n">
        <v>99</v>
      </c>
      <c r="C9" s="4" t="inlineStr">
        <is>
          <t>99/06</t>
        </is>
      </c>
      <c r="D9" s="4" t="inlineStr">
        <is>
          <t>第一組</t>
        </is>
      </c>
      <c r="E9" s="4" t="inlineStr">
        <is>
          <t>新增</t>
        </is>
      </c>
      <c r="F9" s="4" t="n">
        <v>3</v>
      </c>
      <c r="G9" s="4" t="inlineStr">
        <is>
          <t>編制調整</t>
        </is>
      </c>
      <c r="H9" s="4" t="inlineStr">
        <is>
          <t>新增一個科室</t>
        </is>
      </c>
    </row>
    <row r="10">
      <c r="A10" s="5" t="n">
        <v>4</v>
      </c>
      <c r="B10" s="6" t="n">
        <v>99</v>
      </c>
      <c r="C10" s="6" t="inlineStr">
        <is>
          <t>99/09</t>
        </is>
      </c>
      <c r="D10" s="6" t="inlineStr">
        <is>
          <t>台北分局</t>
        </is>
      </c>
      <c r="E10" s="6" t="inlineStr">
        <is>
          <t>移入</t>
        </is>
      </c>
      <c r="F10" s="6" t="n">
        <v>4</v>
      </c>
      <c r="G10" s="6" t="inlineStr">
        <is>
          <t>業務移撥</t>
        </is>
      </c>
      <c r="H10" s="6" t="inlineStr"/>
    </row>
    <row r="11">
      <c r="A11" s="3" t="n">
        <v>5</v>
      </c>
      <c r="B11" s="4" t="n">
        <v>100</v>
      </c>
      <c r="C11" s="4" t="inlineStr">
        <is>
          <t>100/02</t>
        </is>
      </c>
      <c r="D11" s="4" t="inlineStr">
        <is>
          <t>人事處</t>
        </is>
      </c>
      <c r="E11" s="4" t="inlineStr">
        <is>
          <t>移入</t>
        </is>
      </c>
      <c r="F11" s="4" t="n">
        <v>2</v>
      </c>
      <c r="G11" s="4" t="inlineStr">
        <is>
          <t>考試分發</t>
        </is>
      </c>
      <c r="H11" s="4" t="inlineStr"/>
    </row>
    <row r="12">
      <c r="A12" s="5" t="n">
        <v>6</v>
      </c>
      <c r="B12" s="6" t="n">
        <v>100</v>
      </c>
      <c r="C12" s="6" t="inlineStr">
        <is>
          <t>100/05</t>
        </is>
      </c>
      <c r="D12" s="6" t="inlineStr">
        <is>
          <t>會計處</t>
        </is>
      </c>
      <c r="E12" s="6" t="inlineStr">
        <is>
          <t>減列</t>
        </is>
      </c>
      <c r="F12" s="6" t="n">
        <v>1</v>
      </c>
      <c r="G12" s="6" t="inlineStr">
        <is>
          <t>組織精簡</t>
        </is>
      </c>
      <c r="H12" s="6" t="inlineStr"/>
    </row>
    <row r="13">
      <c r="A13" s="3" t="n">
        <v>7</v>
      </c>
      <c r="B13" s="4" t="n">
        <v>100</v>
      </c>
      <c r="C13" s="4" t="inlineStr">
        <is>
          <t>100/08</t>
        </is>
      </c>
      <c r="D13" s="4" t="inlineStr">
        <is>
          <t>第二組</t>
        </is>
      </c>
      <c r="E13" s="4" t="inlineStr">
        <is>
          <t>移出</t>
        </is>
      </c>
      <c r="F13" s="4" t="n">
        <v>3</v>
      </c>
      <c r="G13" s="4" t="inlineStr">
        <is>
          <t>業務移撥</t>
        </is>
      </c>
      <c r="H13" s="4" t="inlineStr">
        <is>
          <t>調至其他單位</t>
        </is>
      </c>
    </row>
    <row r="14">
      <c r="A14" s="5" t="n">
        <v>8</v>
      </c>
      <c r="B14" s="6" t="n">
        <v>101</v>
      </c>
      <c r="C14" s="6" t="inlineStr">
        <is>
          <t>101/03</t>
        </is>
      </c>
      <c r="D14" s="6" t="inlineStr">
        <is>
          <t>人事處</t>
        </is>
      </c>
      <c r="E14" s="6" t="inlineStr">
        <is>
          <t>精簡</t>
        </is>
      </c>
      <c r="F14" s="6" t="n">
        <v>2</v>
      </c>
      <c r="G14" s="6" t="inlineStr">
        <is>
          <t>優退</t>
        </is>
      </c>
      <c r="H14" s="6" t="inlineStr"/>
    </row>
    <row r="15">
      <c r="A15" s="3" t="n">
        <v>9</v>
      </c>
      <c r="B15" s="4" t="n">
        <v>101</v>
      </c>
      <c r="C15" s="4" t="inlineStr">
        <is>
          <t>101/07</t>
        </is>
      </c>
      <c r="D15" s="4" t="inlineStr">
        <is>
          <t>新北分局</t>
        </is>
      </c>
      <c r="E15" s="4" t="inlineStr">
        <is>
          <t>新增</t>
        </is>
      </c>
      <c r="F15" s="4" t="n">
        <v>5</v>
      </c>
      <c r="G15" s="4" t="inlineStr">
        <is>
          <t>新設置</t>
        </is>
      </c>
      <c r="H15" s="4" t="inlineStr">
        <is>
          <t>新增分局</t>
        </is>
      </c>
    </row>
    <row r="16">
      <c r="A16" s="5" t="n">
        <v>10</v>
      </c>
      <c r="B16" s="6" t="n">
        <v>102</v>
      </c>
      <c r="C16" s="6" t="inlineStr">
        <is>
          <t>102/01</t>
        </is>
      </c>
      <c r="D16" s="6" t="inlineStr">
        <is>
          <t>政風處</t>
        </is>
      </c>
      <c r="E16" s="6" t="inlineStr">
        <is>
          <t>移入</t>
        </is>
      </c>
      <c r="F16" s="6" t="n">
        <v>3</v>
      </c>
      <c r="G16" s="6" t="inlineStr">
        <is>
          <t>業務調整</t>
        </is>
      </c>
      <c r="H16" s="6" t="inlineStr"/>
    </row>
    <row r="17">
      <c r="A17" s="3" t="n">
        <v>11</v>
      </c>
      <c r="B17" s="4" t="n">
        <v>103</v>
      </c>
      <c r="C17" s="4" t="inlineStr">
        <is>
          <t>103/04</t>
        </is>
      </c>
      <c r="D17" s="4" t="inlineStr">
        <is>
          <t>第一組</t>
        </is>
      </c>
      <c r="E17" s="4" t="inlineStr">
        <is>
          <t>移出</t>
        </is>
      </c>
      <c r="F17" s="4" t="n">
        <v>1</v>
      </c>
      <c r="G17" s="4" t="inlineStr">
        <is>
          <t>屆齡退休</t>
        </is>
      </c>
      <c r="H17" s="4" t="inlineStr"/>
    </row>
    <row r="18">
      <c r="A18" s="5" t="n">
        <v>12</v>
      </c>
      <c r="B18" s="6" t="n">
        <v>104</v>
      </c>
      <c r="C18" s="6" t="inlineStr">
        <is>
          <t>104/06</t>
        </is>
      </c>
      <c r="D18" s="6" t="inlineStr">
        <is>
          <t>人事處</t>
        </is>
      </c>
      <c r="E18" s="6" t="inlineStr">
        <is>
          <t>新增</t>
        </is>
      </c>
      <c r="F18" s="6" t="n">
        <v>4</v>
      </c>
      <c r="G18" s="6" t="inlineStr">
        <is>
          <t>編制調整</t>
        </is>
      </c>
      <c r="H18" s="6" t="inlineStr">
        <is>
          <t>業務擴張</t>
        </is>
      </c>
    </row>
    <row r="19">
      <c r="A19" s="3" t="n">
        <v>13</v>
      </c>
      <c r="B19" s="4" t="n">
        <v>105</v>
      </c>
      <c r="C19" s="4" t="inlineStr">
        <is>
          <t>105/02</t>
        </is>
      </c>
      <c r="D19" s="4" t="inlineStr">
        <is>
          <t>台北分局</t>
        </is>
      </c>
      <c r="E19" s="4" t="inlineStr">
        <is>
          <t>減列</t>
        </is>
      </c>
      <c r="F19" s="4" t="n">
        <v>2</v>
      </c>
      <c r="G19" s="4" t="inlineStr">
        <is>
          <t>組織整併</t>
        </is>
      </c>
      <c r="H19" s="4" t="inlineStr"/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📖 人事員額管理系統 使用手冊 v4（無代碼版）</t>
        </is>
      </c>
    </row>
    <row r="2" ht="20" customHeight="1"/>
    <row r="3" ht="20" customHeight="1">
      <c r="A3" s="10" t="inlineStr">
        <is>
          <t>【系統架構】</t>
        </is>
      </c>
    </row>
    <row r="4" ht="20" customHeight="1"/>
    <row r="5" ht="20" customHeight="1">
      <c r="A5" s="11" t="inlineStr">
        <is>
          <t>本系統包含 6 個工作表：</t>
        </is>
      </c>
    </row>
    <row r="6" ht="20" customHeight="1"/>
    <row r="7" ht="20" customHeight="1">
      <c r="A7" s="12" t="inlineStr">
        <is>
          <t>1️⃣ 00_機關清冊</t>
        </is>
      </c>
    </row>
    <row r="8" ht="20" customHeight="1">
      <c r="A8" s="11" t="inlineStr">
        <is>
          <t xml:space="preserve">   → 60個機關的基本資料（代碼+名稱）</t>
        </is>
      </c>
    </row>
    <row r="9" ht="20" customHeight="1">
      <c r="A9" s="11" t="inlineStr">
        <is>
          <t xml:space="preserve">   → 這是系統唯一定義處，下拉選單的來源</t>
        </is>
      </c>
    </row>
    <row r="10" ht="20" customHeight="1">
      <c r="A10" s="11" t="inlineStr">
        <is>
          <t xml:space="preserve">   → 新增/刪除機關在這裡處理</t>
        </is>
      </c>
    </row>
    <row r="11" ht="20" customHeight="1"/>
    <row r="12" ht="20" customHeight="1">
      <c r="A12" s="12" t="inlineStr">
        <is>
          <t>2️⃣ 01_異動主檔（主要輸入區）</t>
        </is>
      </c>
    </row>
    <row r="13" ht="20" customHeight="1">
      <c r="A13" s="11" t="inlineStr">
        <is>
          <t xml:space="preserve">   → 黃色格子可輸入｜下拉選單選擇</t>
        </is>
      </c>
    </row>
    <row r="14" ht="20" customHeight="1">
      <c r="A14" s="11" t="inlineStr">
        <is>
          <t xml:space="preserve">   → 這裡是唯一需要手動輸入資料的地方</t>
        </is>
      </c>
    </row>
    <row r="15" ht="20" customHeight="1">
      <c r="A15" s="11" t="inlineStr">
        <is>
          <t xml:space="preserve">   → 只有機關名稱，沒有代碼</t>
        </is>
      </c>
    </row>
    <row r="16" ht="20" customHeight="1"/>
    <row r="17" ht="20" customHeight="1">
      <c r="A17" s="12" t="inlineStr">
        <is>
          <t>3️⃣ 02_年初員額設定</t>
        </is>
      </c>
    </row>
    <row r="18" ht="20" customHeight="1">
      <c r="A18" s="11" t="inlineStr">
        <is>
          <t xml:space="preserve">   → 99年（黃色）：手動輸入各機關的年初員額</t>
        </is>
      </c>
    </row>
    <row r="19" ht="20" customHeight="1">
      <c r="A19" s="11" t="inlineStr">
        <is>
          <t xml:space="preserve">   → 100-125年（綠色）：公式自動帶入（請勿修改）</t>
        </is>
      </c>
    </row>
    <row r="20" ht="20" customHeight="1">
      <c r="A20" s="11" t="inlineStr">
        <is>
          <t xml:space="preserve">   → 只有機關名稱，沒有代碼</t>
        </is>
      </c>
    </row>
    <row r="21" ht="20" customHeight="1"/>
    <row r="22" ht="20" customHeight="1">
      <c r="A22" s="12" t="inlineStr">
        <is>
          <t>4️⃣ 03_年度彙總（核心表）</t>
        </is>
      </c>
    </row>
    <row r="23" ht="20" customHeight="1">
      <c r="A23" s="11" t="inlineStr">
        <is>
          <t xml:space="preserve">   → 自動計算各機關各年度的員額變化</t>
        </is>
      </c>
    </row>
    <row r="24" ht="20" customHeight="1">
      <c r="A24" s="11" t="inlineStr">
        <is>
          <t xml:space="preserve">   → 本表為唯讀，公式自動計算</t>
        </is>
      </c>
    </row>
    <row r="25" ht="20" customHeight="1">
      <c r="A25" s="11" t="inlineStr">
        <is>
          <t xml:space="preserve">   → 只有機關名稱，沒有代碼</t>
        </is>
      </c>
    </row>
    <row r="26" ht="20" customHeight="1"/>
    <row r="27" ht="20" customHeight="1">
      <c r="A27" s="12" t="inlineStr">
        <is>
          <t>5️⃣ 04_異動明細</t>
        </is>
      </c>
    </row>
    <row r="28" ht="20" customHeight="1">
      <c r="A28" s="11" t="inlineStr">
        <is>
          <t xml:space="preserve">   → 查詢特定機關的所有異動歷史</t>
        </is>
      </c>
    </row>
    <row r="29" ht="20" customHeight="1">
      <c r="A29" s="11" t="inlineStr">
        <is>
          <t xml:space="preserve">   → Ctrl+Shift+L 開啟篩選</t>
        </is>
      </c>
    </row>
    <row r="30" ht="20" customHeight="1"/>
    <row r="31" ht="20" customHeight="1">
      <c r="A31" s="12" t="inlineStr">
        <is>
          <t>6️⃣ 05_篾選器</t>
        </is>
      </c>
    </row>
    <row r="32" ht="20" customHeight="1">
      <c r="A32" s="11" t="inlineStr">
        <is>
          <t xml:space="preserve">   → 快速篩選特定條件的資料</t>
        </is>
      </c>
    </row>
    <row r="33" ht="20" customHeight="1">
      <c r="A33" s="11" t="inlineStr">
        <is>
          <t xml:space="preserve">   → Ctrl+Shift+L 開啟篩選</t>
        </is>
      </c>
    </row>
    <row r="34" ht="20" customHeight="1"/>
    <row r="35" ht="20" customHeight="1">
      <c r="A35" s="13" t="inlineStr">
        <is>
          <t>─────────────────────────────────────────────</t>
        </is>
      </c>
    </row>
    <row r="36" ht="20" customHeight="1"/>
    <row r="37" ht="20" customHeight="1">
      <c r="A37" s="10" t="inlineStr">
        <is>
          <t>【如何新增資料】</t>
        </is>
      </c>
    </row>
    <row r="38" ht="20" customHeight="1"/>
    <row r="39" ht="20" customHeight="1">
      <c r="A39" s="11" t="inlineStr">
        <is>
          <t>1. 切換到「01_異動主檔」工作表</t>
        </is>
      </c>
    </row>
    <row r="40" ht="20" customHeight="1">
      <c r="A40" s="11" t="inlineStr">
        <is>
          <t>2. 找到空白列（黃色區域以下）</t>
        </is>
      </c>
    </row>
    <row r="41" ht="20" customHeight="1">
      <c r="A41" s="11" t="inlineStr">
        <is>
          <t>3. 依序填入：</t>
        </is>
      </c>
    </row>
    <row r="42" ht="20" customHeight="1">
      <c r="A42" s="11" t="inlineStr">
        <is>
          <t xml:space="preserve">   • 年度（從下拉選單選）</t>
        </is>
      </c>
    </row>
    <row r="43" ht="20" customHeight="1">
      <c r="A43" s="11" t="inlineStr">
        <is>
          <t xml:space="preserve">   • 修正日期（選或輸入，如：99/03）</t>
        </is>
      </c>
    </row>
    <row r="44" ht="20" customHeight="1">
      <c r="A44" s="11" t="inlineStr">
        <is>
          <t xml:space="preserve">   • 機關名稱（從下拉選單選）← 只有名稱！</t>
        </is>
      </c>
    </row>
    <row r="45" ht="20" customHeight="1">
      <c r="A45" s="11" t="inlineStr">
        <is>
          <t xml:space="preserve">   • 調整類型（從下拉選單選）</t>
        </is>
      </c>
    </row>
    <row r="46" ht="20" customHeight="1">
      <c r="A46" s="11" t="inlineStr">
        <is>
          <t xml:space="preserve">   • 人數（數字）</t>
        </is>
      </c>
    </row>
    <row r="47" ht="20" customHeight="1">
      <c r="A47" s="11" t="inlineStr">
        <is>
          <t xml:space="preserve">   • 事由（文字說明）</t>
        </is>
      </c>
    </row>
    <row r="48" ht="20" customHeight="1">
      <c r="A48" s="11" t="inlineStr">
        <is>
          <t xml:space="preserve">   • 備註（選填）</t>
        </is>
      </c>
    </row>
    <row r="49" ht="20" customHeight="1"/>
    <row r="50" ht="20" customHeight="1">
      <c r="A50" s="13" t="inlineStr">
        <is>
          <t>─────────────────────────────────────────────</t>
        </is>
      </c>
    </row>
    <row r="51" ht="20" customHeight="1"/>
    <row r="52" ht="20" customHeight="1">
      <c r="A52" s="10" t="inlineStr">
        <is>
          <t>【年度連動邏輯】</t>
        </is>
      </c>
    </row>
    <row r="53" ht="20" customHeight="1"/>
    <row r="54" ht="20" customHeight="1">
      <c r="A54" s="11" t="inlineStr">
        <is>
          <t>• 99年：年初員額需手動輸入（黃色格子）</t>
        </is>
      </c>
    </row>
    <row r="55" ht="20" customHeight="1">
      <c r="A55" s="11" t="inlineStr">
        <is>
          <t>• 100年起：年初員額 = 上年度年底員額（自動連動）</t>
        </is>
      </c>
    </row>
    <row r="56" ht="20" customHeight="1">
      <c r="A56" s="11" t="inlineStr">
        <is>
          <t>• 年底員額 = 年初 + 移入 + 新增 - 移出 - 減列 - 精簡</t>
        </is>
      </c>
    </row>
    <row r="57" ht="20" customHeight="1"/>
    <row r="58" ht="20" customHeight="1">
      <c r="A58" s="13" t="inlineStr">
        <is>
          <t>─────────────────────────────────────────────</t>
        </is>
      </c>
    </row>
    <row r="59" ht="20" customHeight="1"/>
    <row r="60" ht="20" customHeight="1">
      <c r="A60" s="10" t="inlineStr">
        <is>
          <t>【顏色代碼】</t>
        </is>
      </c>
    </row>
    <row r="61" ht="20" customHeight="1"/>
    <row r="62" ht="20" customHeight="1">
      <c r="A62" s="11" t="inlineStr">
        <is>
          <t>• 黃色：需手動輸入的資料</t>
        </is>
      </c>
    </row>
    <row r="63" ht="20" customHeight="1">
      <c r="A63" s="11" t="inlineStr">
        <is>
          <t>• 綠色：公式自動計算（請勿直接修改）</t>
        </is>
      </c>
    </row>
    <row r="64" ht="20" customHeight="1">
      <c r="A64" s="11" t="inlineStr">
        <is>
          <t>• 淺灰：交替填色，方便閱讀</t>
        </is>
      </c>
    </row>
    <row r="65" ht="20" customHeight="1"/>
    <row r="66" ht="20" customHeight="1">
      <c r="A66" s="13" t="inlineStr">
        <is>
          <t>─────────────────────────────────────────────</t>
        </is>
      </c>
    </row>
    <row r="67" ht="20" customHeight="1"/>
    <row r="68" ht="20" customHeight="1">
      <c r="A68" s="10" t="inlineStr">
        <is>
          <t>【快捷鍵】</t>
        </is>
      </c>
    </row>
    <row r="69" ht="20" customHeight="1"/>
    <row r="70" ht="20" customHeight="1">
      <c r="A70" s="11" t="inlineStr">
        <is>
          <t>• Ctrl+Shift+L：開啟/關閉 篩選功能</t>
        </is>
      </c>
    </row>
    <row r="71" ht="20" customHeight="1">
      <c r="A71" s="11" t="inlineStr">
        <is>
          <t>• Ctrl+Alt+F9：強制重新計算所有公式</t>
        </is>
      </c>
    </row>
    <row r="72" ht="20" customHeight="1">
      <c r="A72" s="11" t="inlineStr">
        <is>
          <t>• Ctrl+Home：回到 A1 儲存格</t>
        </is>
      </c>
    </row>
    <row r="73" ht="20" customHeight="1"/>
    <row r="74" ht="20" customHeight="1">
      <c r="A74" s="13" t="inlineStr">
        <is>
          <t>─────────────────────────────────────────────</t>
        </is>
      </c>
    </row>
    <row r="75" ht="20" customHeight="1"/>
    <row r="76" ht="20" customHeight="1">
      <c r="A76" s="10" t="inlineStr">
        <is>
          <t>【常見問題】</t>
        </is>
      </c>
    </row>
    <row r="77" ht="20" customHeight="1"/>
    <row r="78" ht="20" customHeight="1">
      <c r="A78" s="14" t="inlineStr">
        <is>
          <t>Q: 想要新增機關？</t>
        </is>
      </c>
    </row>
    <row r="79" ht="20" customHeight="1">
      <c r="A79" s="14" t="inlineStr">
        <is>
          <t>A: 在「00_機關清冊」最後一行新增</t>
        </is>
      </c>
    </row>
    <row r="80" ht="20" customHeight="1"/>
    <row r="81" ht="20" customHeight="1">
      <c r="A81" s="14" t="inlineStr">
        <is>
          <t>Q: 想要刪除機關？</t>
        </is>
      </c>
    </row>
    <row r="82" ht="20" customHeight="1">
      <c r="A82" s="14" t="inlineStr">
        <is>
          <t>A: 建議保留但註記「已停用」，避免歷史資料找不到</t>
        </is>
      </c>
    </row>
    <row r="83" ht="20" customHeight="1"/>
    <row r="84" ht="20" customHeight="1">
      <c r="A84" s="14" t="inlineStr">
        <is>
          <t>Q: 公式錯誤？</t>
        </is>
      </c>
    </row>
    <row r="85" ht="20" customHeight="1">
      <c r="A85" s="14" t="inlineStr">
        <is>
          <t>A: 確認「01_異動主檔」有資料，年度和機關名稱要正確</t>
        </is>
      </c>
    </row>
    <row r="86" ht="20" customHeight="1"/>
    <row r="87" ht="20" customHeight="1">
      <c r="A87" s="13" t="inlineStr">
        <is>
          <t>─────────────────────────────────────────────</t>
        </is>
      </c>
    </row>
    <row r="88" ht="20" customHeight="1"/>
    <row r="89" ht="20" customHeight="1">
      <c r="A89" s="10" t="inlineStr">
        <is>
          <t>【版本紀錄】</t>
        </is>
      </c>
    </row>
    <row r="90" ht="20" customHeight="1"/>
    <row r="91" ht="20" customHeight="1">
      <c r="A91" s="14" t="inlineStr">
        <is>
          <t>v1: 初始版本</t>
        </is>
      </c>
    </row>
    <row r="92" ht="20" customHeight="1">
      <c r="A92" s="14" t="inlineStr">
        <is>
          <t>v2: 改為機關名稱顯示</t>
        </is>
      </c>
    </row>
    <row r="93" ht="20" customHeight="1">
      <c r="A93" s="14" t="inlineStr">
        <is>
          <t>v3: 修復公式，完善說明</t>
        </is>
      </c>
    </row>
    <row r="94" ht="20" customHeight="1">
      <c r="A94" s="14" t="inlineStr">
        <is>
          <t>v4（此版本）: 移除所有機關代碼欄位，只有名稱</t>
        </is>
      </c>
    </row>
    <row r="95" ht="20" customHeight="1"/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2026-07-01T04:52:49Z</dcterms:created>
  <dcterms:modified xmlns:dcterms="http://purl.org/dc/terms/" xmlns:xsi="http://www.w3.org/2001/XMLSchema-instance" xsi:type="dcterms:W3CDTF">2026-07-01T04:52:50Z</dcterms:modified>
</cp:coreProperties>
</file>